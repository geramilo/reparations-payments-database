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eraldine.ramilo/Desktop/database/RPD raw data/"/>
    </mc:Choice>
  </mc:AlternateContent>
  <xr:revisionPtr revIDLastSave="0" documentId="13_ncr:1_{C50E4FD1-9C85-4247-943B-615C91EAE5BD}" xr6:coauthVersionLast="47" xr6:coauthVersionMax="47" xr10:uidLastSave="{00000000-0000-0000-0000-000000000000}"/>
  <bookViews>
    <workbookView xWindow="30240" yWindow="0" windowWidth="38400" windowHeight="21600" xr2:uid="{00000000-000D-0000-FFFF-FFFF00000000}"/>
  </bookViews>
  <sheets>
    <sheet name="DATABASE" sheetId="1" r:id="rId1"/>
    <sheet name="Existing Databases Track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a="1"/>
  <c r="B5" i="2" s="1"/>
  <c r="B3" i="2" a="1"/>
  <c r="B3" i="2" s="1"/>
  <c r="B6" i="2" a="1"/>
  <c r="B6" i="2" s="1"/>
  <c r="B7" i="2" a="1"/>
  <c r="B7" i="2" s="1"/>
  <c r="B8" i="2" a="1"/>
  <c r="B8" i="2" s="1"/>
  <c r="B9" i="2" a="1"/>
  <c r="B9" i="2" s="1"/>
  <c r="B4" i="2" a="1"/>
  <c r="B4" i="2" s="1"/>
  <c r="C4" i="2"/>
  <c r="B2" i="2" a="1"/>
  <c r="B2" i="2" s="1"/>
  <c r="C9" i="2"/>
  <c r="C8" i="2"/>
  <c r="C7" i="2"/>
  <c r="C6" i="2"/>
  <c r="C3" i="2"/>
  <c r="C5" i="2"/>
  <c r="C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<sst xmlns="http://schemas.openxmlformats.org/spreadsheetml/2006/main" count="14938" uniqueCount="4594">
  <si>
    <t>ID</t>
  </si>
  <si>
    <t>Programme name</t>
  </si>
  <si>
    <t>Payor</t>
  </si>
  <si>
    <t>Payor type</t>
  </si>
  <si>
    <t>Payor private or public</t>
  </si>
  <si>
    <t>Payor country or economy</t>
  </si>
  <si>
    <t>Payor country or economy (ISO)</t>
  </si>
  <si>
    <t>Payor region</t>
  </si>
  <si>
    <t>Payor income level</t>
  </si>
  <si>
    <t>Recipient type</t>
  </si>
  <si>
    <t>Recipient country or economy</t>
  </si>
  <si>
    <t>Recipient country or economy (ISO)</t>
  </si>
  <si>
    <t>Recipient income level</t>
  </si>
  <si>
    <t>Reparations type</t>
  </si>
  <si>
    <t>Context or reason for reparations</t>
  </si>
  <si>
    <t>Main harm</t>
  </si>
  <si>
    <t>Secondary harm</t>
  </si>
  <si>
    <t>Harm death impact</t>
  </si>
  <si>
    <t xml:space="preserve">Date of reparations agreement </t>
  </si>
  <si>
    <t>Year of reparations agreement</t>
  </si>
  <si>
    <t>Start date of reparations payment</t>
  </si>
  <si>
    <t>Start year of reparations payment</t>
  </si>
  <si>
    <t>End date of reparations payment</t>
  </si>
  <si>
    <t>End year of reparations payment</t>
  </si>
  <si>
    <t>Payments conversion year</t>
  </si>
  <si>
    <t>Additional notes on timeline</t>
  </si>
  <si>
    <t>Currency</t>
  </si>
  <si>
    <t>Pledged (Total)</t>
  </si>
  <si>
    <t>Pledged (Total USD)</t>
  </si>
  <si>
    <t>Pledged (Total USD 2024)</t>
  </si>
  <si>
    <t>Pledge type</t>
  </si>
  <si>
    <t>Paid (Total)</t>
  </si>
  <si>
    <t>Paid (Total USD)</t>
  </si>
  <si>
    <t>Paid (Total USD 2024)</t>
  </si>
  <si>
    <t>Type of payment</t>
  </si>
  <si>
    <t>Type of beneficiaries</t>
  </si>
  <si>
    <t>Estimated number of beneficiaries</t>
  </si>
  <si>
    <t>Reported number of beneficiaries paid</t>
  </si>
  <si>
    <t>Agreement mechanism</t>
  </si>
  <si>
    <t>Disbursement mechanism</t>
  </si>
  <si>
    <t xml:space="preserve">Intermediary </t>
  </si>
  <si>
    <t>Primary source(s)</t>
  </si>
  <si>
    <t>Secondary source(s)</t>
  </si>
  <si>
    <t>Source URL(s)</t>
  </si>
  <si>
    <t>Archived URL(s) via Wayback Machine</t>
  </si>
  <si>
    <t>Source extracts</t>
  </si>
  <si>
    <t>Keywords</t>
  </si>
  <si>
    <t>Law. No. 9388 on Restitution and Compensation of Property in Albania (Amendment to Law No. 9235)</t>
  </si>
  <si>
    <t>Government of Albania</t>
  </si>
  <si>
    <t>Country or government</t>
  </si>
  <si>
    <t>Public</t>
  </si>
  <si>
    <t>Albania</t>
  </si>
  <si>
    <t>ALB</t>
  </si>
  <si>
    <t>Upper middle income</t>
  </si>
  <si>
    <t>Former owners of properties that were confiscated during the communist era</t>
  </si>
  <si>
    <t>Individual victims and victim groups</t>
  </si>
  <si>
    <t>Domestic</t>
  </si>
  <si>
    <t>The property restitution and compensation process has its origins in the immediate aftermath of the fall of the communist regime in Albania and the establishment of the multi-party regime which brought about recognition of the right to own property and free private enterprise. The Albanian authorities made a commitment to recognise, return or provide compensation for property in the case of all those who had been dispossessed during the time of the previous regime.
(source: https://rm.coe.int/16805924b2)</t>
  </si>
  <si>
    <t>Dispossession of land and forced displacement</t>
  </si>
  <si>
    <t>Economic harm</t>
  </si>
  <si>
    <t>No</t>
  </si>
  <si>
    <t>Active in 2011.
According to Article 23, the Fund is created between 2005 and 2010.</t>
  </si>
  <si>
    <t>ALL</t>
  </si>
  <si>
    <t>Implicit</t>
  </si>
  <si>
    <t>Individual</t>
  </si>
  <si>
    <t>https://www.osce.org/files/f/documents/9/e/37715.pdf,
https://rm.coe.int/16805924b2</t>
  </si>
  <si>
    <t xml:space="preserve">www.osce.org:
https://web.archive.org/web/20240613112358/https://www.osce.org/files/f/documents/9/e/37715.pdf  [13 June 2024]
rm.coe.int:
https://web.archive.org/web/20210313185411/https://rm.coe.int/16805924b2 [13 March 2021]
</t>
  </si>
  <si>
    <t>LAW No. 9235, dated 29.07.2004:
Every expropriated subject enjoys the right to request the right of ownership, in compliance with this law, if the property was taken by the state according to legal acts, sub-legal acts, criminal court decisions or in any other unjust form since 29.11.1944, and the restitution or compensation of the property. The field of application of this law extends its effects on the immovable properties of Albanian citizens, created after 7 April 1939 and sequestrated based on article 14 of Law no. 37, dated 13.1.1945 "Law on extraordinary tax for war profits".
Ministry of Foreign Affairs of Romania (2011):
The financial compensation fund in the year 2005 was 200 million leks. This fund was only distributed in Tirana, as at that time the land value chart had only been completed for this district. In the year 2006 the 300 million-lek fund was distributed in Tirana and Kavaja. During 2007 the 500 million-lek fund was further extended to the districts of Berat, Korça, Dibër, Kukës and the city of Vlora. Starting in 2008 the 500 million-lek fund was distributed throughout the 12 (twelve) districts of the country and thus throughout all Albanian territory. In 2009 the compensation fund rose to 1.25 billion leks. For 2010 the compensation fund was 1.7 million euros. In total, during the period 2005-2010 577 successful applicants ultimately benefited from compensation, with a total value of 2,754,526,414 leks. Of the 577 successful applicants, only 207 were compensated in full.
According  to the Transitional Justice Evaluation Tools, the Cost Estimate is: ALL 1,994,932,608; and the Beneficiaries Count is 56,000.</t>
  </si>
  <si>
    <t>NOTE ON CONVERSION: The total compensation disbursed (2,754,526,414 leks) comes from a source dated 2011. We assume that this source reports the accumulated value of all payments over the entire period. For comparison purposes, we take this figure as the 2011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</si>
  <si>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albania, restitution, law, compensation, fund, property, communist regime</t>
  </si>
  <si>
    <t>Former political prisoners of the communist regime and their families</t>
  </si>
  <si>
    <t>Between 1944 until his death in 1985, Hoxha imprisoned and killed hundreds of thousands of Albanians and sent many more to labor camps. Today, over 20,000 people have applied for compensation.
(source: https://www.dw.com/en/albania-the-struggle-for-compensation/video-16397816)</t>
  </si>
  <si>
    <t>Intra-state conflict, state violence, and other forms of aggression</t>
  </si>
  <si>
    <t>Yes</t>
  </si>
  <si>
    <t>Payments are still ongoing, therefore the end year of reparations payments is recorded as 2024.</t>
  </si>
  <si>
    <t>EUR</t>
  </si>
  <si>
    <t>Explicit</t>
  </si>
  <si>
    <t>https://www.anvgd.it/regfvg-071207-albania-risarcisce-vittime-regime-comunista/,
https://www.dw.com/en/albania-the-struggle-for-compensation/video-16397816,
https://www.osce.org/files/f/documents/e/4/445090.pdf,
https://balkaninsight.com/2025/07/31/tragicomic-ex-political-prisoners-in-albania-still-awaiting-compensation/</t>
  </si>
  <si>
    <t>www.anvgd.it:
https://web.archive.org/web/20201021013712/https://www.anvgd.it/regfvg-071207-albania-risarcisce-vittime-regime-comunista/ [21 October 2020]
www.dw.com:
https://web.archive.org/web/20240801130755/https://www.dw.com/en/albania-the-struggle-for-compensation/video-16397816 [01 August 2024]
www.osce.org:
https://web.archive.org/web/20240301162110/https://www.osce.org/files/f/documents/e/4/445090.pdf [01 March 2024]
balkaninsight.com:
https://web.archive.org/web/20250801151614/https://balkaninsight.com/2025/07/31/tragicomic-ex-political-prisoners-in-albania-still-awaiting-compensation/ [01 August 2025]</t>
  </si>
  <si>
    <t>Associazione Nazionale Venezia Giulia e Dalmazia [translated from Italian to English]:
The Albanian government has decided to allocate 417 million euros to compensate the victims of the communist regime. Setimes writes. Payments will begin in 2008 and continue for another 8 years. In next year's budget, the government has allocated about 8,25 million euros. The families of the approximately 2.000 people who were estimated to have been killed and over 15.000 imprisoned during the regime of Enver Hoxha will receive the compensation.
TRANSITIONAL JUSTICE IN ALBANIA:
In 2007 the government adopted the Law on the Reparation of Former Political Prisoners regulating financial compensation for former prisoners and their family members. The compensation payments started in 2009 after several protests by former political prisoners.
31 July 2025: Of an estimated 42,000 Albanians politically persecuted under communism, only six per cent have received full compensation. Others have received a couple of installments or are waiting for the final sum, but two-thirds are yet to receive a cent, meaning the wait for justice risks lasting longer than the 1946-1991 dictatorship itself. [...] According to Albania’s finance ministry, 52.6 billion lek, or roughly 539 million euros, has been allocated for compensation. As of end-2024, less than half that sum had been disbursed and only 19 per cent of individuals whose applications were approved have received the full compensation amount. (Balkan Transitional Justice)</t>
  </si>
  <si>
    <t>NOTE ON CONVERSION: The total compensation disbursed (half of 539 million euros) comes from a source dated 2025 but reporting as of end-2024. We assume that this source reports the accumulated value of all payments over the entire period. For comparison purposes, we take this figure as the 2024 value and convert it to our year of interest (2024).</t>
  </si>
  <si>
    <t>albania, compensation, payments, political prisoners, communist regime, Enver Hoxha</t>
  </si>
  <si>
    <t>Manushaqe Puto and Others v. Albania - 604/07, 34770/09, 43628/07 et al.</t>
  </si>
  <si>
    <t>Albanian families and inviduals lost their lands under the former communist regime in Albania (the Putos family, along with several other claimants for a total of twenty Albanian nationals)</t>
  </si>
  <si>
    <t>Many families lost their lands under the former communist regime in Albania, where private property was banned. Following the collapse of communism, a series of commissions recognised thousands of land claims and decided that compensation should be paid. But then nothing happened. Some people got some of their land back – those parts which were not already occupied – but they were not compensated for the rest. Others got nothing at all. The European court ruled that Albania had violated the claimants’ property rights and denied them a fair hearing.
(source: https://www.coe.int/en/web/impact-convention-human-rights/-/millions-paid-in-compensation-to-families-whose-lands-were-seized-under-communism)</t>
  </si>
  <si>
    <t>European Court of Human Rights</t>
  </si>
  <si>
    <t>Council of Europe</t>
  </si>
  <si>
    <t>https://www.coe.int/en/web/impact-convention-human-rights/-/millions-paid-in-compensation-to-families-whose-lands-were-seized-under-communism,
https://hudoc.echr.coe.int/eng?i=002-6426</t>
  </si>
  <si>
    <t>www.coe.int:
https://web.archive.org/web/20240417211809/https://www.coe.int/en/web/impact-convention-human-rights/-/millions-paid-in-compensation-to-families-whose-lands-were-seized-under-communism [17 April 2024]
hudoc.echr.coe.int:
https://web.archive.org/web/20251012055213/https://hudoc.echr.coe.int/eng#{%22itemid%22:[%22002-6426%22]} [12 October 2025]</t>
  </si>
  <si>
    <t>Council of Europe:
The European court ruled that Albania had violated the claimants’ property rights and denied them a fair hearing. It was not the first time the court had ruled against Albania on this issue. While the Albanian government had made changes to try to solve the problem, the court considered these measures, including the existing financial compensation scheme, to be flawed. There was no way the claimants could get justice in their own country. The court awarded the applicants combined damages of almost €3m.
[...] Albania compensated the claimants as required by the European court.</t>
  </si>
  <si>
    <t>albania, albanian, claimants, compensation, damages, court, claims, compensated, denied, rights</t>
  </si>
  <si>
    <t>Law No. 133/2015 on the Treatment of Property and Finalization of the Process of Compensation of Property in Albania</t>
  </si>
  <si>
    <t>Families and inviduals who lost their lands under the former communist regime in Albania</t>
  </si>
  <si>
    <t>On 5 December 2015, the Albanian Parliament passed Law no. 133/2015 (“2015 Property Act”), establishing a new compensation scheme with a view to implement the pilot-judgment in the case of Manushaqe Puto. In particular, the 2015 Property Act provides for the financial evaluation of claims concerning properties that have been nationalized during the regime and for the award of compensation (either financial or in-kind). To this end, the legislation establishes a Financial Compensation Fund and a Land Fund, the latter collecting all State-owned properties and lands that may be allocated as compensation in-kind.
(source: https://strasbourgobservers.com/2020/07/06/beshiri-et-al-v-albania-a-nail-in-the-coffin-for-compensation-claims-for-properties-nationalized-during-the-communist-regime-in-albania/)</t>
  </si>
  <si>
    <t>Unknown</t>
  </si>
  <si>
    <t>https://www.coe.int/en/web/impact-convention-human-rights/-/millions-paid-in-compensation-to-families-whose-lands-were-seized-under-communism,
https://www.venice.coe.int/webforms/documents/default.aspx?pdffile=CDL-REF(2016)049-e</t>
  </si>
  <si>
    <t>www.coe.int:
https://web.archive.org/web/20240417211809/https://www.coe.int/en/web/impact-convention-human-rights/-/millions-paid-in-compensation-to-families-whose-lands-were-seized-under-communism [17 April 2024]
www.venice.coe.int:
https://web.archive.org/web/20250613234147/https://www.venice.coe.int/webforms/documents/default.aspx?pdffile=CDL-REF(2016)049-e [13 June 2025]</t>
  </si>
  <si>
    <t xml:space="preserve">Council of Europe:
In response to the court’s pilot judgment, the Albanian government drafted a new law, with help from Council of Europe experts, which came into force in 2016, creating a new compensation scheme. The equivalent of €1.2bn was set aside to cover the cost of claims. By September 2018, the Albanian government had issued the equivalent of tens of millions of euros in financial compensation and in land, from a separate fund, in over 400 individual cases.
</t>
  </si>
  <si>
    <t>albania, restitution, albanian, compensation, property, land, law, judgment, rights, euros</t>
  </si>
  <si>
    <t>Charter for Peace and National Reconciliation: Compensation to Victims of the Algerian Civil War (Ordinance No. 06-01)</t>
  </si>
  <si>
    <t>Government of Algeria</t>
  </si>
  <si>
    <t>Algeria</t>
  </si>
  <si>
    <t>DZA</t>
  </si>
  <si>
    <t>Lower middle income</t>
  </si>
  <si>
    <t>Victims of the Algerian Civil War</t>
  </si>
  <si>
    <t>The Algerian Civil War (Arabic: الحرب الأهلية الجزائرية), known in Algeria as the Black Decade (Arabic: العشرية السوداء, French: La décennie noire), was a civil war fought between the Algerian government and various Islamist rebel groups from 11 January 1992 (following a coup negating an Islamist electoral victory) to 8 February 2002.
(source: https://en.wikipedia.org/wiki/Algerian_Civil_War)
The war broke out after Algerian military authorities suspended the country's first democratic national elections in the early nineties, to prevent an Islamist electoral victory. It is estimated to have caused around 200,000 dead or missing Algerians, with extremist fundamentalist groups generally held responsible for the most deaths, including atrocious massacres of civilians; but also with much criticism directed towards Algerian Special Forces and other military units for torture and "disappearances". Violence subsided in the mid-to late 1990s after a largely successful government campaign, but it still claims tens of lives each year, and some minor fundamentalist organizations continue to attack government and civilian targets.
(source: https://en.wikipedia.org/wiki/Charter_for_Peace_and_National_Reconciliation)</t>
  </si>
  <si>
    <t>USD</t>
  </si>
  <si>
    <t>16 Peace, Justice and Strong Institutions</t>
  </si>
  <si>
    <t>Charter for Peace and National Reconciliation</t>
  </si>
  <si>
    <t>https://webarchive.archive.unhcr.org/20230518202616/https://www.refworld.org/docid/46fb72f6a.html,
https://www.usip.org/publications/2003/09/commission-inquiry-algeria,
https://atjhub.csvr.org.za/algeria/</t>
  </si>
  <si>
    <t>www.refworld.org:
https://webarchive.archive.unhcr.org/20230518202616/https://www.refworld.org/docid/46fb72f6a.html [Archived by UNHCR on 18 May 2023]
www.usip.org:
https://web.archive.org/web/20241106092020/https://www.usip.org/publications/2003/09/commission-inquiry-algeria [06 November 2024]
atjhub.csvr.org.za:
https://web.archive.org/web/20240810232505/https://atjhub.csvr.org.za/algeria/ [10 August 2024]</t>
  </si>
  <si>
    <t>According to the the Transitional Justice Evaluation Tools, the cost estimate is: USD $37 million (Data up to 2024).
31 March 2024:
Following the Ad Hoc Inquiry Commission, Presidential Decree No. 05-278 provided for reparations for aggrieved families. Since 2006, approximately 2,640 families have received compensation totalling up to 37 million USD. (CENTRE FOR THE STUDY OF VIOLENCE AND RECONCILIATION (CSVR))
Canada: Immigration and Refugee Board of Canada: 
In September 2005, Algerians voted nearly 97 percent in favour of the Charter for Peace and National Reconciliation (Charte pour la paix et la réconciliation nationale) put forth by the Algerian government; the voter turnout rate was approximately 80 percent (Reuters 30 Sept. 2005; Carnegie and FRIDE n.d., 10). The Charter, which came into force in February 2006, provided for compensation for the victims of the national tragedy (tragédie nationale) (Algeria 28 Feb. 2006, Art. 37, 38 and 39). It also provides for amnesty for the members of armed groups who turned themselves in to authorities before the end of August 2006 (ibid., Art. 5; see also La Nouvelle République 30 Sept. 2006). [...] According to Algerian authorities, the compensation files of 41,000 victims of the national tragedy have been reviewed by the relevant authorities (La Tribune 16 Sept. 2006; see also L'Expression 18 Sept. 2006).
The United States Institute of Peace:
Presidential decree 05-278 proposed reparations for families of the disappeared. Since 2006, about 2,640 families have received compensation totaling approximately $37 million USD.  Compensation was only awarded, however, with the presentation of a death certificate, which many were reluctant to obtain without knowing the fate of their loved ones. Victims argued that the government was trying to bribe them to stop asking for information.</t>
  </si>
  <si>
    <t xml:space="preserve">NOTE ON CONVERSION: The total compensation disbursed (USD $37 million) comes from multiple sources dated 2024. We assume that this source reports the accumulated value of all payments made. For comparison purposes, we take this figure as of the 2024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
  </si>
  <si>
    <t>algerians, algerian, algeria, violence, civilians, peace, islamist, war, civil, العشرية</t>
  </si>
  <si>
    <t>Government of Argentina</t>
  </si>
  <si>
    <t>Argentina</t>
  </si>
  <si>
    <t>ARG</t>
  </si>
  <si>
    <t>Spouses and children of persons disappeared during the military rule in Argentina (1976-1983)</t>
  </si>
  <si>
    <t>Many Latin American countries experienced violent, right-wing military dictatorships during the Cold War. In Argentina, a military junta led by General Jorge Rafael Videla seized power from President Isabel Peron on March 24, 1976. Between 1976 and 1983, an estimated 10,000 to 30,000 people suspected of involvement with leftists guerrillas were “disappeared” by the authorities in what was known as the “Dirty War.” Victims were taken to clandestine detention centers, where the majority were tortured and killed. Some were dumped out of airplanes—dead or alive—over the Atlantic Ocean. Those taken came to be known as the Desaparecidos, the Spanish word for “disappeared.”
(source: https://hmh.org/education/argentina-1976-1983/)</t>
  </si>
  <si>
    <t>Reparations payments are still ongoing.</t>
  </si>
  <si>
    <t>Transitional Justice Evaluation Tools (ID: 54)</t>
  </si>
  <si>
    <t>Reglamentación De Ley 23466 Sobre Pensiones Para Menores Con Padres Desaparecidos</t>
  </si>
  <si>
    <t>Report of the Reparation &amp; Rehabilitation Committee -  THE ARGUMENT FOR REPARATION: COMPARAT IVE AND CUSTOMARY LAW (Volum e 6, Section 2, Chapter 3)</t>
  </si>
  <si>
    <t>https://sabctrc.saha.org.za/originals/finalreport/vol6_s2ch3%20amnesty.pdf</t>
  </si>
  <si>
    <t>According to the Transitional Justice Evaluation Tools, the cost estimate is: USD$1.9 billion; and the beneficiaries count is: 23358 (Data up to 2024).
Report of the Reparation &amp; Rehabilitation Committee (2003):
Law No. 23 466 (Argentina, 1987) granted a pension of $140 per month to children of the disappeared (until they reached the age of 21 years). The estimated cost to the state of these reparations is between $2 and $3 billion.</t>
  </si>
  <si>
    <t>The reported amounts pledged and paid are inconsistent across sources and therefore remain uncertain. The REPAIR team has taken into consideration the most up-to-date source available.
For more background information see:
&gt; The International Center for Transitional Justice (https://www.ictj.org/where-we-work/argentina);
&gt; Greiff, Pablo de (ed.), 'Argentina', in Pablo de Greiff (ed.), The Handbook of Reparations (Oxford, 2006; online edn, Oxford Academic, 1 May 2006), https://doi.org/10.1093/0199291926.003.0022</t>
  </si>
  <si>
    <t>pensions, minors, minor, age, parents, 21, disappearances, children, regulation, victims</t>
  </si>
  <si>
    <t xml:space="preserve">Law No. 24.043 of 1991: Benefits are granted to persons who had been placed at the disposal of the P.E.N. during the state of siege, or being civilians had been detained by virtue of acts emanating from military tribunals;
Law No. 24.411 of 1994: Benefits that persons in such situation shall be entitled to receive through their successors in title
</t>
  </si>
  <si>
    <t>Victims of the military rule in Argentina (1976-1983) as described by the two laws</t>
  </si>
  <si>
    <t>Law No. 24.043 of 1991:
As a consequence of the serious human rights violations committed by the dictatorship in Argentina from 1976 to 1983, on January 2, 1992, Law 24.043 was published in the Official
Gazette, through which "benefits were granted to persons who had been placed at the disposal of the National Executive Power (P.E.N.) during the state of siege or who, being civilians, had been detained by virtue of acts emanating from military courts", provided that they had not received
any compensation by virtue of a judicial sentence, "due to the facts contemplated herein".
(source: https://www.corteidh.or.cr/docs/casos/articulos/seriec_385_ing.pdf)
Law No. 24.411 of 1994:
This law extends the scope of the national reparations programme and authorises reparations for the heirs of victims of forced disappearance and extrajudicial killing.
(source: https://asia-ajar.org/resources/books-research/transitional-justice-handbook/)</t>
  </si>
  <si>
    <t>The payments registered have been made under two laws enacted in 1991 and 1994.
Reparations payments are still ongoing, therefore the end year of payments is recorded as 2024.</t>
  </si>
  <si>
    <t>Ley N° 24.043: Otórganse beneficios a las personas que hubieran sido puestas a disposición del P.E.N. durante la vigencia del estado de sitio, o siendo civiles hubiesen sufrido detención en virtud de actos emanados de tribunales militares;
Ley Nº 24.411: Beneficios que tendrán derecho a percibir por medio de sus causahabientes, personas que se encuentren en tal situación</t>
  </si>
  <si>
    <t>https://sabctrc.saha.org.za/originals/finalreport/vol6_s2ch3%20amnesty.pdf,
https://www.argentina.gob.ar/normativa/nacional/ley-24411-793/actualizacion,
https://www.infobae.com/opinion/2024/05/07/las-indemnizaciones-que-va-a-auditar-el-ministro-cuneo-libarona/</t>
  </si>
  <si>
    <t>According to the Transitional Justice Evaluation Tools (ID: 55), the cost estimate is: USD$1.7 billion; and the beneficiaries count is: 23358.
According to the Transitional Justice Evaluation Tools (ID: 56), the cost estimate is: USD$1.9 billion; and the beneficiaries count is: 23358.
Law No. 24 043 (Argentina, 11 May 1994) provided monetary reparations for those imprisoned for political reasons or forced into exile. The law applied to political prisoners held without trial; those who had been ‘temporarily died’, and whose case was reported to the media, to the truth commission or to a human rights organisation at the time, and to those a ested and sent into exile by the authorities. The award amounted to the equivalent of the daily salary rate of the highest-paid civil servant for each day the victim spent in prison or in forced exile. The award was made in a one-time payment of state bonds and could not exceed $220 000. If the victim had died while in prison, his or her family was entitled to the same daily rate up until the date of death plus the equivalent of five years at the same rate up to a total of $220 000. If the victim had been seriously wounded while in prison, his or her family was entitled to the daily rate plus the equivalent of 3.5 years at the same rate, up to a total of $220 000. The estimated cost of these reparations to the state was approximately $500 million.
Report of the Reparation &amp; Rehabilitation Committee (2003):
Law No. 24 411 (Argentina, 7 December 1994) provided for monetary reparations for families of the disappeared and killed. Victims had to have been listed in the report of the National Commission on the Disappeared or have been subsequently reported to the govern s Human Rights Office (which re es verification through mention in the media, a human rights report or court documents). The amount of the award was a one-time payment to the family of $220 000 paid in state bonds. The amount was determined with re ence to the civil service pay scheme and equivalent to 100 months at the salary level of the highest-paid civil servant.
7 May 2024: For the first time in 30 years, with the approval of President Javier Milei, by decision of the Minister of Justice, Mariano Cúneo Libarona, and initiative of the Secretary of Human Rights, Alberto Baños, the payments of about 23,000 files through which millionaire benefits were paid to alleged victims of illegal State repression will be reviewed. The total amount, it is estimated, exceeds three billion US dollars and has been paid since 1991, the year in which the first of the two most important "reparative" laws in this matter was promulgated, in the time of Carlos Menen. (Translated from infobae.com)</t>
  </si>
  <si>
    <t>NOTE ON CONVERSION: The total compensation disbursed (USD $3 billion) is reported as an accumulated figure as of 2024.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For more background information see:
&gt; The International Center for Transitional Justice (https://www.ictj.org/where-we-work/argentina);
&gt; Greiff, Pablo de (ed.), 'Argentina', in Pablo de Greiff (ed.), The Handbook of Reparations (Oxford, 2006; online edn, Oxford Academic, 1 May 2006), https://doi.org/10.1093/0199291926.003.0022</t>
  </si>
  <si>
    <t>benefits, civilians, detained, tribunals, siege, granted, law, disposal, military, persons</t>
  </si>
  <si>
    <t>Certain Phosphate Lands in Nauru (Nauru v. Australia)</t>
  </si>
  <si>
    <t>Government of Australia</t>
  </si>
  <si>
    <t>Australia</t>
  </si>
  <si>
    <t>AUS</t>
  </si>
  <si>
    <t>High income</t>
  </si>
  <si>
    <t>Government of Nauru</t>
  </si>
  <si>
    <t>Nauru</t>
  </si>
  <si>
    <t>NRU</t>
  </si>
  <si>
    <t>International</t>
  </si>
  <si>
    <t>On 19 May 1989 the Republic of Nauru filed in the Registry of the Court an Application instituting proceedings against the Commonwealth of Australia in respect of a dispute concerning the rehabilitation of certain phosphate lands mined under Australian administration before Nauruan independence. In its Application, Nauru claimed that Australia had breached the trusteeship obligations it had accepted under Article 76 of the Charter of the United Nations and under the Trusteeship Agreement for Nauru of 1 November 1947. Nauru further claimed that Australia had breached certain obligations towards Nauru under general international law, more particularly with regard to the implementation of the principle of self-determination and of permanent sovereignty over natural wealth and resources. Australia was said to have incurred an international legal responsibility and to be bound to make restitution or other appropriate reparation to Nauru for the damage and prejudice suffered. Within the time-limit fixed for the filing of its Counter-Memorial, Australia raised certain preliminary objections relating to the admissibility of the Application and the jurisdiction of the Court.
(source: https://www.icj-cij.org/case/80)</t>
  </si>
  <si>
    <t>Environmental damage</t>
  </si>
  <si>
    <t>To be paid over 20 years. 
For a detailed chronology of key events on the island: https://www.bbc.com/news/world-asia-pacific-15433901</t>
  </si>
  <si>
    <t>AUD</t>
  </si>
  <si>
    <t>Collective</t>
  </si>
  <si>
    <t>Other</t>
  </si>
  <si>
    <t>Unapplicable</t>
  </si>
  <si>
    <t>13 Climate Action</t>
  </si>
  <si>
    <t>Wikipedia</t>
  </si>
  <si>
    <t>https://opil.ouplaw.com/display/10.1093/law:epil/9780199231690/law-9780199231690-e110?d=%2F10.1093%2Flaw%3Aepil%2F9780199231690%2Flaw-9780199231690-e110&amp;p=emailAMUqSwtAWSs%2FU,
https://www.theguardian.com/world/2016/aug/10/a-short-history-of-nauru-australias-dumping-ground-for-refugees,
https://www.bbc.com/news/world-asia-pacific-15433901</t>
  </si>
  <si>
    <t>opil.ouplaw.com:
/web/20251203134155/https://opil.ouplaw.com/display/10.1093/law:epil/9780199231690/law-9780199231690-e110?d=%2F10.1093%2Flaw%3Aepil%2F9780199231690%2Flaw-9780199231690-e110&amp;p=emailAMUqSwtAWSs%2FU [03 December 2025]
www.theguardian.com:
https://web.archive.org/web/20250916175805/https://www.theguardian.com/world/2016/aug/10/a-short-history-of-nauru-australias-dumping-ground-for-refugees [16 September 2025]
www.bbc.com:
https://web.archive.org/web/20250213181414/https://www.bbc.com/news/world-asia-pacific-15433901 [13 February 2005]</t>
  </si>
  <si>
    <t xml:space="preserve">Oxford Public International Law (2008):
However, before a decision on the merits could have been delivered, Australia and Nauru reached a friendly settlement of the case outside the courtroom (‘Australia-Nauru Settlement Agreement’). In the agreement of 10 August 1993, Australia agreed to pay the Republic of Nauru a cash settlement of $107 million Australian dollars (in multiple instalments over a period of 20 years) and to provide further development assistance after that period.
9 August 2016: In 1993, for instance, Australia agreed to pay reparations for its mismanagement of the mining that destroyed Nauru’s natural environment (but only after Nauru took Australia to the international court of justice). (The Guardian)
20 February 2018: 1993 - Australia agrees to pay out-of-court settlement of $73m over 20 years. New Zealand and the UK agree to pay a one-time settlement of $8.2m each. (BBC)
Wikipedia:
After the opinion on preliminary matters was handed down, Nauru and Australia negotiated a settlement. Reportedly there was a payment of $107 million Australian Dollars, along with a commitment to spend AUD$2.5m each year on environmental remediation. New Zealand and the United Kingdom contributed to Australia's settlement.
</t>
  </si>
  <si>
    <t>NOTE ON CONVERSION: The payment data were converted using the start year of the payment period as the reference year.</t>
  </si>
  <si>
    <t>nauru, reparations, compensation, settlement, pay, australia, phosphate, paid, court, mining</t>
  </si>
  <si>
    <t>Aid Package for Stolen Generations in Australia</t>
  </si>
  <si>
    <t>Aboriginals "Stolen Generations" in Australia</t>
  </si>
  <si>
    <t>Indigenous children in Australia had been being forcibly removed from their families since Australia was first colonised ca. 1770. These actions increased throughout the late 19th and early-to-mid 20th centuries under government policies designed to 'assimilate' Aboriginal children. Various methods to accomplish this were utilised, such as welfare programs that took Aboriginal children away from their families and placed them with non-Aboriginal foster families. The removals declined significantly following the 1972 election of a Labour government that was committed to Aboriginal self-determination. A National Inquiry into the matter was established in 1995 by then-Attorney-General, the Hon. Michael Lavarch, in response to growing pressure from Aboriginal agencies and groups that were concerned over popular ignorance of this long-running, government-run, denial of human rights.
(source: Political Apologies and Reparations Archive)</t>
  </si>
  <si>
    <t>Cultural harm and forced assimilation</t>
  </si>
  <si>
    <t>Child maltreatment</t>
  </si>
  <si>
    <t>1-Jan-1770</t>
  </si>
  <si>
    <t>To be provided over 4 years.</t>
  </si>
  <si>
    <t>Aid</t>
  </si>
  <si>
    <t>Political Apologies and Reparations Archive (2005.0063.02)</t>
  </si>
  <si>
    <t>Human Rights &amp; Equal Opportunity Commission (Australia)</t>
  </si>
  <si>
    <t>Original URL snapshot is saved as a PDF in the Political Apologies and Reparations Archive</t>
  </si>
  <si>
    <t xml:space="preserve">Political Apologies and Reparations Archive:
Compensation: $63 million (AUD) for health, counselling, and family services for Aboriginals. Summary of the Document Source: A press release reporting the government's actions taken towards the development of the 'Bringing Them Home' report. The government promises $63 million (AUD) in aid, but rejects claims for education, personal reparation and monetary compensation, or a national apology.
</t>
  </si>
  <si>
    <t>The package was controversial because it was released alongside the government's refusal to issue a formal apology or pay monetary compensation to survivors.</t>
  </si>
  <si>
    <t>Australia, Aboriginal, children, Stolen Generation, reparations, reparation, welfare, aid, indigenous, compensation, families</t>
  </si>
  <si>
    <t>The Under Award Wages Compensation Scheme (1999-2002) in Queensland</t>
  </si>
  <si>
    <t>Government of Queensland (Australia)</t>
  </si>
  <si>
    <t>Aboriginal and Torres Strait Islander Queenslanders who were directly affected by previous government controls over their wages and savings</t>
  </si>
  <si>
    <t>From the late 19th Century, and for the greater part of the 20th Century, the Queensland Government exercised control over all aspects of the lives of people who were subject to the various legislation listed below. This included control over their wages and savings which became known around the state as the stolen wages. Since 1999, the Queensland Government has undertaken a number of compensation and reparations processes for Aboriginal and Torres Strait Islander peoples who suffered direct disadvantage as a result of these racially discriminatory government practices, such as “stolen wages".
(source: The Stolen Wages Reparations Taskforce)
The Under Award Wages Compensation Scheme 1999-2002. Payment of $7000 for each person who: worked for the departments responsible for Aboriginal and Torres Strait Islander affairs between 1 October 1975 and 29 October 1986; who were not paid award wages for work they
performed were alive on 31 May 1999.
(source: https://cabinet.qld.gov.au/documents/2016/Apr/StlWages/Attachments/Response.PDF)</t>
  </si>
  <si>
    <t>Racism, discrimination, genocide, ethnic cleansing</t>
  </si>
  <si>
    <t>https://www.qld.gov.au/__data/assets/pdf_file/0015/36312/stolen-wages-taskforce-report-web.pdf
https://cabinet.qld.gov.au/documents/2016/Apr/StlWages/Attachments/Response.PDF</t>
  </si>
  <si>
    <t xml:space="preserve">www.qld.gov.au:
https://web.archive.org/web/20250907220729/https://www.qld.gov.au/__data/assets/pdf_file/0015/36312/stolen-wages-taskforce-report-web.pdf [07 September 2025]
cabinet.qld.gov.au:
https://web.archive.org/web/20230604064253/https://cabinet.qld.gov.au/documents/2016/Apr/StlWages/Attachments/Response.PDF [04 June 2023]
</t>
  </si>
  <si>
    <t>March 2016:
The Under Award Wages Compensation Scheme (1999-2002) - Total compensation of $40.1 million. Payments of $7,000 per person were made to people who:
- worked for the department between 1 October 1975 and 29 October 1986;
- were not paid award wages for work they performed; and
- were still alive on 31 May 1999.
(Queensland Stolen Wages Reparations Taskforce Report)
May 2016:
In addition to the 2002 reparations offer, the Queensland Government has endeavoured to address other long-standing issues arising from past injustices, including over $40 million of payments under the related but separate Compensation for Non-Payment of Award Wages
(1975–1986) Scheme. This resulted in 5729 claimants receiving compensation payments of
$7000 between 1999 and 2003.
(Queensland Government response to the Stolen Wages Reparations Taskforce report, Reconciling Past Injustice)</t>
  </si>
  <si>
    <t>NOTE ON CONVERSION: The payment data were converted using the start year of the payment period as the reference year.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</si>
  <si>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Australia, Australian, Aboriginal, Aborigine, Torres Strait, Islanders, compensation, wages, queensland, reparations, aboriginal, payments, discriminatory, paid, legislation, stolen</t>
  </si>
  <si>
    <t>Indigenous Wages and Savings Reparations (2002-2010) in Queensland</t>
  </si>
  <si>
    <t>From the late 19th Century, and for the greater part of the 20th Century, the Queensland Government exercised control over all aspects of the lives of people who were subject to the various legislation listed below. This included control over their wages and savings which became known around the state as the stolen wages. Since 1999, the Queensland Government has undertaken a number of compensation and reparations processes for Aboriginal and Torres Strait Islander peoples who suffered direct disadvantage as a result of these racially discriminatory government practices, such as “stolen wages". (source: The Stolen Wages Reparations Taskforce)</t>
  </si>
  <si>
    <t>Political Apologies and Reparations Archive (2006.0096.01)</t>
  </si>
  <si>
    <t>March 2016:
Indigenous Wages and Savings Reparations (2002-2010) - $55.4 million allocated with $35.5 million distributed as follows: $7,000 to eligible claimants born on or before 31 December 1951; and $3,500 to eligible claimants born on or between 1 January 1952 and on or before 31 December 1956 who: had their wages or savings controlled under a ‘Protection Acts’; and were alive on 9 May 2002. [...] Of the $55.4 million allocated to the Indigenous Wages and Savings Reparations (2002-2010), only $35.5 million was distributed which meant just under $20 million was left unspent. This amount was then used to establish a trust fund for the Queensland Aboriginal and Torres Strait Islander Foundation (QATSIF). QATSIF was established to provide education scholarships to support Aboriginal and Torres Strait Islander children and young people. (Queensland Stolen Wages Reparations Taskforce Report)
May 2016:
In 2002, a $55.4 million fund was established with the aim of easing the lasting pain caused by the policies and controls of previous governments under a series of legislative provisions controlling the wages and savings of Aboriginal people and Torres Strait Islander people. The offer was made following a community consultation process with Aboriginal and Torres Strait Islander communities throughout Queensland by the Queensland Aboriginal and Torres Strait Islander Legal Service. Up to the closing of the initial offer in January 2006, the Queensland Government had received 8761 claims, of which 63 per cent were deemed eligible for payment. A further process took place from 2008 to 2010 with a final total of 5779 applicants found eligible. (Queensland Government response to the Stolen Wages Reparations Taskforce report, Reconciling Past Injustice)</t>
  </si>
  <si>
    <t>NOTE ON CONVERSION: The payment data were converted using the start year of the payment period as the reference year.
The full pledged amount was disbursed, so the two columns align.</t>
  </si>
  <si>
    <t>Australia, Australian, Aboriginal, Aborigine, Torres Strait, Islanders, reparations, aboriginal, queensland, wages, compensation, indigenous, claimants, savings, discriminatory, islander</t>
  </si>
  <si>
    <t>Compensation to "Forgotten Australians" (Tasmania)</t>
  </si>
  <si>
    <t>Government of Tasmania (Australia)</t>
  </si>
  <si>
    <t>"Forgotten Australians"</t>
  </si>
  <si>
    <t>Multiple</t>
  </si>
  <si>
    <t>Over the past century thousands of children were taken from unmarried mothers and impoverished families and were sent alone to live in Australia. One report commissioned by the Australian government, entitled Right the Record, found that between 6,000 and 30,000 children immigrated from Britain and Malta. A second report, titled Forgotten Australians, estimates that over 500,000 Australian children were sent to foster homes, orphanages and other state-run institutions. Many of such children endured years of emotional, physical and sexual abuse while under state care. These child immigrants and Australian children became known as the Forgotten Australians.
(source: Political Apologies and Reparations Archive)</t>
  </si>
  <si>
    <t>Political Apologies and Reparations Archive (2009.0057.01 - Updated)</t>
  </si>
  <si>
    <t>Parliament of Australia</t>
  </si>
  <si>
    <t>https://www.aph.gov.au/Parliamentary_Business/Committees/Senate/Legal_and_Constitutional_Affairs/Completed_inquiries/2010-13/govtcomp/report/~/media/wopapub/senate/committee/legcon_ctte/completed_inquiries/2010-13/govt_comp/report/c02.ashx</t>
  </si>
  <si>
    <t>www.aph.gov.au: http://web.archive.org/web/20220522172216/https://www.aph.gov.au/Parliamentary_Business/Committees/Senate/Legal_and_Constitutional_Affairs/Completed_inquiries/2010-13/govtcomp/report/~/media/wopapub/senate/committee/legcon_ctte/completed_inquiries/2010-13/govt_comp/report/c02.ashx [22 May 2022]</t>
  </si>
  <si>
    <t>Parliament of Australia:
Tasmania was the first state to establish a redress scheme. In June 2003, the Tasmanian Government asked the Tasmanian Ombudsman to conduct an independent review of claims by adults who suffered abuse while they were children in state care. Six weeks after the review commenced, the Tasmanian Premier, the Hon Jim Bacon MP, announced that ex gratia payments of up to $60,000 would be made to provide some redress to eligible claimants. The Ombudsman presented an initial report in November 2004 which recommended that the government continue to receive claims. This recommendation was accepted and a statistical report on phase 2 of the process was presented in June 2006. The Ombudsman reported that by the conclusion of phase 2 in June 2006, a total of 878 claims had been received, with 670 accepted as eligible. The Tasmanian Government has since announced that the scheme will be open-ended with new claims eligible for payments of up to $35,000. By November 2009, over 1,800 claims had been considered and ex gratia payments of over $37 million had been made.</t>
  </si>
  <si>
    <t>NOTE ON CONVERSION: The total compensation disbursed (USD $37 million) is reported as an accumulated figure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</si>
  <si>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Australia, Australian, children, child, immigrants, Britain, Malta, foster homes, orphanages, abuse, emotional abuse, physical abuse, sexual abuse, Forgotten Australians, forgotten, child immigrants, state care, Righting the Record, tasmanian, tasmania, orphanages, claimants, forgotten, compensation, children</t>
  </si>
  <si>
    <t>Mission Workers Compensation Programme (2006-2012) in Queensland</t>
  </si>
  <si>
    <t>People who worked for the churches in Aurukun, Hope Vale, Wujal Wujal, Doomadgee and on Mornington Island who were not paid award wages for work they performed</t>
  </si>
  <si>
    <t>From the late 19th Century, and for the greater part of the 20th Century, the Queensland Government exercised control over all aspects of the lives of people who were subject to the various legislation listed below. This included control over their wages and savings which became known around the state as the stolen wages. Since 1999, the Queensland Government has undertaken a number of compensation and reparations processes for Aboriginal and Torres Strait Islander peoples who suffered direct disadvantage as a result of these racially discriminatory government practices, such as “stolen wages".
(source: The Stolen Wages Reparations Taskforce)</t>
  </si>
  <si>
    <t>The Stolen Wages Reparations Taskforce</t>
  </si>
  <si>
    <t>https://www.qld.gov.au/__data/assets/pdf_file/0015/36312/stolen-wages-taskforce-report-web.pdf</t>
  </si>
  <si>
    <t>www.qld.gov.au: http://web.archive.org/web/20250605060301/https://www.qld.gov.au/__data/assets/pdf_file/0015/36312/stolen-wages-taskforce-report-web.pdf [05 June 2025]</t>
  </si>
  <si>
    <t>March 2016:
Mission Workers (2006-2012) - Total compensation of $5.9 million.
Payments varied from $3,500 to $85,000 (average of $6,923) to people who worked for the churches in Aurukun, Hope Vale, Wujal Wujal, Doomadgee and on Mornington Island:
- between 1 October 1975 and various dates (depending upon transition dates from church control);
- who were not paid award wages for work they performed; and
- who were alive on 31 May 1999.
(Queensland Stolen Wages Reparations Taskforce Report)</t>
  </si>
  <si>
    <t>Australia, Australian, Aboriginal, Aborigine, Torres Strait, Islanders, wages, queensland, compensation, aboriginal, reparations, workers, paid, payments, discriminatory, mission</t>
  </si>
  <si>
    <t>Reparations for Stolen Generations (Tasmania) (The Stolen Generations of Aboriginal Children Act 2006)</t>
  </si>
  <si>
    <t>Aboriginal Tasmanians members of the "Stolen Generation" (and, in some cases, the children of deceased eligible individuals)</t>
  </si>
  <si>
    <t>Indigenous children in Australia had been being forcibly removed from their families since Australia was first colonized ca. 1770. These actions increased throughout the late 19th and early-to-mid 20th centuries under government policies designed to 'assimilate' Aboriginal children. Various methods to accomplish this were utilized, such as welfare programs that took Aboriginal children away from their families and placed them with non-Aboriginal foster families. The removals declined significantly following the 1972 election of a Labour government that was committed to Aboriginal self-determination. A National Inquiry into the matter was established in 1995 by then-Attorney-General, the Hon. Michael Lavarch, in response to growing pressure from Aboriginal agencies and groups that were concerned over popular ignorance of this long-running, government-run, denial of human rights.
(source: Political Apologies and Reparations Archive)</t>
  </si>
  <si>
    <t>The scheme was open for one year in 2007.</t>
  </si>
  <si>
    <t>https://humanrights.gov.au/sites/default/files/content/social_justice/sj_report/sjreport08/downloads/chap4.pdf,
https://www.theguardian.com/world/2008/jan/22/australia.barbaramcmahon,
https://www.legislation.tas.gov.au/view/whole/html/asmade/act-2006-034,
https://www.vic.gov.au/sites/default/files/2022-02/Appendix%203%20-%20Past%20Reparations%20and%20Redress%20Research%20Summary.pdf</t>
  </si>
  <si>
    <t>humanrights.gov.au:
https://web.archive.org/web/20220420003646/https://humanrights.gov.au/sites/default/files/content/social_justice/sj_report/sjreport08/downloads/chap4.pdf [20 April 2022]
www.theguardian.com:
https://web.archive.org/web/20230615050226/https://www.theguardian.com/world/2008/jan/22/australia.barbaramcmahon [15 June 2023]
www.legislation.tas.gov.au:
https://web.archive.org/web/20251002133710/https://www.legislation.tas.gov.au/view/whole/html/asmade/act-2006-034 [02 October 2025]
www.vic.gov.au:
https://web.archive.org/web/20220708082047/https://www.vic.gov.au/sites/default/files/2022-02/Appendix%203%20-%20Past%20Reparations%20and%20Redress%20Research%20Summary.pdf [08 July 2022]</t>
  </si>
  <si>
    <t>According to the Transitional Justice Evaluation Tools, the beneficiaries are: 151; and the cost estimate is: A$5 million.
Australian Human Rights Commission: 18 October 2006 - The first Stolen Generations compensation scheme in Australia is set up in Tasmania by the Stolen Generations of Aboriginal Children Act 2006 (Tas). Applications were open for six months from the commencement of the Act on 15 January 2007. A total of 151 claims were received, with 106 eligible for payment. Stolen Generations members received $58,333.33 each and 22 descendants either $5000 or $4000 each depending on how many people were within the particular family group.
Stolen Generations of Aboriginal Children Act 2006: Without further appropriation than this subsection, an amount of $5 million is to be paid from the Consolidated Fund into the Stolen Generations Fund.
Stolen Generations Reparations Steering Committee:
The Tasmania Stolen Generations Reparations Scheme was the first Reparations package offered to Stolen Generations in Australia. The Tasmanian package offered financial reparations to Stolen Generations and their children and was open for one year in 2007.
22 January 2008: Tasmania today approved millions of dollars in compensation for members of the "stolen generation" of Aborigines removed from their families, its premier calling this an attempt to right a shameful wrong in the island's history. A total of 106 claimants will share a A$5m (£2.2m) fund set up for indigenous children forcibly taken from their parents. Of the 106 Tasmanian claimants whose cases were heard by an independent assessor, 84 people removed from their families as children will each receive A$58,000 while 22 children of victims who have since died will receive about A$5,000 each. Another 45 cases were rejected. (The Guardian)</t>
  </si>
  <si>
    <t>Tasmania, Australia, Aborigines, Lennon, Stolen Generation, Bass Strait, Cape Barren, Goose Island, Clarke Island, Howard, Rundle, aboriginal, tasmanians, tasmania, tasmanian, reparations, welfare, generations, australian, indigenous, aborigines</t>
  </si>
  <si>
    <t>Compensation to "Forgotten Australians" (Queensland) (The Forde Redress Scheme)</t>
  </si>
  <si>
    <t>"Forgotten Australians" (victims of abuse and neglect as children in Queensland institutions)</t>
  </si>
  <si>
    <t>Over the past century thousands of children were taken from unmarried mothers and impoverished families and were sent alone to live in Australia. One report commissioned by the Australian government, entitled Right the Record, found that between 6,000 and 30,000 children immigrated from Britain and Malta. A second report, titled Forgotten Australians, estimates that over 500,000 Australian children were sent to foster homes, orphanages and other state-run institutions. Many of such children endured years of emotional, physical and sexual abuse while under state care. These child immigrants and Australian children became known as the Forgotten Australians.
(source: Political Apologies and Reparations Archive)
The Queensland Government was the first in Australia to formally recognise the experiences of Forgotten Australians after the 1998-99 Commission of Inquiry into abuse of children in Queensland institutions, better known as the Forde Inquiry.
(source: https://www.qld.gov.au/community/getting-support-health-social-issue/support-victims-abuse/support-for-forgotten-australians)</t>
  </si>
  <si>
    <t>Applications for a payment under the scheme opened 1 October 2007 and closed 30 September 2008.
The scheme was finalised in June 2010.
(https://www.findandconnect.gov.au/entity/redress-scheme/)</t>
  </si>
  <si>
    <t>Care Leavers Australia Network</t>
  </si>
  <si>
    <t>https://web.archive.org/web/20091125180733/http://www.clan.org.au/redress.php,
https://www.aph.gov.au/Parliamentary_Business/Committees/Senate/Legal_and_Constitutional_Affairs/Completed_inquiries/2010-13/govtcomp/report/~/media/wopapub/senate/committee/legcon_ctte/completed_inquiries/2010-13/govt_comp/report/c02.ashx</t>
  </si>
  <si>
    <t>www.clan.org.au:
https://web.archive.org/web/20091125180733/http://www.clan.org.au/redress.php [25 November 2009]
www.aph.gov.au: http://web.archive.org/web/20220522172216/https://www.aph.gov.au/Parliamentary_Business/Committees/Senate/Legal_and_Constitutional_Affairs/Completed_inquiries/2010-13/govtcomp/report/~/media/wopapub/senate/committee/legcon_ctte/completed_inquiries/2010-13/govt_comp/report/c02.ashx [22 May 2022]</t>
  </si>
  <si>
    <t>Parliament of Australia:
In May 2007, the Queensland Government established a redress scheme with funding of up to $100 million. The scheme provided for ex gratia payments of between $7,000 and $40,000, and was open to applications for a limited period. The scheme received over 10,200 applications between 1 October 2007 and 30 September 2008 (the closing date of the scheme). Of these, over 7,400 were assessed as eligible for a level 1 payment. Approximately 3,500 applicants were offered an additional level 2 payment, ranging from $6,000 to $33,000.
Care Leavers Australia Network:
The Queensland Government created a redress scheme after the Forde Inquiry into institutional care of children was held in 1998-99. Eligible applicants received an ex gratia payment, ranging from $7,000 up to $40,000. The redress scheme only covered those people who were in institutions that were named in the Forde inquiry and did not cover people who were abused in foster care. The scheme closed on 30th September 2008 and at this stage no other applications will be accepted.</t>
  </si>
  <si>
    <t>Australia, Australian, children, child, immigrants, foster homes, orphanages, abuse, emotional abuse, physical abuse, sexual abuse, Forgotten Australians, forgotten, child immigrants, state care, queensland, orphanages, forgotten, australia, payments, assessed, eligible, compensation</t>
  </si>
  <si>
    <t>Compensation to "Forgotten Australians" (Western Australia)</t>
  </si>
  <si>
    <t>Government of Western Australia</t>
  </si>
  <si>
    <t>"Forgotten Australians" (Aboriginal people removed from their families in Western Australia before July 1, 1972)</t>
  </si>
  <si>
    <t>Over the past century thousands of children were taken from unmarried mothers and impoverished families and were sent alone to live in Australia. One report commissioned by the Australian government, entitled Right the Record, found that between 6,000 and 30,000 children immigrated from Britain and Malta. A second report, titled Forgotten Australians, estimates that over 500,000 Australian children were sent to foster homes, orphanages and other state-run institutions. Many of such children endured years of emotional, physical and sexual abuse while under state care. These child immigrants and Australian children became known as the Forgotten Australians.
(source: Political Apologies and Reparations Archive, 2009.0057.01)
From 1920 to the 1990s, around 55,000 children were put under the care of the state of Western Australia, many of whom were abused and/or neglected while under state care. This number included about 3,000 Aboriginal children and about 2,921 child migrants.
(source: Political Apologies and Reparations Archive, 2010.0056.01)</t>
  </si>
  <si>
    <t>Political Apologies and Reparations Archive (2010.0056.01 - Updated)</t>
  </si>
  <si>
    <t>https://web.archive.org/web/20091002202107/http://www.clan.org.au/redress-by-state.php?stateID=5,
https://web.archive.org/web/20090919222104/http://www.redress.wa.gov.au//,
https://www.aph.gov.au/Parliamentary_Business/Committees/Senate/Legal_and_Constitutional_Affairs/Completed_inquiries/2010-13/govtcomp/report/~/media/wopapub/senate/committee/legcon_ctte/completed_inquiries/2010-13/govt_comp/report/c02.ashx,
https://www.findandconnect.gov.au/entity/redress-wa-2/</t>
  </si>
  <si>
    <t>www.clan.org.au:
https://web.archive.org/web/20091002202107/http://www.clan.org.au/redress-by-state.php?stateID=5 [02 October 2009]
www.redress.wa.gov.au:
https://web.archive.org/web/20090919222104/http://www.redress.wa.gov.au// [19 September 2009]
www.aph.gov.au: http://web.archive.org/web/20220522172216/https://www.aph.gov.au/Parliamentary_Business/Committees/Senate/Legal_and_Constitutional_Affairs/Completed_inquiries/2010-13/govtcomp/report/~/media/wopapub/senate/committee/legcon_ctte/completed_inquiries/2010-13/govt_comp/report/c02.ashx [22 May 2022]
www.findandconnect.gov.au:
https://web.archive.org/web/20250421183858/https://www.findandconnect.gov.au/entity/redress-wa-2/ [21 April 2025]</t>
  </si>
  <si>
    <t>Political Apologies and Reparations Archive (2010.0056.01):
The Redress WA Scheme was announced by the Western Australian Government on 17 December 2007. It provides redress to people who were abused as children while under the care of the state.  Among some of the features of the program are ex-gratia payments of AUD 5,000 to AUD 45,000 and counselling services.
Care Leavers Australia Network:
On 17 December 2007, the former Western Australian Government announced the $114 million Redress WA Scheme for those adults who, as children, were abused and/or neglected in WA State care in Western Australia.  The scheme opened in May 2008 and will be closing April 30 2009.
Government of Western Australia (August 2009):
When Redress WA was established in 2008, a total budget of $114 million was allocated to administer the scheme. $90.2 million of this funding was set aside for ex-gratia payments alone. Following the close of the scheme, early evaluation of the applications shows a large number of the claims are severe
Parliament of Australia:
On 17 December 2007, the Western Australian Government announced the establishment of the $114 million Redress WA Scheme to provide adults who, as children, were abused or neglected in state care in Western Australia. The Redress WA Scheme includes access to counselling services, an ex gratia payments and an apology. Initially, the maximum payment under the scheme was to be $80,000 but that was subsequently reduced to $45,000. In February 2010, the Western Australian Government made the first offers of ex gratia payments to 100 applicants under the scheme, ranging from $5,000 to $45,000. The recipients of ex gratia payments are not required to waive their rights to seek further legal redress when accepting an ex gratia payment. By June 2010, Redress WA had paid over $13 million to eligible applicants.
Find &amp; Connect:
On 14 August 2012, in answer to questions put to her in the Legislative Council, the Minister for Community Services provided the following overview of the Redress WA Scheme: 5,212 payments totaling $117,740,167 were made from 5,225 offers.</t>
  </si>
  <si>
    <t>NOTE ON CONVERSION: The total compensation disbursed ($117,740,167) is reported as an accumulated figure as of 2012. We assume this figure represents the total value of all payments over the entire period. For comparison purposes, we treat it as a 2012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amount pledged is $114 million.</t>
  </si>
  <si>
    <t>Australia, Australian, children, child, immigrants, Britain, Malta, foster homes, orphanages, abuse, emotional abuse, physical abuse, sexual abuse, Forgotten Australians, forgotten, child immigrants, state care, Righting the Record, aboriginal, reparations, migrants, australia, orphanages, immigrated, children, immigrants</t>
  </si>
  <si>
    <t>Compensation to Victims of Abuse in the Defence Forces (The Defence Abuse Reparation Scheme)</t>
  </si>
  <si>
    <t>Australian Department of Defence</t>
  </si>
  <si>
    <t>Victims of Abuse in the Defence Forces</t>
  </si>
  <si>
    <t>The Defence Abuse Response Taskforce (DART) was an Australian body established to help people who claimed to have suffered physical or sexual abuse, harassment or bullying in the Australian Defence Force before 11 April 2011. The Taskforce worked from 26 November 2012 until 30 June 2016. It considered 2,439 complaints and found 1,751 to be within its scope and plausible.
(source: https://en.wikipedia.org/wiki/Defence_Abuse_Response_Taskforce)</t>
  </si>
  <si>
    <t>Sexual violence and sexual slavery</t>
  </si>
  <si>
    <t>Political Apologies and Reparations Archive (2012.0067.02)</t>
  </si>
  <si>
    <t>http://www.bbc.co.uk/news/world-asia-20491066,
https://tgb.com.au/employment-law/dart-military-compensation-claims-where-to-now/,
https://en.wikipedia.org/wiki/Defence_Abuse_Response_Taskforce</t>
  </si>
  <si>
    <t>www.bbc.co.uk: http://web.archive.org/web/20230529214655/http://www.bbc.co.uk/news/world-asia-20491066 [29 May 2023]
tgb.com.au: http://web.archive.org/web/20250422130021/https://tgb.com.au/employment-law/dart-military-compensation-claims-where-to-now/ [22 April 2025]
en.wikipedia.org: http://web.archive.org/web/20250817201540/https://en.wikipedia.org/wiki/Defence_Abuse_Response_Taskforce [17 August 2025]</t>
  </si>
  <si>
    <t>26 November 2012: More than 1,000 people submitted allegations to the investigation. Claims from 775 people fell within its terms of reference - "the overwhelming majority of which are said to be plausible allegations of abuse", a Defence Ministry statement said. The allegations include 24 rape claims in the late 1990s and allegations young teenage boys were abused at a naval training base in Western Australia in the 1960s and 1970s. [...] A judge has been named to lead a task force that will investigate each individual abuse claim. Mr Smith said compensation of up to A$50,000 ($52,200, £32,600) would be made available where appropriate. (BBC News)
19 January 2016: In their Update on Outcome delivery paper of 21 April 2015, the DART indicated they had made 1,590 final decisions awarding reparation payments to complainants which equated to $62.14 million. (tgb)
Wikipedia:
The Defence Abuse Response Taskforce (DART) was an Australian body established to help people who claimed to have suffered physical or sexual abuse, harassment or bullying in the Australian Defence Force before 11 April 2011. The Taskforce worked from 26 November 2012 until 30 June 2016. It considered 2,439 complaints and found 1,751 to be within its scope and plausible. The Taskforce was headed by Len Roberts-Smith, assisted by Robert Cornall, Susan Halliday and Rudi Lammers, with Robyn Kruk acting as Reparation Payments Assessor.</t>
  </si>
  <si>
    <t>NOTE ON CONVERSION: The total compensation disbursed ($62.14 million) is reported as an accumulated figure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</si>
  <si>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victims, abused, allegations, abuse, compensation, defence, harassment, bullying, complainants, claims</t>
  </si>
  <si>
    <t>Reparations for Stolen Generations (South Australia)</t>
  </si>
  <si>
    <t>Government of South Australia</t>
  </si>
  <si>
    <t>Aboriginals "Stolen Generations" in South Australia</t>
  </si>
  <si>
    <t>The Stolen Generations refers to a period in Australia’s history where Aboriginal children were removed from their families through government policies. This happened from the mid-1800s to the 1970s.
(source: https://healingfoundation.org.au/who-are-the-stolen-generations/)</t>
  </si>
  <si>
    <t>South Australia Government</t>
  </si>
  <si>
    <t>https://www.agd.sa.gov.au/aboriginal-affairs-and-reconciliation/reconciliation/stolen-generations-reparations-scheme</t>
  </si>
  <si>
    <t>www.agd.sa.gov.au: http://web.archive.org/web/20250806070141/https://www.agd.sa.gov.au/aboriginal-affairs-and-reconciliation/reconciliation/stolen-generations-reparations-scheme [06 August 2025]</t>
  </si>
  <si>
    <t>According to the Transitional Justice Evaluation Tools, the beneficiaries are: 449; and the cost estimate is: A$11 million.
South Australia Government: The Government of South Australia established an $11 million Stolen Generations Reparations Scheme in 2015. A $6 million Individual Reparations Scheme provided ex-gratia payments to Aboriginal people who are eligible for reparations under the policy criteria of the scheme. In 2018, a payment of $20,000 was made to eligible applicants. Payment of an additional $10,000 to these applicants is currently being arranged. A further $5 million was originally allocated to a Stolen Generations Community Reparations Fund. The Fund was established to recognise the grief, pain and loss experienced by Aboriginal communities, families and individuals and to also support a range of proposals that can assist in the healing process. After two rounds of projects, just over $3 million remained unspent. As a result of this underspend, it was announced on 12 February 2019 that these funds would be redirected to the Individual Reparations Scheme, enabling an additional payment of $10,000 to be paid to those eligible under the scheme.</t>
  </si>
  <si>
    <t>Australia, Australian, Aboriginal, Children, Stolen Generation, reparations, aboriginals, generations, aboriginal, payments, au, stolen, families, million, payment</t>
  </si>
  <si>
    <t>Reparations for Stolen Generations (New South Wales) and the Funeral Assistance Fund</t>
  </si>
  <si>
    <t>Government of New South Wales (Australia)</t>
  </si>
  <si>
    <t>Four independent NSW Stolen Generations Organisations and living Stolen Generations survivors</t>
  </si>
  <si>
    <t>Payments continued after 2018.
The Scheme accepted new applications until June 2023, with late applications closing on 29 March 2024.</t>
  </si>
  <si>
    <t>Find &amp; Connect</t>
  </si>
  <si>
    <t>https://www.parliament.nsw.gov.au/la/papers/pages/qanda-tracking-details.aspx?pk=12587,
https://www.nsw.gov.au/living-in-nsw/aboriginal-outcomes/healing/stolen-generations/reparations,
https://www.wsclc.org.au/wp-content/uploads/2021/07/SGRS-Fact-Sheet-1_Overview_Sep-2019.pdf,
https://www.findandconnect.gov.au/entity/stolen-generations-reparations-scheme-new-south-wales-government/,
https://healingfoundation.org.au/2023/05/10/nsw-govt-sg-reparation-scheme-funeral-fund/</t>
  </si>
  <si>
    <t>www.parliament.nsw.gov.au:
https://web.archive.org/web/20251204111813/https://www.parliament.nsw.gov.au/la/papers/pages/qanda-tracking-details.aspx?pk=12587 [04 December 2025]
www.nsw.gov.au: http://web.archive.org/web/20250804195518/https://www.nsw.gov.au/living-in-nsw/aboriginal-outcomes/healing/stolen-generations/reparations [04 August 2025]
www.wsclc.org.au: http://web.archive.org/web/20240627132734/https://www.wsclc.org.au/wp-content/uploads/2021/07/SGRS-Fact-Sheet-1_Overview_Sep-2019.pdf [27 June 2024]
www.findandconnect.gov.au:
https://web.archive.org/web/20250428154304/https://www.findandconnect.gov.au/entity/stolen-generations-reparations-scheme-new-south-wales-government/ [28 April 2025]
healingfoundation.org.au:
https://web.archive.org/web/20250417093126/https://healingfoundation.org.au/2023/05/10/nsw-govt-sg-reparation-scheme-funeral-fund/ [17 April 2025]</t>
  </si>
  <si>
    <t>According to the Transitional Justice Evaluation Tools, the cost estimate is: A$5 million for collective reparations; unknown for individual reparations because the scheme is still open until June 2023.
Parliament of New South Wales (20 March 2018):
In response to the General Purpose Standing Committee No. 3 report into reparations for the Stolen Generations Unfinished Business the Government has invested $75 million in reparations initiatives. This included the establishment of the Stolen Generations Reparations Scheme and Funeral Assistance Fund that commenced on 1 July 2017. The Reparations Scheme will run until 31 December 2022, and the Funeral Assistance Fund will run as long as needed. As at 19 March 2018 a total of $21.7 million has been paid in reparation and funeral assistance payments to Stolen Generation survivors.
The remainder of the funding is allocated to the establishment of a Stolen Generations healing fund and financial support to Stolen Generations organisations.
New South Wales Government: The Stolen Generations Reparations Scheme provided ex-gratia payments to Stolen Generations survivors. The reparations aimed to acknowledge historical injustices faced by Stolen Generations survivors. The amount provided to each recipient was $75,000. The Scheme closed for new applications on 30 June 2023. Late applications closed on 29 March 2024. 
Find &amp; Connect:
The New South Wales Stolen Generations Reparations Scheme was established in 2017. It was created in response to the New South Wales government’s 2016 report, Unfinished Business, which recommended that a reparations scheme be established. The Stolen Generations Reparations Scheme provided ex-gratia payments of $75,000 to “living Stolen Generations survivors who were removed by, committed to, or otherwise came into the care of the New South Wales Aborigines Protection or Welfare Boards under the Aborigines Protection Act 1909, up until the Act was repealed on 2 June 1969”. A funeral assistance fund was also available and provided a one-off payment of $7000 to Stolen Generations survivors to assist with the cost of funerals. Applicants could also request an apology from a representative of the New South Wales government. The Scheme was administered by Aboriginal Affairs NSW. The Scheme accepted new applications until June 2023, with late applications closing on 29 March 2024.</t>
  </si>
  <si>
    <t>NOTE ON CONVERSION: The total compensation disbursed ($75 million) is reported as an accumulated figure as of 2018. We assume this figure represents the total value of all payments over the entire period. For comparison purposes, we treat it as a 2018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</si>
  <si>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Australia, Australian, Aboriginal, Children, Stolen Generation, reparations, generations, nsw, welfare, aboriginal, stolen, payments, wales, injustices, 1800s</t>
  </si>
  <si>
    <t>National Redress Scheme for Institutional Child Sexual Abuse Act</t>
  </si>
  <si>
    <t>People who experienced child sexual abuse while in institutional settings in Australia</t>
  </si>
  <si>
    <t>The National Redress Scheme commenced on 1 July 2018, in response to the Royal Commission into Institutional Responses to Child Sexual Abuse. The Royal Commission listened to thousands of survivors detail the abuse they experienced as children while in the care of an institution. The abuse happened in institutions such as orphanages, children’s homes, schools, churches, sports clubs, hospitals, and foster care.
(source: https://www.nationalredress.gov.au/about/about-scheme)</t>
  </si>
  <si>
    <t>Unspecified</t>
  </si>
  <si>
    <t>The National Redress Scheme started on 1 July 2018 and will run through to 30 June 2028.</t>
  </si>
  <si>
    <t>Transitional Justice Evaluation Tools (ID: 120)</t>
  </si>
  <si>
    <t>https://www.dss.gov.au/national-redress-scheme</t>
  </si>
  <si>
    <t>www.dss.gov.au: http://web.archive.org/web/20250719220244/https://www.dss.gov.au/national-redress-scheme [19 July 2025]</t>
  </si>
  <si>
    <t>According to the Transitional Justice Evaluation Tools, the cost estimate as of December 30, 2022 (last date for which data is available) is: A$919.4 million.</t>
  </si>
  <si>
    <t>NOTE ON CONVERSION: The total compensation disbursed (A$919.4 million) is reported as an accumulated figure as of 2022. We assume this figure represents the total value of all payments over the entire period. For comparison purposes, we treat it as a 2022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More here:
https://www.transparency.gov.au/publications/social-services/department-of-social-services/department-of-social-services-annual-report-2021-22/part-3---national-redress-scheme/national-redress-scheme-—-annual-report-2021-2022</t>
  </si>
  <si>
    <t>orphanages, nationalredress, abuse, cost, au, institutions, institutional, redress, institution, thousands</t>
  </si>
  <si>
    <t>BHP Pays Environmental Reparations to Chile</t>
  </si>
  <si>
    <t>BHP Group Limited (BHP.AX)</t>
  </si>
  <si>
    <t>Corporation</t>
  </si>
  <si>
    <t>Private</t>
  </si>
  <si>
    <t>State of Chile</t>
  </si>
  <si>
    <t>Chile</t>
  </si>
  <si>
    <t>CHL</t>
  </si>
  <si>
    <t xml:space="preserve">Mining group BHP (BHP.AX) will spend up to $93 million in environmental repairs and reparations after a Chilean court brokered an agreement in a lawsuit from the state over water use and related damage to a sensitive salt flat in the north of the country. The lawsuit related to BHP's Escondida copper mine, the world's biggest, and the agreement involves the payment of compensation for environmental damage due to overdrawing water from the Punta Negra salt flat. The lawsuit had been brought last year by the Chilean state which claimed Escondida had between 1990 and 2017 caused a severe decline in levels of the salt flat’s aquifer, partially or totally caused the loss of wetlands and vegetation and compromised the survival of its fauna. </t>
  </si>
  <si>
    <t>Reuters</t>
  </si>
  <si>
    <t>https://www.reuters.com/business/environment/bhp-spend-up-93-mln-under-chilean-environmental-court-agreement-2021-06-02/</t>
  </si>
  <si>
    <t>www.reuters.com:
https://web.archive.org/web/20210610044143/https://www.reuters.com/business/environment/bhp-spend-up-93-mln-under-chilean-environmental-court-agreement-2021-06-02/ [10 June 2021]</t>
  </si>
  <si>
    <t>2 June 2021: Mining group BHP (BHP.AX) will spend up to $93 million in environmental repairs and reparations after a Chilean court brokered an agreement in a lawsuit from the state over water use and related damage to a sensitive salt flat in the north of the country. (Reuters)</t>
  </si>
  <si>
    <t>bhp, chile, chilean, reparations, mining, lawsuit, repairs, compensation, escondida, pays</t>
  </si>
  <si>
    <t>Reparations for Stolen Generations in Australia</t>
  </si>
  <si>
    <t>Some sources report that the harm has started around 1910.</t>
  </si>
  <si>
    <t>Fund</t>
  </si>
  <si>
    <t>Political Apologies and Reparations Archive (2005.0063.03 - Updated)</t>
  </si>
  <si>
    <t xml:space="preserve">https://www.dw.com/en/australia-to-pay-reparations-to-indigenous-stolen-generation-survivors/a-58762488,
https://www.washingtonpost.com/world/2021/08/05/australia-indigenous-school-reparation/,
https://humanrights.gov.au/our-work/aboriginal-and-torres-strait-islander-social-justice/reparations-stolen-generations
</t>
  </si>
  <si>
    <t>www.dw.com: http://web.archive.org/web/20250509094603/https://www.dw.com/en/australia-to-pay-reparations-to-indigenous-stolen-generation-survivors/a-58762488 [09 May 2025]
www.washingtonpost.com: http://web.archive.org/web/20230331093344/https://www.washingtonpost.com/world/2021/08/05/australia-indigenous-school-reparation/ [31 March 2023]
humanrights.gov.au: http://web.archive.org/web/20250710235650/https://humanrights.gov.au/our-work/aboriginal-and-torres-strait-islander-social-justice/reparations-stolen-generations [10 July 2025]</t>
  </si>
  <si>
    <t xml:space="preserve">5 August 2021: Australian Prime Minister Scott Morrison announced a reparations fund of AUD$380 million (Є237 million, $280 million) among other measures on Thursday for members of the country's Indigenous population, including reparations for children who were forcibly removed from their families. (DW)
5 August 2021: Australia’s federal government on Thursday agreed to pay about $280 million in reparations to survivors who were removed from their families in federally controlled areas including the Northern Territory and Australian Capital Territory. (The Washington Post) </t>
  </si>
  <si>
    <t>Australia, Australian, Aboriginal, Children, Stolen Generation, reparations, welfare, australian, morrison, colonised, australia, indigenous</t>
  </si>
  <si>
    <t>Reparations for Stolen Generations (Victoria) (the Stolen Generations Reparations Package)</t>
  </si>
  <si>
    <t>Government of Victoria (Australia)</t>
  </si>
  <si>
    <t>Aboriginals "Stolen Generations" in Victoria</t>
  </si>
  <si>
    <t>Reparations payments are still ongoing.
Applications for the package close on 31 March 2027.</t>
  </si>
  <si>
    <t>Political Apologies and Reparations Archive (2005.0063.03 - As background information)</t>
  </si>
  <si>
    <t>The Guardian</t>
  </si>
  <si>
    <t>https://www.vic.gov.au/stolen-generations-reparations-package,
https://www.premier.vic.gov.au/supporting-stolen-generations-heal,
https://www.theguardian.com/australia-news/2022/mar/03/stolen-generation-survivors-in-victoria-to-receive-100000-payments-through-redress-scheme</t>
  </si>
  <si>
    <t>www.vic.gov.au: http://web.archive.org/web/20250924063443/https://www.vic.gov.au/stolen-generations-reparations-package [24 September 2025]
www.premier.vic.gov.au: http://web.archive.org/web/20250425031352/https://www.premier.vic.gov.au/supporting-stolen-generations-heal [25 April 2025]
www.theguardian.com:
https://web.archive.org/web/20250910200211/https://www.theguardian.com/australia-news/2022/mar/03/stolen-generation-survivors-in-victoria-to-receive-100000-payments-through-redress-scheme [10 September 2025]</t>
  </si>
  <si>
    <t>Victorian Government: The Victorian Government provides the Stolen Generations Reparations Package in recognition of the lasting suffering caused by the forced removal of Aboriginal children from their families. If you are eligible, you may receive reparations and support, including: a $100,000 payment. The package addresses the trauma and suffering caused by the forced removal of Aboriginal children from their families, culture, and Country. It applies to children removed in Victoria before 31 December 1976.
3 March 2022: The Andrews Labor Government has today unveiled its landmark Stolen Generations Reparations Package, recognising the lasting suffering caused by the forced removal of Aboriginal children from their families. Members of the Stolen Generations will be able to access financial reparations, an apology from the state and healing support, with applications opening on Thursday, 31 March 2022. The package has been designed by and for Aboriginal people, backed by an investment of $155 million from the Labor Government. The Stolen Generations Reparations Steering Committee engaged with more than 400 members of Victoria’s Stolen Generations and their families during the consultation process in 2021. (Premier of Victoria)
3 March 2022: About 1,200 Victorian survivors of the stolen generation are expected to receive payments through the state government’s new redress scheme. Under the $155m package announced on Thursday, Aboriginal Victorians removed from their families before 1977 will be able to access $100,000 payments. Those survivors will also receive a personal apology from the government and access healing and family reunion programs. About 1,200 people are expected to qualify for the redress scheme, with applications opening on 31 March. (The Guardian)</t>
  </si>
  <si>
    <t>Australia, Australian, Aboriginal, Children, Stolen Generation, reparations, aboriginals, aboriginal, generations, victorians, victorian, generation, victoria, payments, families</t>
  </si>
  <si>
    <t>Out-of-court Settlements to "Forgotten Australians" (Victoria)</t>
  </si>
  <si>
    <t>Over the past century thousands of children were taken from unmarried mothers and impoverished families and were sent alone to live in Australia. One report commissioned by the Australian government, entitled Right the Record, found that between 6,000 and 30,000 children immigrated from Britain and Malta. A second report, titled Forgotten Australians, estimates that over 500,000 Australian children were sent to foster homes, orphanages and other state-run institutions. Many of such children endured years of emotional, physical and sexual abuse while under state care. These child immigrants and Australian children became known as the Forgotten Australians.
(source: Political Apologies and Reparations Archive, 2009.0057.01)
From December 2024, the Victorian Government is offering redress for Victorians who experienced abuse and neglect as children in institutions before 1990. It was set up to recognise and acknowledge what happened, and the harm caused. Applications are expected to be open for 18 months.
(source: https://www.forgottenaustralians.org.au/forgotten-australians/redress)</t>
  </si>
  <si>
    <t>Multiple out-of-court settlements were made by 2008.</t>
  </si>
  <si>
    <t>Parliament of Australia:
The New South Wales and Victorian Governments have indicated that they will not establish redress schemes. However, the Victorian Government has stated that it will deal with abuse claims on a case-by-case basis. The Senate Community Affairs Committee received evidence in November 2008 that the Victorian Government has spent over $4 million on out-of-court settlement of claims, with some claimants receiving 'very low six-figure sums'.</t>
  </si>
  <si>
    <t>NOTE ON CONVERSION: The total compensation disbursed ($4 million) is reported as an accumulated figure as of 2008. We assume this figure represents the total value of all payments over the entire period. For comparison purposes, we treat it as a 2008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A new Redress Scheme has opened in December 2024: https://services.dffh.vic.gov.au/redress</t>
  </si>
  <si>
    <t>Australia, Australian, children, child, immigrants, Britain, Malta, foster homes, orphanages, abuse, emotional abuse, physical abuse, sexual abuse, Forgotten Australians, forgotten, child immigrants, state care, Righting the Record, victoria, settlement, forgotten, victorian, claimants, children, compensation</t>
  </si>
  <si>
    <t>Austrian Compensation to Jewish Victims of the Nazi Era</t>
  </si>
  <si>
    <t>Government of Austria</t>
  </si>
  <si>
    <t>Austria</t>
  </si>
  <si>
    <t>AUT</t>
  </si>
  <si>
    <t>Jews who suffered during the Nazi era in Austria</t>
  </si>
  <si>
    <t>On February 1990, Austria has concluded agreements to pay nearly $200 million in benefits to Jews who suffered there during the Nazi era. [...] The country has long said it was merely a victim of the Nazis and therefore not accountable for what happened to its Jews. While the Austrian Government did not explicitly accept responsibility in the new agreements, the chief Jewish negotiator, Rabbi Israel Miller of New York, said, ''The act itself indicates an acceptance of responsiblity.''
(source: https://www.nytimes.com/1990/02/14/world/upheaval-east-austria-vienna-extend-social-benefits-jewish-victims-nazi-era.html)</t>
  </si>
  <si>
    <t>It was expected to be paid over a 5 years period.</t>
  </si>
  <si>
    <t>https://www.nytimes.com/1990/02/14/world/upheaval-east-austria-vienna-extend-social-benefits-jewish-victims-nazi-era.html,
https://www.jta.org/archive/austria-to-pay-25-million-more-in-support-of-holocaust-survivors</t>
  </si>
  <si>
    <t>www.nytimes.com: http://web.archive.org/web/20150525200323/http://www.nytimes.com/1990/02/14/world/upheaval-east-austria-vienna-extend-social-benefits-jewish-victims-nazi-era.html [25 May 2015]
www.jta.org: http://web.archive.org/web/20241208004920/https://www.jta.org/archive/austria-to-pay-25-million-more-in-support-of-holocaust-survivors [08 December 2024]</t>
  </si>
  <si>
    <t>Reparations in the United States: 
1990: Austria: $25 million: Holocaust Survivors. ("Austria to Pay $25 Million More in Support of Holocaust Survivors" by Reinhard Engel, JTA Daily News Bulletin, February 13, 1990.)
13 February 1990:
The Austrian government is expected to soon ratify legislation that will pay $25 million over a five-year period to Jewish institutions for the elderly and handicapped in Israel, the United States, Austria and other countries. The expected legislation complements legislation passed Jan. I, which awarded at least $165 million in social security benefits to Holocaust survivors who were born in Austria before 1930, eight years prior to the Anschluss. Miller explained that the beneficiaries of the new law will include older age groups, including Jews born between March 13, 1924, and May 9, 1930, who until now were excluded from benefits. (JTA Daily News Bulletin)
14 February 1990: Austria has concluded agreements to pay nearly $200 million in benefits to Jews who suffered there during the Nazi era, officials in New York said yesterday. [...] The bulk of the new money, about $165 million, will be paid in social insurance benefits to people who were living in the country as youngsters during the Anschluss, Hitler's annexation in March 1938. The rest, about $30 million, will be paid to assist homes for the elderly in Austria as well as the United States, Israel and other countries. (The New York Times)</t>
  </si>
  <si>
    <t>World War II, World War 2, WWII, WW2, Germany, Holocaust, Jews, Jewish, Nazi, Nazism, Adolf Hitler, Hitler, Austria, austria, austrian, holocaust, jews, reparations, jewish, nazi, 1938, hitler, compensation</t>
  </si>
  <si>
    <t>The National Fund for Victims of National Socialism</t>
  </si>
  <si>
    <t>Victims of the National Socialism Regime in Austria</t>
  </si>
  <si>
    <t>The National Fund of the Republic of Austria for Victims of National Socialism was established in 1995 to express Austria's special responsibility towards the victims of National Socialism. It makes payments to victims of National Socialism, in particular to those who have previously received little or no compensation; to those in need of special assistance or those whose personal circumstances warrant extra relief.
(source: https://www.nationalfonds.org/about-us)
The National Fund of the Republic of Austria for Victims of National Socialism was established in 1995 (Federal Law Gazette no. I 432/1995) as an expression of Austria’s special responsibility towards the victims of the National Socialist regime. The National Fund makes lump sum recognition payments (“gesture payments”) of 5,087.10 Euros to the surviving victims of National Socialism. Applications can be filed with the National Fund indeterminately; the Fund’s payments are financed by the annual budget of the Federation (Bund).
(source: https://www.nationalfonds.org/files/content/documents/nf/Medieninformation_EN_10_09_2015_web.pdf)</t>
  </si>
  <si>
    <t>Payments are still ongoing to date, but the last reliable fugure on payments is dated 2015. Therefore the end year of reparations payments is recorded as 2015.</t>
  </si>
  <si>
    <t>Parliament of Austria</t>
  </si>
  <si>
    <t>The Economist</t>
  </si>
  <si>
    <t>http://www.economist.com/specialreports/displaystory.cfm?story_id=10128840,
https://academic.oup.com/book/50603/chapter-abstract/421294291?redirectedFrom=fulltext,
http://www.parlinkom.gv.at/portal/page?_pageid=1033,825225&amp;SUCHE=J&amp;P_INF2=7&amp;_dad=portal&amp;_schema=PORTAL# (NOT WORKING),
https://www.nationalfonds.org/files/content/documents/nf/Medieninformation_EN_10_09_2015_web.pdf,
https://www.parlament.gv.at/en/services/national-fund/index.html</t>
  </si>
  <si>
    <t>Political Apologies and Reparations Archive (2006.0016.01):
Compensation: ATS 70,000 to each Austrian Holocaust victim.
Political Apologies and Reparations Archive (2008.0005.02):
Social Democratic Chancellor, Franz Vranitzky, apologized and acknowledged that Austria bore some of the responsibility for World War II. In 1995 the Austrian government set up a national fund for Austrian victims of the Nazi regime and has paid out EUR 150 million.
[Compensation: Apology; Austria's "Reconciliation, Peace and Cooperation" fund]
June 2005: The National Fund was established 10 years ago on the occasion of the 50th anniversary of the creation of the Second Republic. Its objective was and is to combine the moral recognition of the suffering of the victims of National Socialism with some form of financial compensation. On 1 June 1995, the Austrian National Council adopted the Federal Law on the National Fund of the Republic of Austria for Victims of National Socialism, which provides for a symbolic payment of ATS 70,000/€ 5,087.10 for all victims. This is to express the special responsibility of the Republic of Austria for the injustice suffered by the victims. In keeping with its legal task, the National Fund supports projects that benefit the victims of National Socialism, aid the research on National Socialism and its victims, commemorate National Socialist injustice or help to keep the memory of the victims alive. So far, approx. 300 projects were supported by the National Fund. (Austrian Parliament)
February 2006:
In 1995, fifty years after the proclamation of the Second Republic, the Republic of Austria established the National Fund for Victims of National Socialism (“National Fund”). The National Fund was set up as an expression of the special moral responsibility felt towards the victims of National Socialism, and provides “gesture” payments to individuals who suffered under the National Socialist regime in Austria. Five years later, a fund for “Reconciliation, Peace and Cooperation” (“Reconciliation Fund”) was established in Austria in 2000 “to acknowledge the moral responsibility for all claims involving or related to the use of slave and forced labor during the National Socialist Era or World War II. (Lessing et al.)
November 2007:
In 1995 the Austrian government marked the 50th anniversary of the birth of the Second Republic by setting up a national fund for Austrian victims of the Nazi regime. The sums offered, though not large, were an acknowledgment of the wrong that had been done. The fund has received over 32,000 applications and paid out €150m. (The Economist) 
Parliament of Austria (2015):
Since its establishment in 1995, the National Fund has made around 30,000 “gesture payments” of 5,087.10 Euros (originally 70,000 Schilling) to surviving victims of National Socialist injustice. The total amount of all payments comes to around 156 million Euros. Furthermore, since 2001 the National Fund has also disbursed over 175 million Euros as compensation for seized tenancy rights. These took the form of lump sum payments of 7,000 US Dollars or 7,630 Euros and additional payments of 1,000 Euros. The deadline ended on 30 June 2004. Additionally, the National Fund has so far sponsored around 1,500 projects with around 26 million Euros (as at: July 2015).
Parliament of Austria:
The main task of the National Fund is to make “gesture payments” of 5,087.10 Euros to the victims of National Socialism. People who were persecuted on political grounds, on grounds of religion, nationality, sexual orientation, physical or mental handicap, or of accusations of so-called asociality, or those who otherwise fell victim to typical Nazi injustice or left the country in order to escape such persecution are eligible to receive a payment. Since its inception, the National Fund has granted official recognition to around 30,000 victims of National Socialism and has made gesture payments amounting to approximately 158 million Euros.
[...] The Fund also subsidizes scientific research projects; special importance is placed on educational projects and projects of remembrance. Between 1995 and 2022, the Fund subsidized approximately 2,500 projects with funding in excess of 35 million Euros.</t>
  </si>
  <si>
    <t>NOTE ON CONVERSION: The total compensation disbursed (357 million Euros) is reported as an accumulated figure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following source URL is no longer accessible: http://www.parlinkom.gv.at/portal/page?_pageid=1033,825225&amp;SUCHE=J&amp;P_INF2=7&amp;_dad=portal&amp;_schema=PORTAL#. A snapshot of the original content is available through the Political Apologies and Reparations Archive (2006.0016.01). See attached snapshots.</t>
  </si>
  <si>
    <t>World War I, World War 2, WWI, WW2, Austria, Germany, refugees, Jews, Jewish, Nazi, Social Democratic Chancellor, chancellor, Franz Vranitzky, Vranitzky, Reconciliation, Peace and Cooperation Fund, national fund, austrians, holocaust, austrian, hitler, nazi, jews, adolf, reparations, germans</t>
  </si>
  <si>
    <t>The General Settlement Fund for Victims of National Socialism</t>
  </si>
  <si>
    <t>Government of Austria and Austrian Companies</t>
  </si>
  <si>
    <t>Both</t>
  </si>
  <si>
    <t>The General Settlement Fund for Victims of National Socialism was established in the wake of the Washington Agreement of 2001 and endowed with 210 million US Dollar (Federal Law Gazette I 12/2001). Its aim was to bring about a comprehensive resolution to all open questions of compensation for victims of National Socialism for losses and damages which were suffered as a result of or in connection with events that occurred on the territory of the present-day Republic of Austria during the National Socialist era.
(source: https://www.entschaedigungsfonds.org/home)</t>
  </si>
  <si>
    <t>Political Apologies and Reparations Archive (2005.0328.01)</t>
  </si>
  <si>
    <t>http://web.israelinsider.com/Articles/Briefs/7046.htm,
https://www.jewishvirtuallibrary.org/the-holocaust-wing/aftermath/holocaust-restitution-and-compensation-government-compensation-programs/austria-agrees-to-holocaust-reparations,
https://www.nationalfonds.org/files/content/documents/nf/Medieninformation_EN_10_09_2015_web.pdf,
https://www.claimscon.org/about/history/closed-programs/general-settlement-fund/</t>
  </si>
  <si>
    <t>web.israelinsider.com: http://web.archive.org/web/20210410221038/http://web.israelinsider.com/Articles/Briefs/7046.htm [10 April 2021]
www.jewishvirtuallibrary.org:
https://web.archive.org/web/20251205165409/https://www.jewishvirtuallibrary.org/the-holocaust-wing/aftermath/holocaust-restitution-and-compensation-government-compensation-programs/austria-agrees-to-holocaust-reparations [05 December 2025]
www.nationalfonds.org:
https://web.archive.org/web/20230802213621/https://www.nationalfonds.org/files/content/documents/nf/Medieninformation_EN_10_09_2015_web.pdf [02 August 2023]
www.claimscon.org: http://web.archive.org/web/20250420033542/https://www.claimscon.org/about/history/closed-programs/general-settlement-fund/ [20 April 2025]</t>
  </si>
  <si>
    <t>Political Apologies and Reparations Archive:
The Austrian government and Austrian companies have agreed to pay US$210 million in compensation to Holocaust survivors; Austrian Parliament has agreed to pay the reparations.
16 November 2005: Parliament agreed Wednesday to pay out hundreds of millions of dollars in compensation to Holocaust survivors once the last related case against Austria in a U.S. court is settled or dropped. The government and Austrian companies earlier this year pledged to pay US$210 million to endow the fund once all court cases against Austria relating to the Holocaust were resolved, but the deal had to be approved by parliament. Only one court case is still pending -- Whiteman vs. Austria -- in which Holocaust victims are suing Austria for artworks taken from them during the Nazi era. Members of Vienna's Jewish community, the Israelitische Kultusgemeinde Wien, earlier this year agreed to withdraw 770 applications for compensation and its friend-of-the-court status in the Whiteman vs. Austria case. (Israel Insider)
5 December 2005:
In 2001, Austria created the General Settlement Fund to compensate Holocaust victims who were robbed of businesses, property, bank accounts and insurance policies during the Nazi era, when they country was annexed to Adolf Hitler's Third Reich. Payments were delayed, however, because Austria refused to make distributions so long as legal actions against Austria were proceeding in the United States. In November 2005, the last case was dismissed by a New York court and the Austrian government subsequently began to mail letters to some of the 19,300 Holocaust survivors who applied for compensation payments. The letters informed the first 100 people how much they would receive after signing a waiver releasing Austria from further responsibility. Survivors are eligible for up to $2 million for liquidated businesses, looted bank accounts, unpaid insurance policies and other assets. Under the agreement, victims of Nazi persecution alo have an opportunity to reclaim property confiscated by the Nazis that is now controlled by the Austrian government. Only a handful of claims have been resolved so far, and 80 are pending. In addition, the Austrian government and the provincial governments agreed to provide $40 million to support Austrian Jewish institutions. The government of Austria and a number of Austrian companies pledged to pay $210 million to endow the fund once all court cases against Austria relating to the Holocaust were resolved. According to Stuart Eizenstat, President Clinton's special representative on Holocaust-era issues, the feeling during negotiations with the Austrians was that “the traditional trial system never would have worked in the victims' lifetime.” Eizenstat noted that lawyers who opposed a non-trial settlement delayed the settlement and, during that time, the number of Austrian survivors declined from 21,000 to 13,000. (Jewish Virtual Library)
Parliament of Austria (2015):
By 25 June 2012, all of the 20,702 applications for compensation of assets filed with the General Settlement Fund have been decided by the independent Claims Committee.
Thus far, the General Settlement Fund has disbursed advance payments totaling around 161.5 million US Dollars and closing payments of 50.4 million US Dollars, therefore totaling about
211.9 million US Dollars (as at: July 2015). Once the payments have been completed, it is estimated that around 24,000 beneficiaries will have received a payment from the General Settlement Fund.
Claims Conference:
Through talks mediated by the U.S. and headed by Deputy Treasury Secretary Stuart Eizenstat, the Claims Conference and representatives of former and current Austrian Jews reached an agreement with the Austrian government in January 2001 for a settlement valued at $480 million, including supplemental National Fund payments and social welfare benefits.The agreement included $210 million for lost property claims through a General Settlement Fund. All Austrian Jewish Holocaust survivors, Jews residing in Austria prior to the Anschluss, and heirs of Austrian Jewish victims of Nazism, were able to file claims for lost, looted or “Aryanized” property.</t>
  </si>
  <si>
    <t>NOTE ON CONVERSION: The total compensation disbursed (211.9 million US Dollars) is reported as an accumulated figure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amount pledged was US$210 million.</t>
  </si>
  <si>
    <t>World War II, World War 2, WWII, WW2, Austria, Germany, refugees, Jews, Jewish, Nazi, Holocaust, reparations, holocaust, austria, austrian, austrians, reich, compensation, vienna, nazis, jews</t>
  </si>
  <si>
    <t>Austrian Compensation to Prosecuted Gay People (Austria's Rehabilitation and Compensation Act)</t>
  </si>
  <si>
    <t>Gay people who were persecuted or convicted of consensual homosexual acts in Austria</t>
  </si>
  <si>
    <t>The Austrian government is set to pay tens of millions of euros in compensation to gay people who were persecuted or convicted of consensual homosexual acts. The new legislation would apply to anyone convicted under specific sections of Austria's legal code that were put in place after homosexuality was decriminalised in 1971. These special paragraphs convicted gay people of acts that would have been legal if they were straight. The last of these provisions was only repealed by the Constitutional Court in 2002.
(source: https://www.euronews.com/2023/10/27/austria-compensates-gay-people-convicted-under-discriminatory-laws)</t>
  </si>
  <si>
    <t>Euronews</t>
  </si>
  <si>
    <t>https://www.euronews.com/2023/10/27/austria-compensates-gay-people-convicted-under-discriminatory-laws</t>
  </si>
  <si>
    <t>www.euronews.com: http://web.archive.org/web/20250802230032/https://www.euronews.com/2023/10/27/austria-compensates-gay-people-convicted-under-discriminatory-laws [02 August 2025]</t>
  </si>
  <si>
    <t>27 October 2023: The Austrian government is set to pay tens of millions of euros in compensation to gay people who were persecuted or convicted of consensual homosexual acts. […] Austria's Rehabilitation and Compensation Act, which is part of the national budget in 2024, will see compensation payment of €3,000 for each overturned judgment, €1500 for each year spent in jail or €500 for each investigation initiated under the relevant criminal paragraphs. A flat rate of €1,500 is also intended to compensate people who have suffered from professional, economic or health disadvantages. The Ministry of Justice expects around 11,000 applications for criminal rehabilitation and compensation. The costs for this are estimated at €10.8 million in the coming year and €3 million in each of the following years with €33 million marked for the compensation fund altogether. (Euronews)</t>
  </si>
  <si>
    <t>austria, austrian, compensation, euros, persecuted, decriminalised, homosexuality, prosecuted, pay, judgment</t>
  </si>
  <si>
    <t>National Compensation Fund in Bahrain for Victims of the 2011 Bahraini Uprising (NCVF) (Royal Decree No. 30 of 2011)</t>
  </si>
  <si>
    <t>Government of Bahrain</t>
  </si>
  <si>
    <t>Bahrain</t>
  </si>
  <si>
    <t>BHR</t>
  </si>
  <si>
    <t>Families of 17 victims who died during the 2011 Bahraini uprising</t>
  </si>
  <si>
    <t>The civil settlement initiative is being implemented under Royal directives to promptly remedy damages caused by recent events and to compensate victims. This initiative benefits the families of the deceased, those who suffered from physical injury, and any other cases as deemed appropriate by the competent authority, in consultation with relevant departments. The BICI welcomed the creation of the Victim's Compensation Fund by the Royal Decree on September 20, 2011. The decree was designed to disburse compensation based on international best practices for compensation of victims and in accordance with the United Nations' Basic Principles and guidelines on the right to redress and reparation for victims of gross violations of international human rights.
(source: https://www.albawaba.com/editorchoice/bahrain-prison-human-rights-431596)
Broader context:
The 2011 Bahraini uprising was a series of anti-government protests in Bahrain led by the mainly Shia and some Sunni Bahraini opposition primarily from 2011 until 2014. The protests were inspired by the unrest of the 2011 Arab Spring and protests in Tunisia and Egypt and escalated to daily clashes after the Bahraini government put the revolt down with the support of the Gulf Cooperation Council and Peninsula Shield Force.
(source: https://en.wikipedia.org/wiki/2011_Bahraini_uprising)</t>
  </si>
  <si>
    <t>https://www.prnewswire.com/news-releases/bahrain-disburses-26-million-from-victims-compensation-fund-in-first-17-cases-160404545.html,
https://www.albawaba.com/editorchoice/bahrain-prison-human-rights-431596</t>
  </si>
  <si>
    <t>www.prnewswire.com:
https://web.archive.org/web/20240804112724/https://www.prnewswire.com/news-releases/bahrain-disburses-26-million-from-victims-compensation-fund-in-first-17-cases-160404545.html [04 August 2024]
www.albawaba.com: http://web.archive.org/web/20250119082339/https://www.albawaba.com/editorchoice/bahrain-prison-human-rights-431596 [19 January 2025]</t>
  </si>
  <si>
    <t>26 June 2012:
Acting upon recommendations in the report of the Bahrain Independent Commission of Inquiry, Judge Khalid Hassan Ajaji – Assistant Undersecretary of the Ministry of Justice – announced the disbursement of $2.6 million dollars to the families of 17 deceased individuals. The average disbursement came to just under $153,000 per family. [...] Established by Royal Decree on September 20, 2011, the Victim's Compensation Fund was designed to disburse compensation based on international best practices and in accordance with the United Nations Basic Principles and guidelines on the right to provide reparations for victims of gross violations of international human rights. (PR Newswire)
27 June 2012: The compensation totaling US$ 2.6 million for the current 17 cases was assessed on the basis of civil court precedents and averages out to just a little below 153,000 USD per case. (Al Bawaba)</t>
  </si>
  <si>
    <t>compensation, damages, victims, reparation, torture, pays, bahrain, compensate, settlement, victim</t>
  </si>
  <si>
    <t>Bahrain Odered to Pay Compensation to Two Iranian Banks</t>
  </si>
  <si>
    <t>Bank Melli and Bank Saderat (Iranian Banks)</t>
  </si>
  <si>
    <t>IRN</t>
  </si>
  <si>
    <t>The two Iranian banks had claimed in their case against the Bahraini government and its central bank that a decision in 2005 to confiscate the Future Bank, a lender where the two Iranian banks collectively owned the majority of shares, was politically motivated. PCA arbitrators had ruled in their verdict that Bahrain’s expropriation of the Future Bank, an entity established in the Arab country to handle financial dealings with Iranian businesses, was unlawful.
(source: https://www.presstv.ir/Detail/2025/04/28/747039/Iran-banks-win-Bahrain-case-Hague)</t>
  </si>
  <si>
    <t>The 2021 decision was upheld by a Dutch appeals court in April 2025.</t>
  </si>
  <si>
    <t>The Permanent Court of Arbitration (PCA)</t>
  </si>
  <si>
    <t>https://www.middleeastmonitor.com/20211125-bahrain-ordered-to-pay-240m-to-iran-banks-after-losing-laundering-case/,
https://ifpnews.com/hague-court-ruling-orders-bahrain-e214mn-iran/,
https://www.presstv.ir/Detail/2025/04/28/747039/Iran-banks-win-Bahrain-case-Hague</t>
  </si>
  <si>
    <t>www.middleeastmonitor.com:
https://web.archive.org/web/20250430210606/https://www.middleeastmonitor.com/20211125-bahrain-ordered-to-pay-240m-to-iran-banks-after-losing-laundering-case/ [30 April 2025]
ifpnews.com:
https://web.archive.org/web/20250521155005/https://ifpnews.com/hague-court-ruling-orders-bahrain-e214mn-iran/ [21 May 2025]
www.presstv.ir: http://web.archive.org/web/20250723144350/https://www.presstv.ir/Detail/2025/04/28/747039/Iran-banks-win-Bahrain-case-Hague [23 July 2025]</t>
  </si>
  <si>
    <t>25 November 2021: Bahrain has been ordered by the Permanent Court of Arbitration in The Hague to pay $240 million damages in addition to the litigation costs of two Iranian state-owned banks over the unlawful expropriation of their operations in Manama. It has also been ordered to release $1.7 billion in frozen assets. (Middle East Monitor)
29 April 2025: According to a statement from Iran’s Presidential legal office on Monday, the appeal court confirmed the PCA’s November 2021 decision in favor of Bank Melli Iran and Bank Saderat Iran. (Iran Front Page)
28 April 2025: The Hague Court of Appeal has upheld a verdict issued by the Permanent Court of Arbitration (PCA) ordering the Kingdom of Bahrain to pay more than 214 million euros in damages to two Iranian banks.</t>
  </si>
  <si>
    <t>bahraini, bahrain, arbitration, bank, banks, appeal, court, verdict, iranian, compensation</t>
  </si>
  <si>
    <t>The Patrice Lumumba Foundation</t>
  </si>
  <si>
    <t>Government of Belgium</t>
  </si>
  <si>
    <t>Belgium</t>
  </si>
  <si>
    <t>BEL</t>
  </si>
  <si>
    <t>Democratic Republic of Congo</t>
  </si>
  <si>
    <t>Congo, Dem. Rep.</t>
  </si>
  <si>
    <t>COD</t>
  </si>
  <si>
    <t>Sub-Saharan Africa</t>
  </si>
  <si>
    <t>Low income</t>
  </si>
  <si>
    <t>In 1885, King Leopold II of Belgium acquired the territory of the Congo in 1885, at the Conference of Berlin. As a personal property of the king, the Congo Free State was the subject of widespread resource extraction and exploitation; the Congolese people were subjected to mass human rights violations. In 1908, Leopold II relinquished personal control over the Congo Free State, which became Belgian Congo, an official colony rather than personal property; however, this change in status did not have a notable impact on the brutality of the colonial regime in Belgian Congo. In the 1950s, a radical nationalist movement began to challenge Belgian rule in Congo. Among the better-known Congolese nationalist leaders was Patrice Lumumba, who became the first prime minister upon the independence of the Democratic Republic of Congo. Lumumba, a charismatic and popular leader, was eventually dismissed from government by the ceremonial president, Joseph Kasavubu. He was arrested, and attempted to escape; shortly thereafter, he was captured and killed by Congolese troops directed by Belgians.
(source: Political Apologies and Reparations Archive, 2004.0003.01)
Belgium is setting up a Patrice Lumumba fund, worth over $3m, in what correspondents describe as an effort to make amends. It will make an annual contribution of nearly $500,000 to the fund. Its aim is to help Congo's democratic development by financing conflict prevention, legal and youth projects. 
(source: http://news.bbc.co.uk/2/hi/africa/1802929.stm)</t>
  </si>
  <si>
    <t>Colonization</t>
  </si>
  <si>
    <t>Not Paid</t>
  </si>
  <si>
    <t>Political Apologies and Reparations Archive (2004.0003.01)</t>
  </si>
  <si>
    <t>http://news.bbc.co.uk/1/hi/world/africa/1802929.stm,
https://www.brusselstimes.com/685809/truth-and-justice-in-the-assassination-of-patrice-lumumba</t>
  </si>
  <si>
    <t>news.bbc.co.uk: http://web.archive.org/web/20040103060300/http://news.bbc.co.uk:80/1/hi/world/africa/1802929.stm [03 January 2004]
www.brusselstimes.com: http://web.archive.org/web/20250519014446/https://www.brusselstimes.com/685809/truth-and-justice-in-the-assassination-of-patrice-lumumba [19 May 2025]</t>
  </si>
  <si>
    <t>6 February 2002: Belgium is setting up a Patrice Lumumba fund, worth over $3m, in what correspondents describe as an effort to make amends. It will make an annual contribution of nearly $500,000 to the fund. Its aim is to help Congo's democratic development by financing conflict prevention, legal and youth projects. (BBC News)
14 September 2023: Instead of recommending paying compensation to the family, given Belgium’s responsibility, the government proposed to establish a fund in Lumumba’s memory for support to the democratic development of Congo. The family would manage the fund. But the fund was never established. (Brussels Times)</t>
  </si>
  <si>
    <t>Belgium, Africa, Patrice Lumumba, Lumumba, Democratic Republic of the Congo, DRC, Congo, fund</t>
  </si>
  <si>
    <t>Belgian Government and Banks Pay Compensation to Holocaust Victims</t>
  </si>
  <si>
    <t>Government of Belgium and Belgium Banks and Companies</t>
  </si>
  <si>
    <t>Holocaust Survivors</t>
  </si>
  <si>
    <t>The Belgian government and banks have agreed to pay € 110 million (US$ 170 million) to Holocaust survivors, families of victims and the Jewish community for material losses during Word War II, when Belgium was occupied by Nazi Germany. Campaigners welcomed the decision to compensate those whose property and goods in Belgium had been looted by the occupiers.
(source: https://www.worldjewishcongress.org/en/news/belgium-agrees-to-pay-us-170m-to-shoah-victims)</t>
  </si>
  <si>
    <t>Political Apologies and Reparations Archive (2008.0011.01)</t>
  </si>
  <si>
    <t>http://www.cbc.ca/world/story/2008/03/11/belgium-holocaust.html,
https://www.worldjewishcongress.org/en/news/belgium-agrees-to-pay-us-170m-to-shoah-victims,
https://archive.jpr.org.uk/download?id=3253</t>
  </si>
  <si>
    <t>www.cbc.ca: http://web.archive.org/web/20080612071158/http://www.cbc.ca:80/world/story/2008/03/11/belgium-holocaust.html [12 June 2008]
www.worldjewishcongress.org:
https://web.archive.org/web/20251002134758/https://www.worldjewishcongress.org/en/news/belgium-agrees-to-pay-us-170m-to-shoah-victims [02 October 2025]
archive.jpr.org.uk:
http://web.archive.org/web/20241012054037/https://archive.jpr.org.uk/download?id=3253 [12 October 2024]</t>
  </si>
  <si>
    <t>Political Apologies and Reparations Archive:
The Belgian government and banks have agreed to pay € 110 million (US$ 170 million) to Holocaust survivors, families of victims and the Jewish community for material losses during Word War II, when Belgium was occupied by Nazi Germany. 
11 March 2008:
Belgium's government and banks agreed on Tuesday to pay $170 million US to Holocaust survivors, families of victims and the Jewish community for their material losses during the Second World War. [...] Overall, $54 million will be paid to individual claimants, with the rest going to a Jewish trust that will help the poor and keep the memory of the horrors of the Holocaust alive. (CBC News)
12 March 2008:
The Belgian government and banks have agreed to pay € 110 million (US$ 170 million) to Holocaust survivors, families of victims and the Jewish community for material losses during Word War II, when Belgium was occupied by Nazi Germany. Campaigners welcomed the decision to compensate those whose property and goods in Belgium had been looted by the occupiers. Belgium is facing 5,210 outstanding claims for restitution stemming from the Holocaust. Of those, 162 are for over € 20,000 (US$ 30,000). Overall, € 35.2 million (US$ 54 million) is to be paid to individual claimants with the rest going to a Jewish trust which will help the poor and keep the memory of the horrors of the Holocaust alive. Of the total payout, € 45.5 million (US$ 70 million) will come from the Belgian authorities and € 55 million (US$ 85 million) from banks. Most of the remainder will come from insurance companies. (World Jewish Congress)
OVERVIEW OF IMMOVABLE PROPERTY RESTITUTION/COMPENSATION
REGIME – BELGIUM (AS OF 13 DECEMBER 2016):
The Belgian Jewish community, through the Belgian Judaism Foundation (Fondation
du Judaïsme de Belgique) (the “Foundation”), has been declared the legitimate heir of
Jewish heirless property. In 2008, the Foundation was the recipient of the balance of the
money made available to the Indemnification Commission (via payments from the state,
banks and insurance companies) that remained unused/unclaimed (i.e., heirless) after the
individual claims process was complete.</t>
  </si>
  <si>
    <t>Belgium, Belgian, Holocaust, World War II, World War Two, WWII, Second World War, bank, banks, Jews, Jewish community, Jewish, Nazis, Nazi, Germany, Hitler, anti-Semitism, fascism, reparations, compensation, restitution, victims</t>
  </si>
  <si>
    <t>Reparations To Victims of Forced Child Separation under Belgian Colonial Rule</t>
  </si>
  <si>
    <t>Mixed-race women who were forcibly removed from their families in the colonial-era Belgian Congo (Monique Bitu Bingi, Léa Tavares Mujinga, Noëlle Verbeken, Simone Ngalula and Marie-José Loshi)</t>
  </si>
  <si>
    <t>In June 2020, five claimants, born in the Belgian Congo to a Black mother and a white father and now in their 70s, seized the Brussels Trial Court seeking the liability of the Belgian State for the damage they suffered. Their stories are astonishing. When they were younger than 7 years old, they were forcefully separated from their families and placed at a great distance from their home in the religious mission of Katande. Their names and dates of birth were changed. They were constantly told that their father was unknown (although it was untrue), and that they were “children of sin”. They also suffered ill-treatment and deprivation of food and were kept separate from black children, which broke any connections with their culture and language.
(source: https://verfassungsblog.de/belgium-congo-metis-compensation/)
A Belgium court has ordered the government to pay reparations to five mixed-race women who were forcibly removed from their families in the colonial-era Belgian Congo. The women, now in their 70s, were taken from their mothers when they were young children and placed in orphanages under a state policy. The court said the government had a "plan to systematically search for and abduct children born to a black mother and a white father". [...] "The court orders the Belgian State to compensate the appellants for the moral damage resulting from the loss of their connection to their mother and the damage to their identity and their connection to their original environment," the judges said.
(source: https://www.bbc.com/news/articles/ce3l1w2pn9go)</t>
  </si>
  <si>
    <t>https://www.bbc.com/news/articles/ce3l1w2pn9go,
https://www.forbes.com/sites/ewelinaochab/2024/12/23/belgium-to-pay-reparations-to-victimssurvivors-of-colonial-era-forced-child-separation/</t>
  </si>
  <si>
    <t>www.bbc.com: http://web.archive.org/web/20250819094916/https://www.bbc.com/news/articles/ce3l1w2pn9go [19 August 2025]
www.forbes.com: http://web.archive.org/web/20250328022800/https://www.forbes.com/sites/ewelinaochab/2024/12/23/belgium-to-pay-reparations-to-victimssurvivors-of-colonial-era-forced-child-separation/ [28 March 2025]</t>
  </si>
  <si>
    <t>2 December 2024: A Belgium court has ordered the government to pay reparations to five mixed-race women who were forcibly removed from their families in the colonial-era Belgian Congo. […] The women had asked for an initial payment of €50,000 (£41,400).
23 December 2024: In December 2024, a Belgian court ordered the government to pay reparations to five mixed-race women after they were forcibly removed from their families in the colonial-era Belgian Congo. [...] The court ordered the Belgian state to compensate the five women for the moral damage resulting from the loss of their connection to their mother and the damage to their identity and their connection to their original environment. The women sought compensation of €50,000 each (USD52,000).</t>
  </si>
  <si>
    <t>Note that some of the women have obtained Belgian citizenship and currently live in Belgium, making it partly a domestic reparations case.</t>
  </si>
  <si>
    <t>reparations, belgian, belgium, congo, victims, orphanages, compensation, colonial, women, pay</t>
  </si>
  <si>
    <t>Belize Pays Compensation to Maya People (2015)</t>
  </si>
  <si>
    <t>Government of Belize</t>
  </si>
  <si>
    <t>Belize</t>
  </si>
  <si>
    <t>BLZ</t>
  </si>
  <si>
    <t>Maya people of Belize</t>
  </si>
  <si>
    <t>The Caribbean Court of Justice (CCJ) has made a landmark decision ordering that the Government of Belize pay “reparation” for centuries of wrong done to the Mayas of Belize. It has ordered that a special fund amounting to $300,000 be set up to serve the Maya community of the Toledo district. After winning a decision in April where the CCJ ruled in favor of upholding the Maya Land Rights the Mayas additionally sued the Government for damages. The Court last week ruled that instead of “damages” that a special fund be set-up which seeks to address the centuries-old injustice against the Mayas.
(source: https://amandala.com.bz/news/maya-court-decision-opens-reparation/)</t>
  </si>
  <si>
    <t>BZD</t>
  </si>
  <si>
    <t>The Caribbean Court of Justice</t>
  </si>
  <si>
    <t>Amandala</t>
  </si>
  <si>
    <t>https://amandala.com.bz/news/maya-court-decision-opens-reparation/</t>
  </si>
  <si>
    <t>amandala.com.bz: http://web.archive.org/web/20200929105118/https://amandala.com.bz/news/maya-court-decision-opens-reparation/ [29 September 2020]</t>
  </si>
  <si>
    <t>3 November 2015: The Caribbean Court of Justice (CCJ) has made a landmark decision ordering that the Government of Belize pay “reparation” for centuries of wrong done to the Mayas of Belize. It has ordered that a special fund amounting to $300,000 be set up to serve the Maya community of the Toledo district. (Amandala)</t>
  </si>
  <si>
    <t>belize, maya, mayas, reparation, compensation, pays, justice, pay, damages, injustice</t>
  </si>
  <si>
    <t>Belize Pays Compensation to Maya People (2021) - Jalacte Village vs. the Attorney General</t>
  </si>
  <si>
    <t>On June 16, 2021, the Supreme Court of Belize ruled in favor of Maya land rights, upholding the community of Jalacte’s right to Free, Prior and Informed Consent (FPIC) on their customary lands. The court issued a decision in the case, Jalacte Village vs. the Attorney General, ruling that the government breached the Maya Peoples’ constitutional rights, obligating the government of Belize to return the lands that had been taken without the community’s consent and ordering compensation of the equivalent of $3.12 million USD. [...] The land in question included 31.36 acres near the Guatemalan border of Southern Belize, where the government had usurped land to expand a road leading to the Guatemalan border and build a border checkpoint. This land is under customary use, and therefore ownership, of the Maya village of Jalacte. The case was originally filed in 2016 by the traditionally elected representative of the village, “First Alcalde” Jose Ical on behalf of the village and by a second claimant, Estevan Caal, on whose land an agricultural border checkpoint was constructed.
(source: https://www.culturalsurvival.org/news/maya-peoples-win-lawsuit-against-belize-government-violating-land-rights)</t>
  </si>
  <si>
    <t>Supreme Court of Belize</t>
  </si>
  <si>
    <t>Cultural Survival</t>
  </si>
  <si>
    <t>https://www.culturalsurvival.org/news/maya-peoples-win-lawsuit-against-belize-government-violating-land-rights</t>
  </si>
  <si>
    <t>www.culturalsurvival.org: http://web.archive.org/web/20250904155054/https://www.culturalsurvival.org/news/maya-peoples-win-lawsuit-against-belize-government-violating-land-rights [04 September 2025]</t>
  </si>
  <si>
    <t>23 June 2021:
On June 16, 2021, the Supreme Court of Belize ruled in favor of Maya land rights, upholding the community of Jalacte’s right to Free, Prior and Informed Consent (FPIC) on their customary lands. The court issued a decision in the case, Jalacte Village vs. the Attorney General, ruling that the government breached the Maya Peoples’ constitutional rights, obligating the government of Belize to return the lands that had been taken without the community’s consent and ordering compensation of the equivalent of $3.12 million USD. The court also found that the government was in breach of a consent order of the Caribbean Court of Justice (CCJ), the highest international appellate court to which Belize is party. In 2015, the Maya people won an unprecedented victory at that court, in a decision which held that the Maya Peoples of Belize hold customary land rights over the land that they occupy, which is equal to any other form of land ownership in Belize and is constitutionally protected. (Cultural Survival)</t>
  </si>
  <si>
    <t>belize, maya, guatemalan, land, attorney, lands, appellate, ruling, ownership, compensation</t>
  </si>
  <si>
    <t>Law 2640: Exceptional Compensation to Victims of Political Violence During Periods of Unconstitutional Governments</t>
  </si>
  <si>
    <t>Government of Bolivia</t>
  </si>
  <si>
    <t>Bolivia</t>
  </si>
  <si>
    <t>BOL</t>
  </si>
  <si>
    <t>Victims of political violence during periods of unconstitutional governments in Bolivia</t>
  </si>
  <si>
    <t>Bolivia was governed by a military regime for most of the period between 1964 and 1982. Transition to civilian rule was initiated in the late 1970s under the rule of General Hugo Banzer; elections were held in 1978, 1979, and 1980, but the military prevented a full democratic transition from occurring.
(source: https://www.freedomhouse.org/sites/default/files/inline_images/Bolivia.pdf)</t>
  </si>
  <si>
    <t>In April and May 2012 a new law and a decree were passed according to which the compensation amounts established in the 2004 law would be reduced.</t>
  </si>
  <si>
    <t>Law 2640 for “Exceptional compensation to victims of political violence during periods of unconstitutional governments”</t>
  </si>
  <si>
    <t>Amnesty International</t>
  </si>
  <si>
    <t>https://www.amnesty.org/en/latest/press-release/2012/08/bolivia-authorities-must-grant-full-reparation-victims-human-rights-violati/</t>
  </si>
  <si>
    <t>www.amnesty.org: http://web.archive.org/web/20211024082434/https://www.amnesty.org/en/latest/press-release/2012/08/bolivia-authorities-must-grant-full-reparation-victims-human-rights-violati/ [24 October 2021]</t>
  </si>
  <si>
    <t>According to the Transitional Justice Evaluation Tools, USD$3.6 million were promised as of 2012 and the beneficiaries count is 6178.
21 August 2012: 
Since the promulgation of a law in March 2004 addressing the issue of compensation to victims of political violence the Ministry of Justice has received around 6.200 applications. However, according to official information, only 1.714 of these applicants have been qualified as beneficiaries and no more than 800 of these have allegedly received any economic compensation up to date. All other applications have been rejected. In April and May 2012 a new law and a decree were passed according to which the compensation amounts established in the 2004 law would be reduced. Also, the list of beneficiaries was made public, yet without any indication of the sum they would receive. According to information received by Amnesty International, beneficiaries do not know the exact amount until the moment they receive it. (Amnesty International)</t>
  </si>
  <si>
    <t>Key development:
In April and May 2012 a new law and a decree were passed according to which the compensation amounts established in the 2004 law would be reduced. The Law 2640 for “Exceptional compensation to victims of political violence during periods of unconstitutional governments” was issued on 11 March 2012. The law establishes a set of compensatory measures such as free medical assistance, psychological rehabilitation and economic benefits to victims and relatives of those who suffered from tortures or forced disappearance, among other human rights violations.
(source: https://www.amnesty.org/en/latest/press-release/2012/08/bolivia-authorities-must-grant-full-reparation-victims-human-rights-violati/)</t>
  </si>
  <si>
    <t>bolivia, victims, compensation, amnesty, justice, unconstitutional, governments, violence, elections, decree</t>
  </si>
  <si>
    <t>Reparations to Victims of 2019 State Violence</t>
  </si>
  <si>
    <t>Victims of 2019 state violence</t>
  </si>
  <si>
    <t>The government of president Luis Arce and vice-president David Choquehuanca in Bolivia, on December 15, authorized, through Supreme Decree 4639, the creation of a trust of 8 million bolivianos (1.16 million USD) to make reparation to the victims of human rights violations, including the Sacaba and Senkata massacres, committed during the last trimester of 2019 under the de-facto rule of Jeanine Áñez. The trust will provide loans to the relatives of the deceased and living victims of the 2019 state violence to assist them.
(source: https://peoplesdispatch.org/2021/12/19/bolivian-government-creates-trust-for-reparations-to-victims-of-2019-state-violence/)</t>
  </si>
  <si>
    <t>BOB</t>
  </si>
  <si>
    <t>Peoples Dispatch</t>
  </si>
  <si>
    <t>https://peoplesdispatch.org/2021/12/19/bolivian-government-creates-trust-for-reparations-to-victims-of-2019-state-violence/</t>
  </si>
  <si>
    <t>peoplesdispatch.org: http://web.archive.org/web/20250822201904/https://peoplesdispatch.org/2021/12/19/bolivian-government-creates-trust-for-reparations-to-victims-of-2019-state-violence/ [22 August 2025]</t>
  </si>
  <si>
    <t>19 December 2021: The government of president Luis Arce and vice-president David Choquehuanca in Bolivia, on December 15, authorized, through Supreme Decree 4639, the creation of a trust of 8 million bolivianos (1.16 million USD) to make reparation to the victims of human rights violations, including the Sacaba and Senkata massacres, committed during the last trimester of 2019 under the de-facto rule of Jeanine Áñez. The trust will provide loans to the relatives of the deceased and living victims of the 2019 state violence to assist them. According to official data, between September 1 and December 31, 2019, at least 38 Bolivians were killed, 800 people were injured, and over 1,000 citizens were unjustly detained. 
(Peoples Dispatch)</t>
  </si>
  <si>
    <t>reparations, reparation, bolivia, bolivianos, bolivians, victims, choquehuanca, sacaba, luis, jeanine</t>
  </si>
  <si>
    <t>Kemal Mehinovic et al. vs. Nikola Vuckovic</t>
  </si>
  <si>
    <t>Nikola Vuckovic</t>
  </si>
  <si>
    <t>Individual(s)</t>
  </si>
  <si>
    <t>Bosnia and Herzegovina</t>
  </si>
  <si>
    <t>BIH</t>
  </si>
  <si>
    <t>Kemal Mehinovic and other three victims of torture by Vuckovic</t>
  </si>
  <si>
    <t>In August 1998, CJA and pro bono co-counsel the American Civil Liberties Union, Bostwick &amp; Hoffman, the Center for Constitutional Rights, and George Washington University Law School filed a lawsuit in the U.S. District Court for the Northern District of Georgia seeking damages against Nikola Vuckovic for torture and other atrocities he committed during the Bosnian War in 1992. The lead plaintiff, Kemal Mehinovic, accused Vuckovic of torturing him and other detainees during a six-month period. In December 1998, three additional plaintiffs joined Mr. Mehinovic in the lawsuit.
(source: https://cja.org/what-we-do/litigation/mehinovic-v-vuckovic/uscourt-ats-tvpa/)
Specifically, the court found that Vuckovic committed and is liable for:
• Torture
• Cruel, Inhuman, or Degrading Treatment
• Arbitration Detention
• War Crimes
• Crimes Against Humanity
• Assault &amp; Battery, False Imprisonment, Intentional Infliction of Emotional
Distress, and Civil Conspiracy.
(source: https://www.asser.nl/upload/documents/DomCLIC/Docs/NLP/US/Mehinovic_Summary_of_Court_Decision.pdf)
In 2002, the U.S District Court for the Northern District of Georgia held Vuckovic liable for torture; cruel, inhuman and degrading treatment; arbitrary detention; war crimes; and crimes against humanity. The court awarded the plaintiffs $140 million in damages.
(source: https://cja.org/what-we-do/litigation/mehinovic-v-vuckovic/)</t>
  </si>
  <si>
    <t>US District Court of Georgia</t>
  </si>
  <si>
    <t>The Nuhanovic Foundation's Reparations Database</t>
  </si>
  <si>
    <t>https://nuhanovicfoundation.org/database/us-district-court-georgia-kemal-mehinovic-et-al-vs-nikola-vuckovic/,
https://cja.org/what-we-do/litigation/mehinovic-v-vuckovic/uscourt-ats-tvpa/,
https://www.internationalcrimesdatabase.org/Case/877/Mehinovic-v-Vuckovic/,
https://www.mrt.com/news/article/US-Judge-Awards-Bosnian-Muslims-140M-7875044.php</t>
  </si>
  <si>
    <t>nuhanovicfoundation.org: http://web.archive.org/web/20250427064656/https://nuhanovicfoundation.org/database/us-district-court-georgia-kemal-mehinovic-et-al-vs-nikola-vuckovic/ [27 April 2025]
cja.org: http://web.archive.org/web/20250905222858/https://cja.org/what-we-do/litigation/mehinovic-v-vuckovic/uscourt-ats-tvpa/ [05 September 2025]
www.internationalcrimesdatabase.org: http://web.archive.org/web/20250521114625/https://internationalcrimesdatabase.org/Case/877/Mehinovic-v-Vuckovic/ [21 May 2025]
www.mrt.com:
https://web.archive.org/web/20250902072533/https://www.mrt.com/news/article/US-Judge-Awards-Bosnian-Muslims-140M-7875044.php [02 September 2025]</t>
  </si>
  <si>
    <t>The Nuhanovic Foundation:
Ths decision relied on the Karadzic case cited above, among others, in finding the Defendant liable under the US ‘Alient Tort Claims Act’ and ‘Torture Victim Protection Act’ for torture and  cruel and degrading treatment in the context of unlawful confinement. Although the Defendant failed to appear at his Trial on 22 Oct 2001 the Court held him in default and went ahead to conduct the Trial, before judges only, on the merits of the case. Each of the four claimants was awarded 10,000,000US$ in compensation and 25,000,000 US$ in punitive damages.
Center for Justice and Accountability:
On April 29, 2002, Judge Shoob handed down his judgment, finding Vuckovic liable for torture; cruel, inhuman and degrading treatment; arbitrary detention; war crimes; and crimes against humanity. The court awarded the plaintiffs $140 million in damages.
28 April 2002:
A federal judge awarded $140 million Monday to four Bosnian Muslims who claimed they were beaten and tortured by a Bosnian-Serb soldier who moved to the United States after the war. The four men sued the former soldier, Nikola Vuckovic, in 1998 under laws allowing torture victims to seek redress in American courts, even if the offenses occurred elsewhere. U.S. District Judge Marvin H. Shoob awarded $35 million each to Kemal Mehinovic, Muhamed Bicic, Safet Hadzialijagic and Hasan Subasic. In an October trial, they told of being detained and tortured at the hands of Vuckovic and other Bosnian-Serb soldiers. Two of the victims currently are U.S. residents, and live in Salt Lake City. The award will be difficult to collect, since Vuckovic disappeared just before the trial. But Mehinovic, 45, said legal accountability was more important than the money. (Midland Reporter-Telegram)</t>
  </si>
  <si>
    <t>defendant, torture, accused, torturing, vuckovic, plaintiff, mehinovic, detainees, lawsuit, justice</t>
  </si>
  <si>
    <t>Kovac vs. Karadzic</t>
  </si>
  <si>
    <t xml:space="preserve">Radovan Karadzic and Biljana Plavsic (Former Bosnian Serb leaders </t>
  </si>
  <si>
    <t>Bosnian family Zuhra and Adil Kovac and their two children</t>
  </si>
  <si>
    <t>The Tribunal de Grande Instance of Paris on Monday ordered Karadzic and Plavsic to compensate Adil and Zuhra Kovac and their children for the humiliation they suffered and costs incurred from Adil’s injuries sustained after being attacked in the eastern Bosnian town of Foca during the 1992-1995 war. The court found sufficient evidence that Karadzic and Plavsic were personally responsible for the harm suffered by the Kovacs, especially Adil Kovac, who was left disabled. This decision is unprecedented in Europe because it was imposed before the International Criminal Tribunal for the former Yugoslavia, ICTY, has issued a verdict in its trial against wartime Bosnian Serb leader Karadzic. Radovan Karadzic faces 11 war crimes charges before the ICTY, including counts of genocide and murder. His trial is expected to last through 2012.
(source: https://balkaninsight.com/2011/03/15/former-bosnian-serb-officials-to-compensate-civil-war-victims/)</t>
  </si>
  <si>
    <t>Tribunal de Grande Instance</t>
  </si>
  <si>
    <t>Balkan Investigative Reporting Network (BIRN)</t>
  </si>
  <si>
    <t>https://nuhanovicfoundation.org/database/france-tribunal-de-grande-instance-kovac-vs-karadzic/,
https://nuhanovicfoundation.org/database/france-tribunale-de-grande-instance-kovac-vs-karadzic-and-plavsic/,
https://balkaninsight.com/2011/03/15/former-bosnian-serb-officials-to-compensate-civil-war-victims/</t>
  </si>
  <si>
    <t>nuhanovicfoundation.org: http://web.archive.org/web/20250615050428/https://nuhanovicfoundation.org/database/france-tribunal-de-grande-instance-kovac-vs-karadzic/ [15 June 2025]
nuhanovicfoundation.org: http://web.archive.org/web/20250618085726/https://nuhanovicfoundation.org/database/france-tribunale-de-grande-instance-kovac-vs-karadzic-and-plavsic/ [18 June 2025]
balkaninsight.com: http://web.archive.org/web/20230205011050/https://balkaninsight.com/2011/03/15/former-bosnian-serb-officials-to-compensate-civil-war-victims/ [05 February 2023]</t>
  </si>
  <si>
    <t>The Nuhanovic Foundation:
This report by the Institute for War and Peace Reporting considers the impact of the recent French decision (Tribunal de Grande Instance – 2011) that ordered Karadzic together with Biljana Plavsic to pay compensation of 200,000 euros to the Bosnian family Zuhra and Adil Kovac and their two children. It looks at the French decision in the light of the Kadic and Doe decisions (see above under US cases) and in the light of developing international focus on the victims of national crimes. It points out that the victims are unlikely ever to receive the payments ordered, given the circumstances of Karadzic who is currently on trial at the International Criminal Tribunal for the Former Yugoslavia in The Hague. However the author maintains that this does not diminish the enormous symbolic significance of these decisions. All these cases contribute to the growing body of State practice relevant to the implementation of the right to reparation for violations of International Humanitarian Law.
15 March 2011: A French court has ordered former Bosnian Serb leaders Radovan Karadzic and Biljana Plavsic to pay €200,000 to a Bosnian family for wartime abuses in a potentially precedent-setting case. The Tribunal de Grande Instance of Paris on Monday ordered Karadzic and Plavsic to compensate Adil and Zuhra Kovac and their children for the humiliation they suffered and costs incurred from Adil’s injuries sustained after being attacked in the eastern Bosnian town of Foca during the 1992-1995 war.
The court found sufficient evidence that Karadzic and Plavsic were personally responsible for the harm suffered by the Kovacs, especially Adil Kovac, who was left disabled. This decision is unprecedented in Europe because it was imposed before the International Criminal Tribunal for the former Yugoslavia, ICTY, has issued a verdict in its trial against wartime Bosnian Serb leader Karadzic. (BIRN)</t>
  </si>
  <si>
    <t>tribunal, karadzic, victims, bosnian, yugoslavia, kovac, kovacs, compensation, serb, crimes</t>
  </si>
  <si>
    <t>Law No. 9.140 of 1995 on the Missing (Lei no. 9.140, de 4 de dezembro de 1995 – Lei dos Desaparecidos)</t>
  </si>
  <si>
    <t>Government of Brazil</t>
  </si>
  <si>
    <t>Brazil</t>
  </si>
  <si>
    <t>BRA</t>
  </si>
  <si>
    <t>Legal successors of the eligible missing or deceased persons as a result of their political activity in the period from September 1961 to August 1979</t>
  </si>
  <si>
    <t>The Law establishes a special Commission for recognition of persons as missing or dead as a result of their political activity in the period from September 1961 to August 1979. It also provides for a financial compensation to the legal successors of the eligible missing or deceased.
(source: https://ihl-databases.icrc.org/en/national-practice/law-no-9140-missing-1995)</t>
  </si>
  <si>
    <t>BRL</t>
  </si>
  <si>
    <t>Transitional Justice Evaluation Tools (ID: 68)</t>
  </si>
  <si>
    <t>Law No. 9.140 on the Missing</t>
  </si>
  <si>
    <t>Correio Braziliense</t>
  </si>
  <si>
    <t>https://ihl-databases.icrc.org/en/national-practice/law-no-9140-missing-1995,
https://www.correiobraziliense.com.br/app/noticia/politica/2009/08/28/interna_politica,138583/reparacoes-a-anistiados-politicos-custaram-r-2-6-bilhoes-nos-ultimos-seis-anos.shtml</t>
  </si>
  <si>
    <t>ihl-databases.icrc.org:
https://web.archive.org/web/20251002134928/https://ihl-databases.icrc.org/en/national-practice/law-no-9140-missing-1995 [02 October 2025]
www.correiobraziliense.com:
https://web.archive.org/web/20251208134038/https://www.correiobraziliense.com.br/app/noticia/politica/2009/08/28/interna_politica,138583/reparacoes-a-anistiados-politicos-custaram-r-2-6-bilhoes-nos-ultimos-seis-anos.shtml [08 December 2025]</t>
  </si>
  <si>
    <t>According to the Transitional Justice Evaluation Tools, the cost estimate is 33,456,284.87 reis as of 2003; and the beneficiaries count is 373.
Law No. 9.140 on the Missing, 1995:
The Law establishes a special Commission for recognition of persons as missing or dead as a result of their political activity in the period from September 1961 to August 1979. It also provides for a financial compensation to the legal successors of the eligible missing or deceased.
28 August 2009:
According to the Commission of Relatives of the Dead and Political Disappeared, of the Special Secretariat for Human Rights, R$ 39 million was spent on compensation for 356 relatives. Compensation is paid only once and there is no pension payment. The individual amounts of compensation paid to relatives of victims of the dictatorship range from R$ 100,000 to R$ 152,000. In the assessment of the president of the commission, Crimea Alice Schmidt de Almeida, there are distortions between the laws that regulate economic reparation for the amnesties (Law No. 10,559, of 11/13/2002) and the compensation of the relatives of the victims (Law 9,140, of 12/4/1995).
(Translated from: Correio Braziliense)</t>
  </si>
  <si>
    <t>NOTE ON CONVERSION: The total compensation disbursed (R$ 39 million) is reported as an accumulated figure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</si>
  <si>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deceased, missing, desaparecidos, eligible, cost, lei, dead, compensation, 456, successors</t>
  </si>
  <si>
    <t>Law No. 10.559 of 2002 on Political Amnesty</t>
  </si>
  <si>
    <t>Individuals persecuted for political reasons during the country’s military regime</t>
  </si>
  <si>
    <t>Law 10,559 was sanctioned in 2002 and offered economic compensation for losses suffered during the military dictatorship. These compensations consisted of single instalments or lifelong monthly wages. In addition, the law granted former political dissidents the right to resume and finish university degrees forcefully interrupted by the military government.
(source: https://erlacs.org/articles/8395/files/submission/proof/8395-1-14082-1-10-20130402.pdf)</t>
  </si>
  <si>
    <t>Transitional Justice Evaluation Tools (ID: 69)</t>
  </si>
  <si>
    <t>Lei 10.559</t>
  </si>
  <si>
    <t>https://www.planalto.gov.br/ccivil_03/leis/2002/l10559.htm,
https://www.correiobraziliense.com.br/app/noticia/politica/2009/08/28/interna_politica,138583/reparacoes-a-anistiados-politicos-custaram-r-2-6-bilhoes-nos-ultimos-seis-anos.shtml</t>
  </si>
  <si>
    <t xml:space="preserve">www.planalto.gov.br: http://web.archive.org/web/20250919050923/https://www.planalto.gov.br/ccivil_03/leis/2002/l10559.htm [19 September 2025]
www.correiobraziliense.com:
https://web.archive.org/web/20251208134038/https://www.correiobraziliense.com.br/app/noticia/politica/2009/08/28/interna_politica,138583/reparacoes-a-anistiados-politicos-custaram-r-2-6-bilhoes-nos-ultimos-seis-anos.shtml [08 December 2025]
</t>
  </si>
  <si>
    <t>According to the Transitional Justice Evaluation Tools, the cost estimate is 2,742,631,524 reias as of April 2022 (About USD$542,676,271.76); and the beneficiaries count is 79183.
28 August 2009:
Since 2003, the federal government has paid about R$ 2.6 billion in pensions and compensation to political amnesties who suffered persecution during the military regime, lost their jobs and are entitled to economic reparation. The data are from the Integrated Financial Administration System of the Federal Government (Siafi), collected by the Contas Abertas website at the request of Agência Brasil.
(Translated from: Correio Braziliense)</t>
  </si>
  <si>
    <t>NOTE ON CONVERSION: The total compensation disbursed (R$ 2.6 billion) is reported as an accumulated figure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</si>
  <si>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amnesty, reparations, cost, persecuted, brazil, usd, economic, justice, reias, law</t>
  </si>
  <si>
    <t>Odebrecht Pays Reparations to Panama Over Bribe Scandal</t>
  </si>
  <si>
    <t>Odebrecht S.A. (Brazilian construction company)</t>
  </si>
  <si>
    <t>Government of Panama</t>
  </si>
  <si>
    <t>Panama</t>
  </si>
  <si>
    <t>PAN</t>
  </si>
  <si>
    <t>The Brazilian construction company Odebrecht has made a verbal agreement to pay $59 million in reparations for bribes it paid in Panama to win business in the country between 2010 in 2014. (source: https://www.voanews.com/a/panama-odebrecht-to-pay-millions-in-bribe-scandal/3674673.html)</t>
  </si>
  <si>
    <t>VOA News</t>
  </si>
  <si>
    <t>https://www.voanews.com/a/panama-odebrecht-to-pay-millions-in-bribe-scandal/3674673.html</t>
  </si>
  <si>
    <t>www.voanews.com: http://web.archive.org/web/20250415143621/https://www.voanews.com/a/panama-odebrecht-to-pay-millions-in-bribe-scandal/3674673.html [15 April 2025]</t>
  </si>
  <si>
    <t>12 January 2017: Panama’s attorney general said Thursday that the Brazilian construction company Odebrecht has made a verbal agreement to pay $59 million in reparations for bribes it paid in Panama to win business in the country between 2010 in 2014. (VOA News)</t>
  </si>
  <si>
    <t>bribes, odebrecht, reparations, bribe, brazilian, brazil, pays, pay, panama, paid</t>
  </si>
  <si>
    <t>Reparations for the Mariana Dam Disaster</t>
  </si>
  <si>
    <t>BHP (BHP.AX), Vale (VALE3.SA), and Samarco</t>
  </si>
  <si>
    <t>Government of Brazil and affected communities and individuals</t>
  </si>
  <si>
    <t>The Mariana dam disaster, also known as the Bento Rodrigues or Samarco dam disaster, occurred on 5 November 2015, when the Fundão tailings dam at the Germano iron ore mine of the Samarco Mariana Mining Complex near Mariana, Minas Gerais, Brazil, suffered a catastrophic failure, resulting in flooding that devastated the downstream villages of Bento Rodrigues and Paracatu de Baixo (40 km (25 mi) from Bento Rodrigues), killing 19 people. The extent of the damage caused by the tailings dam collapse is the largest ever recorded with pollutants spread along 668 kilometres (415 mi) of watercourses.
(source: Wikipedia https://en.wikipedia.org/wiki/Mariana_dam_disaster)</t>
  </si>
  <si>
    <t>To be paid over 20 years.</t>
  </si>
  <si>
    <t>Renova Foundation</t>
  </si>
  <si>
    <t>BHP</t>
  </si>
  <si>
    <t>https://www.reuters.com/business/energy/bhp-reaches-30-bln-settlement-reparation-brazil-dam-failure-2024-10-25/,
https://www.bhp.com/what-we-do/global-locations/brazil/samarco-reparations,
https://advance.lexis.com/document?crid=efaf3d33-c6cc-4711-b890-0588f1aa1659&amp;pddocfullpath=%2Fshared%2Fdocument%2Fnews%2Furn%3AcontentItem%3A6G1M-HY33-RSBR-H44C-00000-00&amp;pdsourcegroupingtype=&amp;pdalertemail=False&amp;pdcontentcomponentid=443607&amp;pdmfid=1519360&amp;pdisurlapi=true</t>
  </si>
  <si>
    <t>25 October 2024:
Brazil on Friday signed a 170 billion reais ($29.85 billion) compensation agreement with miners BHP (BHP.AX), Vale (VALE3.SA), and Samarco for the Mariana dam collapse in 2015, one of the country's worst environmental disasters. The collapse of the dam at the iron ore mine owned by Samarco, a joint venture between Vale and BHP, near the city of Mariana in southeastern Brazil, unleashed a wave of tailings in a disaster that killed 19 people, left hundreds homeless, flooded forests and polluted the length of the Doce River. Brazilian President Luiz Inacio Lula da Silva attended a ceremony in Brasilia to mark the signing of the agreement, with the government saying the first instalment of 5 billion reais must be paid within 30 days. The agreement provides for the payment of 132 billion reais, of which 100 billion reais represent "new resources" that must be paid to the public authorities within 20 years by the companies involved in the tragedy. They will allocate the other 32 billion reais to pay for compensation for affected people and reparation actions that will remain under their responsibility, in addition to the 38 billion reais that the miners say they have disbursed. The government's solicitor general, Jorge Messias, said the resources provided in the agreement will allow local authorities to repair the financial losses of families hit by the tragedy and pay for environmental recovery actions in affected areas in the states of Minas Gerais, where the dam is located, and Espirito Santo through which the Doce River flows to the sea. The annual payments will be scheduled until 2043, with values varying between 7 billion reais in 2026 and 4.41 billion reais in the last instalment.
(Reuters)
12 June 2025:
On Thursday (12/6), the federal government announced a new reparations agreement worth R$170 billion for the victims of the Mariana environmental disaster in Minas Gerais. The amount represents a significant increase on the previous proposal of R$7 billion, and was described by Juliano Duarte, the town's mayor, as "the largest settlement in Brazil and the world" for an environmental crime. [...]
The new pact seeks to correct the failings of the Renova Foundation, which Mayor Juliano Duarte says was "one of the biggest mistakes" in that it "spent a lot and spent it badly" and "didn't take care of the people". The total amount of R$170 billion will be distributed among various repair fronts. "Before becoming mayor, I was Mariana's municipal health secretary and I experienced our city's suffering first hand. Many people lost their homes, many people lost their lives, Mariana's economy was weakened, many companies closed their doors," lamented the head of the municipal executive. The Minister of the Federal Attorney General's Office, Jorge Messias, explained that the federal government's responsibility amounts to R$49.8 billion. The Minister of the Civil House, Rui Costa, complemented Messias, saying that the specific allocations were R$25.53 billion for the government of Minas Gerais and R$14.87 billion for Espírito Santo. One of the pillars of the agreement is health, with R$11 billion earmarked for the area, according to Rui Costa, of which R$8 billion will be for a permanent heritage fund to pay for services over decades. Another R$8 billion is earmarked for environmental actions, focusing on the recovery of the Rio Doce, fauna and flora, including the restoration of 5,000 springs and the planting of 30 million seedlings. The initiative also provides for R$5 billion for social participation, empowering those affected as protagonists in defining the application of resources. "It is this council that will have the task of defining the criteria and objects for the application of these resources, after listening to society," explained the Minister of the Civil House. Rui Costa also explained that the first direct payments, totaling R$3.75 billion in income transfers, will begin on July 1st for 22,000 fishermen and 16,000 family farmers. Among the more concrete announcements was the one made by the Minister of Health, Alexandre Padilha, regarding the construction of a Regional Hospital in Mariana in partnership with the Federal University of Ouro Preto, with an investment of R$220 million. (CE Noticias Financieras)
BHP.com:
The agreement in detail:
R$38 billion (US$7.9 billion): Remediation and compensation activities (up to 30 September 2024)
R$100 billion (US$18 billion): Programs to support people, communities and the environment
Approximately R$32 billion (US$5.8 billion): Ongoing performance obligations to be carried out by Samarco</t>
  </si>
  <si>
    <t>Reportedly, some payments were made: https://www.bhp.com/-/media/project/bhp1ip/bhp-com-en/documents/about/our-business/minerals-americas/240503_brazil_factsheets_en.pdf</t>
  </si>
  <si>
    <t>mariana_dam_disaster, disasters, gerais, dam, reparations, flooded, brasilia, mariana, disaster, rio</t>
  </si>
  <si>
    <t>Bulgaria War Reparations to Greece (Treaty of Paris of 1947, Arda Waters Treaty of 1964, Joint Declaration of 2025)</t>
  </si>
  <si>
    <t>Government of Bulgaria</t>
  </si>
  <si>
    <t>Bulgaria</t>
  </si>
  <si>
    <t>BGR</t>
  </si>
  <si>
    <t>Government of Greece</t>
  </si>
  <si>
    <t>Greece</t>
  </si>
  <si>
    <t>GRC</t>
  </si>
  <si>
    <t>After World War II, both the Federal Republic and Democratic Republic of Germany were obliged to pay war reparations to the Allied governments, according to the Potsdam Conference. Other Axis nations were obliged to pay war reparations according to the Paris Peace Treaties, 1947. [...] Bulgaria had to pay reparations worth about 70 million USD. Most of these reparations were not paid in full by the countries which later fell under the umbrella of the Soviet Union, because the Soviet Union officially cancelled them.
(source: https://en.wikipedia.org/wiki/World_War_II_reparations)
Bulgaria was asked to pay $45 million to Greece, and $25m to Yugoslavia. For the full $70 million, the treaty said it was to be made “payable in kind from the products of manufacturing and extractive industries and agriculture over eight years.”
(source: https://www.cnbc.com/2015/03/18/who-still-owes-what-for-the-two-world-wars.html)</t>
  </si>
  <si>
    <t>Interstate war and conflict</t>
  </si>
  <si>
    <t>https://www.nytimes.com/1964/06/30/archives/bulgaria-settles-rift-with-greece-agreement-on-reparations-opens.html,
https://www.cnbc.com/2015/03/18/who-still-owes-what-for-the-two-world-wars.html,
https://www.euractiv.com/section/politics/news/bulgaria-greece-close-to-renewing-water-deal-over-arda-river/</t>
  </si>
  <si>
    <t>www.nytimes.com: http://web.archive.org/web/20201112022452/https://www.nytimes.com/1964/06/30/archives/bulgaria-settles-rift-with-greece-agreement-on-reparations-opens.html [12 November 2020]
www.cnbc.com: http://web.archive.org/web/20250730035759/https://www.cnbc.com/2015/03/18/who-still-owes-what-for-the-two-world-wars.html [30 July 2025]
www.euractiv.com: http://web.archive.org/web/20241021053719/https://www.euractiv.com/section/politics/news/bulgaria-greece-close-to-renewing-water-deal-over-arda-river/ [21 October 2024]</t>
  </si>
  <si>
    <t>18 March 2015: Bulgaria was asked to pay $45 million to Greece, and $25m to Yugoslavia. For the full $70 million, the treaty said it was to be made “payable in kind from the products of manufacturing and extractive industries and agriculture over eight years.” (CNBC)
29 June 1964: Greece and Bulgaria have agreed to end their 20‐year‐old quarrel and resume normal relations. A Greek Foreign Ministry announcement today said that representatives of the two countries agreed in Sofia last night on a “package deal” to settle all their outstanding issues. The negotiations there had been under way two months. The differences were mainly a result of Bulgaria's refusal to pay $45 million in war reparations awarded to Greece by the 1946 peace treaty. The reparations were for damage caused by Bulgarian troops that, allied with the Nazis, occupied northern Greece during World War II. [...] Official reports said the Bulgarians had agreed to pay Greece $7 million in commercial goods toward the debt. Bulgaria also agreed to carry out flood‐control works on the Arda River, which should benefit Greece to the extent of about $15 million, with a prospect of further gains from irrigation and land reclamation on the Greek side of the border. (The New York Times)
17 October 2024: The previous agreement between Bulgaria and Greece on the Arda River was based on war reparations under the 1947 Treaty of Paris between the countries of the anti-Hitler coalition and the allies of the Third Reich - Bulgaria, Italy, Romania, Hungary and Finland. Under the Treaty of Paris, Bulgaria was obliged to pay $45 million in reparations to Greece, part of the debt being settled by the Arda Waters Treaty. (Euractiv)
Wikipedia: Bulgaria had to pay reparations worth about 70 million USD. Most of these reparations were not paid in full by the countries which later fell under the umbrella of the Soviet Union, because the Soviet Union officially cancelled them.</t>
  </si>
  <si>
    <t>The reparations were to be paid in goods and products.
Reparations were later officially cancelled (Hinrichsen 2023).
Under the 1947 Paris Peace Treaty, Yale Law School, Bulgaria owed Greece war reparations for WWII damages, settled partially through a unique 60-year agreement (1964-2024) to supply water from the Arda River (around 186M cubic meters/year) for irrigation, not cash. This replaced the original $45 million in-kind payment, valued at 1938 prices, but negotiations delayed full implementation, leading to this water deal and ongoing discussions for a new arrangement.
(source: Google AI Overview, and https://newday.bg/en/60-years-of-the-arda-river-has-been-irrigating-eng/)</t>
  </si>
  <si>
    <t>bulgaria, reparations, bulgarians, bulgarian, greece, yugoslavia, sofia, treaty, pay, payable</t>
  </si>
  <si>
    <t>Bulgaria War Reparations to Yugoslavia (Treaty of Paris of 1947)</t>
  </si>
  <si>
    <t>Yugoslavia</t>
  </si>
  <si>
    <t>XXX</t>
  </si>
  <si>
    <t>https://www.cnbc.com/2015/03/18/who-still-owes-what-for-the-two-world-wars.html,
https://en.wikipedia.org/wiki/World_War_II_reparations_towards_Yugoslavia</t>
  </si>
  <si>
    <t>www.cnbc.com: http://web.archive.org/web/20250730035759/https://www.cnbc.com/2015/03/18/who-still-owes-what-for-the-two-world-wars.html [30 July 2025]
en.wikipedia.org:
https://web.archive.org/web/20250915100154/https://en.wikipedia.org/wiki/World_War_II_reparations_towards_Yugoslavia [15 September 2025]</t>
  </si>
  <si>
    <t>18 March 2015: Bulgaria was asked to pay $45 million to Greece, and $25m to Yugoslavia. For the full $70 million, the treaty said it was to be made “payable in kind from the products of manufacturing and extractive industries and agriculture over eight years.” (CNBC)
Wikipedia:
Under the peace treaties from 1947, Italy was the obligee to reimburse Yugoslavia 125 million for war damages, Hungary 50 million and Bulgaria 25 million, all in U.S. dollars.
[...] From the title of the Agreement on Friendship with Bulgaria of 1947, signed in Bled, the Yugoslav Government abandoned Bulgarian war indemnities through a unilateral act.</t>
  </si>
  <si>
    <t>The reparations were to be paid in goods and products.
Reparations were later officially cancelled (Hinrichsen 2023).</t>
  </si>
  <si>
    <t>Compensation for Human Rights Abuses in Burkina Faso</t>
  </si>
  <si>
    <t>Government of Burkina Faso</t>
  </si>
  <si>
    <t>Burkina Faso</t>
  </si>
  <si>
    <t>BFA</t>
  </si>
  <si>
    <t>Families of the victims of past political violence and human right abuses</t>
  </si>
  <si>
    <t>President Compaoré establishes a fund of US$7.75 million to compensate families of victims of past political violence and human rights abuses.
(source: The Transitional Justice Data Base)</t>
  </si>
  <si>
    <t>The Transitional Justice Data Base:
President Compaoré establishes a fund of US$7.75 million to compensate families of victims of past political violence.</t>
  </si>
  <si>
    <t>burkina, faso, compensation, victims, compensate, abuses, justice, families, million, rights</t>
  </si>
  <si>
    <t>Reparations to Burkinabe Journalist Norbert Zongo</t>
  </si>
  <si>
    <t>Families of Norbert Zongo (Burkinabe journalist) and the other three victims assassinated</t>
  </si>
  <si>
    <t>On 13 December 1998, Norbert Zongo, an investigative journalist in Burkina, his two collaborators and his younger brother, were assassinated. Their bodies were found charred in the car in which they were traveling together. The police arrived the same day at the scene of the crime, and the prosecutor arrived the next day. The Burkinabe judicial system is seized and begins an investigation to determine the circumstances of this assassination. The journalist Norbert Zongo was investigating political, economic and social scandals, in particular concerning the death of the driver of the brother of the president at the time, which could have earn him enemies in high places. A suspect was charged in 2001. [...] The African Court then ordered Burkina Faso to pay financial reparations to the wives, sons and daughters, fathers and mothers of the deceased for the psychological suffering they endured, as well as to resume investigations in order to seek, prosecute and judge the perpetrators of the murders of Norbert Zongo and his three companions. The families, who no longer had any possible recourse in Burkina Faso, saw this judgment open up a new path to finally obtain the truth about what had happened and justice for their loved ones.
(source: https://www.amnesty.org/en/latest/campaigns/2023/06/zongo-case-justice-for-the-death-of-a-burkinabe-journalist/)</t>
  </si>
  <si>
    <t xml:space="preserve">African Court on Human and People’s Rights (ACHPR) </t>
  </si>
  <si>
    <t>https://www.justiceinitiative.org/voices/african-court-orders-remedies-and-damages-case-murdered-journalist,
https://www.justiceinfo.net/en/603-historic-decision-of-african-court-on-murdered-burkina-faso-journalist.html,
https://www.amnesty.org/en/latest/campaigns/2023/06/zongo-case-justice-for-the-death-of-a-burkinabe-journalist/</t>
  </si>
  <si>
    <t>www.justiceinitiative.org: http://web.archive.org/web/20230201022853/https://www.justiceinitiative.org/voices/african-court-orders-remedies-and-damages-case-murdered-journalist [01 February 2023]
www.justiceinfo.net: http://web.archive.org/web/20250718074606/https://www.justiceinfo.net/en/603-historic-decision-of-african-court-on-murdered-burkina-faso-journalist.html [18 July 2025]
www.amnesty.org: http://web.archive.org/web/20241213001450/https://www.amnesty.org/en/latest/campaigns/2023/06/zongo-case-justice-for-the-death-of-a-burkinabe-journalist/ [13 December 2024]</t>
  </si>
  <si>
    <t>9 June 2015: On 5 June, the court ordered the government of Burkina Faso to re-open the investigation into the killing of Zongo and three others, and to pay damages totaling over one million US dollars to the victims’ families. (Open Society Foundations)
11 June 2015: In its June 5 decision the Court, based in the northern Tanzanian town of Arusha, also ordered Ouagadougou to pay financial compensation of 25 million CFA francs (about 38,000 Euros) to each of their spouses, 15 million to each of their children and 10 million to each of the parents of Zongo and his companions. (Justice Info)
25 June 2023: The African Court then ordered Burkina Faso to pay financial reparations to the wives, sons and daughters, fathers and mothers of the deceased for the psychological suffering they endured, as well as to resume investigations in order to seek, prosecute and judge the perpetrators of the murders of Norbert Zongo and his three companions. The families, who no longer had any possible recourse in Burkina Faso, saw this judgment open up a new path to finally obtain the truth about what had happened and justice for their loved ones. (Amnesty International)</t>
  </si>
  <si>
    <t>burkina, burkinabe, reparations, zongo, faso, tanzanian, ouagadougou, compensation, recourse, damages</t>
  </si>
  <si>
    <t>Compensation to Former Head of State Thomas Sankara and his Companions Assassinated in 1987</t>
  </si>
  <si>
    <t>Blaise Compaoré (former Burkina Faso President) and nine others</t>
  </si>
  <si>
    <t xml:space="preserve">Heirs of Thomas Sankara (former head of state) and his companions </t>
  </si>
  <si>
    <t>Thomas Sankara, who came to power in a coup in 1983, was killed along with twelve of his companions by a commando during a meeting at the headquarters of the National Council of the Revolution (CNR) in Ouagadougou. He was 37 years old.
(source: https://www.africanews.com/2022/05/10/burkina-faso-sankara-assassination-suspects-ordered-to-pay-us-1-3-million-in-damages/)</t>
  </si>
  <si>
    <t>XOF</t>
  </si>
  <si>
    <t>The military court in Ouagadougou</t>
  </si>
  <si>
    <t>https://wadr.org/burkina-faso-sankara-assassination-suspects-ordered-to-pay-us1-3-million-in-damages/,
https://www.africanews.com/2022/05/10/burkina-faso-sankara-assassination-suspects-ordered-to-pay-us-1-3-million-in-damages/</t>
  </si>
  <si>
    <t>wadr.org:
https://web.archive.org/web/20250320211750/https://wadr.org/burkina-faso-sankara-assassination-suspects-ordered-to-pay-us1-3-million-in-damages/ [20 March 2025]
www.africanews.com: http://web.archive.org/web/20250426075810/https://www.africanews.com/2022/05/10/burkina-faso-sankara-assassination-suspects-ordered-to-pay-us-1-3-million-in-damages/ [26 April 2025]</t>
  </si>
  <si>
    <t xml:space="preserve">1 January 2023:
Burkina Faso: Sankara assassination suspects ordered to pay US$1.3 million in damages. (The West Africa Democracy Radio)
13 August 2024: The military court in Ouagadougou on Tuesday sentenced former Burkina Faso President Blaise Compaoré and nine other defendants to pay more than 800 million CFA francs (1.2 million euros) in damages to the beneficiaries of former head of state Thomas Sankara and his companions assassinated in 1987. The amount of damages for "reparation of moral and economic prejudice" amounts to 807.5 million CFA francs, including "a symbolic franc" for the heirs of Thomas Sankara, said Judge Urbain Méda. This sum will have to be paid jointly by Blaise Compaoré, the former commander of his guard Hyacinthe Kafando and the former head of the army in 1987 Gilbert Diendéré, all sentenced to life imprisonment in early April for their involvement in the assassination, as well as seven other defendants sentenced to between three and twenty years in prison. According to the court decision, the Burkinabe government will have to compensate the beneficiaries if the convicted persons are unable to pay the amounts. [...] Thomas Sankara, who came to power in a coup in 1983, was killed along with twelve of his companions by a commando during a meeting at the headquarters of the National Council of the Revolution (CNR) in Ouagadougou. He was 37 years old. (Africa News)
</t>
  </si>
  <si>
    <t>sankara, burkina, francs, sentenced, burkinabe, convicted, faso, assassinated, reparation, diendéré</t>
  </si>
  <si>
    <t>Compensation to Japanese-Canadians (the Japanese Canadian Redress Agreement)</t>
  </si>
  <si>
    <t>Government of Canada</t>
  </si>
  <si>
    <t>Canada</t>
  </si>
  <si>
    <t>CAN</t>
  </si>
  <si>
    <t>North America</t>
  </si>
  <si>
    <t>Japanese-Canadians</t>
  </si>
  <si>
    <t>Following Canada's official declaration of war against Japan in December 1941, the Canadian government, using the War Measures Act, forcibly relocated Japanese emigrants and Canadians of Japanese descent from British Columbia to internment camps throughout Canada. Living conditions in the internment camps were extremely poor, and families were often separated, with men being sent to work in factories and women and children sent to camps in inland British Columbia. In addition to the hardships of imprisonment, which lasted in many cases until 1949, four years after Japan's surrender, during this period, property belonging to Japanese-Canadians was confiscated.</t>
  </si>
  <si>
    <t>CAD</t>
  </si>
  <si>
    <t>4 Quality Education</t>
  </si>
  <si>
    <t>The New York Times</t>
  </si>
  <si>
    <t>https://www.nytimes.com/1988/09/23/world/ottawa-will-pay-compensation-to-uprooted-japanese-canadians.html,
http://www.canadianheritage.gc.ca/progs/em-cr/eval/archive/2002_18/7_e.cfm,
https://www.ca.emb-japan.go.jp/2024_shared_images/Amb-Yamanouchi-Redress.pdf,
https://www.bundesarchiv.de/assets/bundesarchiv/de/Downloads/Beitraege/kriegsfolgenarchivgut-nishiguchi.pdf</t>
  </si>
  <si>
    <t>Political Apologies and Reparations Archive (2004.0023.01; 2004.0023.02):
In addition to the formal apology from the government, nearly $400 million (CAD) was distributed to Japanese-Canadians in compensation for their imprisonment and property loss. This included: $21,000 (CAD) each to survivors of the camps; $24 million (CAD) to the Canadian Race Relations Foundation; and $12 million (CAD) to a community fund. Additionally, citizenship was re-instated to Japanese-Canadians who had been forcibly repatriated, and criminal records related to violations of the War Measures Act were cleared. 
23 September 1988: The Canadian Government agreed today to pay the equivalent of $17,325 (US) in compensation to each of about 12,000 surviving Japanese-Canadians who were forcibly uprooted from their homes in British Columbia, interned and deprived of their property in World War II. The settlement was announced in Ottawa by Prime Minister Brian Mulroney, who formally apologized for the uprooting of 21,900 people of Japanese origin in the months after the Japanese attack on Pearl Harbor on Dec. 7, 1941. ''No amount of money can right the wrong, undo the harm and heal the wounds,'' Mr. Mulroney said in the House of Commons as he outlined the compensation package worth $238 million, which includes the individual payments and payments to two funds to be set up as a result of an agreement reached with the National Association of Japanese-Canadians, which had long sought redress for the internments. U.S. Action Speeds Accord. One fund is to receive $10 million to support educational, social and cultural activities in the Japanese-Canadian community; the other is to receive $20 million to finance a new Canadian Race Relations Foundation. (The New York Times)
24 November 2024:
On August 27th, an agreement was finally reached on both an official apology and compensation. Individual compensation was set at $21,000 per person. The total compensation included $12 million for the Japanese Canadian community, $12 million for the fund to preserve the memory for those who have suffered injustice, and $12 million for the Racial Harmony and Intercultural Understanding Fund. The total amount was $306 million, or 75% of the $400 million requested by the Japanese side.
On September 22, in Parliament in Ottawa, Prime Minister Mulroney publicly apologized for the injustices against Japanese Canadians. He then signed the redress agreement with Art Miki, president of the National Association of Japanese Canadians. September 22, 1988 was a historic day not only for Japanese Canadians, but also for Canada.
(Embassy of Japan in Canada)
The Canadian Japanese, Redress, and the Power of Archives:
By March of 1992, 17,402 cheques had been issued to eligible Canadian Japanese survivors.</t>
  </si>
  <si>
    <t>Mulroney, Miki, Canada, Japanese Canadians, National Association of Japanese Canadians, Art Miki, Brian Mulroney, Redress Settlement, World War II, Canadian Race Relations Foundation, War Measures Act, repatriated Japanese, NAJC, reparations, internment, internments, canadians, canadian, japanese, repatriated, 1941, compensation, settlement</t>
  </si>
  <si>
    <t>Compensation for the 1980s Contaminated Blood Crisis in Canada (1989)</t>
  </si>
  <si>
    <t>Victims of the 1980s Contaminated Blood Scandal: those who had contracted HIV prior to 1 January 1986 and after 1 July 1990</t>
  </si>
  <si>
    <t>During the 1980s, the Canadian Red Cross injected more than 1,100 people who became infected with HIV as a result of the injections. 700 of the recipients had haemophilia and other bleeding disorders while 400 received transfusions as a result of surgery, childbirth, or other reasons. Between 700 and 800 of these people have died. A further 20,000 people were infected with hepatitis C and, although it is not known how many of them died as a result, it is estimated to be in the thousands.
(source: Political Apologies and Reparations Archive)</t>
  </si>
  <si>
    <t>Harm to individual or public health</t>
  </si>
  <si>
    <t xml:space="preserve"> In 1993, this package was expanded.</t>
  </si>
  <si>
    <t>3 Good Health and Well-being</t>
  </si>
  <si>
    <t>Political Apologies and Reparations Archive (2011.0024.01 - As background information)</t>
  </si>
  <si>
    <t>https://www.infectedbloodinquiry.org.uk/sites/default/files/p2%20701-1000%20docs_2/p2%20701-1000%20docs/DHSC0006616_008%20-%20Contaminated%20blood%20international%20compensation%20schemes.pdf,
https://www.thecanadianencyclopedia.ca/en/article/krever-inquiry</t>
  </si>
  <si>
    <t>www.infectedbloodinquiry.org.uk: https://web.archive.org/web/20240522090034/https://www.infectedbloodinquiry.org.uk/sites/default/files/p2%20701-1000%20docs_2/p2%20701-1000%20docs/DHSC0006616_008%20-%20Contaminated%20blood%20international%20compensation%20schemes.pdf [22 May 2024]
www.thecanadianencyclopedia.ca: http://web.archive.org/web/20241104084830/https://www.thecanadianencyclopedia.ca/en/article/krever-inquiry [04 November 2024]</t>
  </si>
  <si>
    <t>Infected Blood Inquiry:
In 1989, the federal government announced a $150-million package for those who had contracted HIV through the blood system, and who agreed, in exchange, not to sue them. A lump sum of $120,000 (Canadian dollars) payment (approx £77k at July 10 exchange rates) was offered to 1,250 individuals infected with HIV, but not all eligible people applied. In 1993, this package was expanded. Once approved, individuals were eligible for $30,000 (CD) a year for life (approx £19.2k at July 10 exchange rates).
30 November 2021 (Last Edited):
The federal government first provided $120,000 in "humanitarian assistance" to victims of tainted blood in 1989 in exchange for a promise that they would not sue. In 1993, the provinces extended the compensation plan, offering $30,000 a year to all those who had contracted HIV from blood. Those who contracted hepatitis C fought a very public battle for equal treatment, but governments have opted to try and settle their lawsuits out-of-court. As of 2006, $1.023 billion has been offered only to those infected prior to 1 January 1986 and after 1 July 1990, a period in which the government admits liability for its failure to institute available tests for hepatitis C. (The Canadian Encyclopedia)</t>
  </si>
  <si>
    <t>Red Cross, Canadian Red Cross, Canada, blood, HIV, hepatitis C, haemophilia, hiv, transfusions, blood, hepatitis, bleeding, canadian, victims, contaminated, infected, injections</t>
  </si>
  <si>
    <t>Canada Pays Compensation to Relocated Inuit People (the High Arctic Relocatees Trust Fund / the HART Fund)</t>
  </si>
  <si>
    <t>Inuit people</t>
  </si>
  <si>
    <t>During the 1950s the Canadian federal government relocated 19 Inuit families from Inukjuak, Quebec to Resolute Bay and Grise Fiord in the High Arctic. Three families from Pond Inlet were also relocated to these two areas. This was ostensibly to help the Inukjuak Inuit adapt to the challenges of a new environment to which the Pond Inlet families were more accustomed. Given the harsh climate and the frigid surroundings further north, the Inuit initially struggled to survive in their new settlements. The government did not provide adequate shelter and food supplies and failed to honour its promise that the Inuit would be allowed to return to their original homes. The government has consistently asserted that the relocation was carried out on humanitarian grounds because of deteriorating traditional harvesting and health conditions in Inukjuak. The program has however been criticized for using the Inuit to stake Canadian claims to the Arctic and the mineral reserves in the region. Following the recommendations of several reports and commissions set up to investigate the relocation, the federal government in 1996 established a $10 million trust fund for the relocatees and their families. Although their suffering was acknowledged to be a result of poor government planning, no official apology was given at the time.
(source: Political Apologies and Reparations Archive)
The High Arctic Relocatees Trust (HART) was created in 1996 as a result of a settlement agreement between Makivvik and the federal government. The monies in this trust are compensation principally for two classes of beneficiaries, the High Arctic Relocatees, whom were relocated in the 1950s from Inukjuak, Quebec, and Pond Inlet, in the then Northwest Territories, to Grise Fiord and Resolute Bay; and the High Arctic Descendants, who are the current descendants of the High Arctic Relocatees.
HART has provided financial benefits since 1996 for education, social, cultural and socio-economic needs of the trust beneficiaries, namely by covering, in whole or in part, costs incurred for communal visits, travelling and commemorative activities. The management of HART is done by six (6) trustees whom are responsible to ensure of management of the trust capital and distribution of revenues.
(source: https://www.makivvik.ca/notice-high-arctic-relocatees-trust-hart-beneficiairies-potential-beneficiaries/)</t>
  </si>
  <si>
    <t>https://nunatsiaq.com/stories/article/8789_Makivik_trustees_want_access_to_3_million_of_principal/,
http://www.theglobeandmail.com/news/politics/ottawa-apologizes-for-1950s-inuit-relocations/article1677179/,
https://www.cbc.ca/lite/story/1.897468,
https://www.thecanadianencyclopedia.ca/en/article/inuit-high-arctic-relocations</t>
  </si>
  <si>
    <t>nunatsiaq.com:
https://web.archive.org/web/20180823162419/https://nunatsiaq.com/stories/article/8789_Makivik_trustees_want_access_to_3_million_of_principal/ [23 August 2018]
www.theglobeandmail.com: http://web.archive.org/web/20111228171325/http://www.theglobeandmail.com:80/news/politics/ottawa-apologizes-for-1950s-inuit-relocations/article1677179/ [28 December 2011]
www.cbc.ca:
https://web.archive.org/web/20251001093349/https://www.cbc.ca/lite/story/1.897468 [01 October 2025]
www.thecanadianencyclopedia.ca: http://web.archive.org/web/20250527201655/https://www.thecanadianencyclopedia.ca/en/article/inuit-high-arctic-relocations [27 May 2025]</t>
  </si>
  <si>
    <t>5 April 2010:
The High Arctic Relocatees Trust, or “HART fund,” stood at $10 million in 1996 when the federal government turned it over to a six-person Makivik-appointed board of trustees. In 1996 and 1997, the trustees took $2 million of it to distribute in equal amounts to the original High Arctic exiles, leaving $8 million invested to produce earnings for future cash distributions. A financial statement acquired by Nunatsiaq News shows the fund was valued at only $7.26 million as of Dec. 31, 2009, and that the trust owed $129,735, mostly in unpaid administration costs, and made no payments to beneficiaries in 2009. In a motion filed Feb. 17 at the Quebec superior court office in Old Montreal, Makivik and and the HART trustees say they want to take up to $3 million out of the principal so they can resume cash distributions to beneficiaries and pay administration expenses. Lawyer Marie-Andrée Godin filed the motion. [...] If the motion is successful, the fund’s principal could potentially sink as low as $5 million, from its 1996 high of $10 million. (Nunatsiaq News)
18 August 2010: John Duncan, the newly appointed Indian Affairs Minister, arrived here on the northeastern shore of Hudson Bay Wednesday to say the Canadian government was sorry for uprooting families from their traditional homes and shipping them to remote reaches of the Arctic during the 1950s. Mr. Amagoalik, who has been calling for an apology for decades, said it would have been better if Prime Minister Stephen Harper had delivered the apology directly to the Inuit in either of the two communities. Nonetheless, he welcomed the apology. He said there is no need for further compensation: in 1996, Ottawa set up a special $10-million fund for the families of the relocated Inuit. (The Globe and Mail)
18 August 2010: Indian and Northern Affairs Minister John Duncan issued a formal apology Wednesday for the government's controversial High Arctic relocation program, in which 87 Inuit were relocated about 1,200 kilometres to Canada's most northerly settlements. [...] In 1996, the federal government agreed to pay $10 million into a trust fund to compensate the families of the relocated people. (CNC News)
The Canadian Encyclopedia:
In 1996, the federal government established a “Reconciliation Agreement,” with a $10 million fund for relocated Inuit, who could only access the money if they acknowledged that the government had acted honourably. Over time, due to a collapse in the stock market, the value of the trust fund diminished, and payments stopped in 2009. In 2017, the Makivik Corporation — the legal representative of Inuit in Quebec since 1978 — published a notice proposing a final distribution of the remaining trust funds.</t>
  </si>
  <si>
    <t xml:space="preserve">NOTE ON CONVERSION: The payment data were converted using the start year of the payment period as the reference year.
In 1996 and 1997, $2 million was distributed. More payments were made afterwards.
In 2017 there was a public notice by HART trustees indicating a plan for a “final distribution” - transferring remaining capital into a new trust (the High Arctic Relocatee Partition Trust, HARPT) - but that would still require formal approval by the governing court. 
Based on Google:
Distribution Issues
- Initial Distribution: In the late 90s, $2 million was distributed to the original relocatees, leaving $8 million invested.
- Dwindling Value: By 2009, the fund's value had fallen to around $8 million, struggling to generate enough income for expenses and payments due to market conditions and administrative costs.
- Makivik's Role: The Makivik Corporation administered the fund but, by 2009, had absolved responsibilities, with the remaining principal's status becoming uncertain.
- Legal Action: Court cases were initiated to create a new trust (HARPT) for final distribution, with some beneficiaries seeking access to the remaining principal and earnings. 
Current Status
- As of recent reports, the process for final distribution to the remaining elders and descendants continues through the courts, with Makivik managing the complex situation. The goal is to provide some form of compensation, though the initial settlement has proven difficult to fully distribute. </t>
  </si>
  <si>
    <t>Duncan, Indian, Indians, Indian Affairs, Inuit, Fiord Grise, Inukjuak, Pond Inlet, Resolute Bay, Arctic, High Arctic, Far North, inuit, relocation, arctic, relocatees, relocated, settlements, inukjuak, quebec, canadian, shelter</t>
  </si>
  <si>
    <t>Compensation for the 1980s Contaminated Blood Crisis in Canada (1998) (The 1986-1990 Hepatitis C Settlement)</t>
  </si>
  <si>
    <t>Federal and Provincial Governments of Canada</t>
  </si>
  <si>
    <t>Victims of the 1980s Contaminated Blood Scandal: those who had contracted HCV, but only between 1986 and 1990, as well as those who contracted HIV secondarily from those covered under the earlier package</t>
  </si>
  <si>
    <t>Hepatitis C Class Action Settlement 1986 – 1990 - Year 24 (2023) Report</t>
  </si>
  <si>
    <t>https://www.infectedbloodinquiry.org.uk/sites/default/files/p2%20701-1000%20docs_2/p2%20701-1000%20docs/DHSC0006616_008%20-%20Contaminated%20blood%20international%20compensation%20schemes.pdf,
https://www.hepc8690.ca/content/annualReport/2024/Year%2024%20Annual%20Report%20(2023)%20FINAL.pdf</t>
  </si>
  <si>
    <t>www.infectedbloodinquiry.org.uk: https://web.archive.org/web/20240522090034/https://www.infectedbloodinquiry.org.uk/sites/default/files/p2%20701-1000%20docs_2/p2%20701-1000%20docs/DHSC0006616_008%20-%20Contaminated%20blood%20international%20compensation%20schemes.pdf [22 May 2024]
www.hepc8690.ca:
https://web.archive.org/web/20251219190459/https://www.hepc8690.ca/content/annualReport/2024/Year%2024%20Annual%20Report%20(2023)%20FINAL.pdf [19 December 2025]</t>
  </si>
  <si>
    <t xml:space="preserve">Infected Blood Inquiry:
In 1998, the federal and provincial governments announced a $1.2-billion (approx £770m at July 10 exchange rates) compensation package for those who had contracted HCV, but only between 1986 and 1990, as well as those who contracted HIV secondarily from those covered under the earlier package. Justification for the HCV infection "window" was that prior to 1986 there was no accepted means of screening blood for HCV, and after 1990 the Canadian Red Cross Society had implemented a screening test. Between 1986 and 1990, the Red Cross had not implemented "surrogate testing" for HCV, despite the United States having done so. Such testing would have identified upwards of 90% of contaminated donations. This compensation approach did not embrace Justice Krever's recommendation of a "no-fault" approach to compensation. As such, calls for extending compensation to all individuals infected with HCV through the blood system, regardless of when, were renewed.
Hepatitis C Class Action Settlement 1986 – 1990 - Year 25 (2024) Report:
Since the Settlement’s inception in 1999, the Administrator has paid about $1.325 billion to
claimants in response to about 15,273 approved claims.
</t>
  </si>
  <si>
    <t>NOTE ON CONVERSION: The total compensation disbursed ($1.325 billion) is reported as an accumulated figure as of 2023. We assume this figure represents the total value of all payments over the entire period. For comparison purposes, we treat it as a 2023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pledged amount was: $1.2-billion.</t>
  </si>
  <si>
    <t>Red Cross, Canadian Red Cross, Canada, blood, HIV, hepatitis C, haemophilia, transfusions, hcv, hiv, hepatitis, infection, blood, contaminated, infected, bleeding, injections</t>
  </si>
  <si>
    <t>The Aboriginal Healing Foundation</t>
  </si>
  <si>
    <t>Communities affected by residential schools in Canada (through the Aboriginal Healing Foundation)</t>
  </si>
  <si>
    <t>Colonization of the Americas and Australia by Europeans from the 16th century onwards was disastrous for the indigenous people already living there. A common practice in the new colonial states was the removal of Aboriginal children from their homes and placement in an education system run by religious authorities designed to rid them of their traditional culture and values. In 1857, the Canadian Parliament passed the Gradual Civilization Act, which made provisions for what were known as residential schools, with the purpose of assimilating Aboriginal children into mainstream white Canadian society, or [taking] the Indian out of the Queen's Red Children [sic], as the Act described. Children were forcibly taken from their families and placed in residential schools, the last of which closed in 1996, with the ultimate goal of distancing them from their Aboriginal families and integrating them into Canadian society. This was accomplished, among other methods, by preventing them access to their families for many years and by prohibiting the use of Aboriginal languages or the practice of non-Christian religions.
(source: Political Apologies and Reparations Archive)
The Aboriginal Healing Foundation was established in 1998 as an Indigenous managed, non-profit corporation dedicated to responding to the legacy of residential schools in Canada and the associated community health impacts. Funding for the Aboriginal Healing Foundation ceased in 2014.
(source: https://en.wikipedia.org/wiki/Aboriginal_Healing_Foundation)</t>
  </si>
  <si>
    <t>1-Jan-1857</t>
  </si>
  <si>
    <t xml:space="preserve">January 7, 1998: the “Gathering Strength: Canada’s Aboriginal Action Plan” was announed.
March 31, 1998: the "Aboriginal Healing Foundation" was created.
Payments to the Fund were made by the government from 1998 to 2007.
The Foundation ceased its operations in 2014.
</t>
  </si>
  <si>
    <t>Aboriginal Healing Foundation</t>
  </si>
  <si>
    <t>The Canadian Encyclopedia</t>
  </si>
  <si>
    <t>https://en.wikipedia.org/wiki/Aboriginal_Healing_Foundation,
https://www.thecanadianencyclopedia.ca/en/article/aboriginal-healing-foundation,
https://www.rcaanc-cirnac.gc.ca/eng/1100100015725/1571590271585,
https://web.archive.org/web/20141017214011/http://www.ahf.ca/downloads/september-29-2014-press-release.pdf</t>
  </si>
  <si>
    <t>en.wikipedia.org: http://web.archive.org/web/20250904213521/https://en.wikipedia.org/wiki/Aboriginal_Healing_Foundation [04 September 2025]
www.thecanadianencyclopedia.ca: http://web.archive.org/web/20250301193911/https://www.thecanadianencyclopedia.ca/en/article/aboriginal-healing-foundation [01 March 2025]
www.rcaanc-cirnac.gc.ca: http://web.archive.org/web/20250815005705/https://www.rcaanc-cirnac.gc.ca/eng/1100100015725/1571590271585 [15 August 2025]
www.ahf.ca:
https://web.archive.org/web/20141017214011/http://www.ahf.ca/downloads/september-29-2014-press-release.pdf [17 October 2014]</t>
  </si>
  <si>
    <t>Political Apologies and Reparations Archive:
In response to testimony before the Royal Commission on Aboriginal Peoples that revealed abuses, the Canadian government announced 'Gathering Strength - Canada's Aboriginal Action Plan' in 1998. The plan included acknowledgement and apology for the government's role in operating the Residential School system, and various proposals for reconciliation and reparation including the establishment of a $350 million (CAD) fund for 'healing' victims of sexual and physical abuse.
Wikipedia:
The Aboriginal Healing Foundation was established in 1998 as an Indigenous managed, non-profit corporation dedicated to responding to the legacy of residential schools in Canada and the associated community health impacts. Funding for the Aboriginal Healing Foundation ceased in 2014. [...] Throughout its operation the Foundation received $515 million from the Government of Canada. The Foundation also generated $537,146,681 in interest on this funding which was further used to fund community projects.
The Canadian Encyclopedia:
The Aboriginal Healing Foundation was an Indigenous-led non-profit organization that operated from 1998 to 2014. It was created after the federal government committed $350 million in 1998 to create a “Healing Strategy” to address the legacy of residential schools. The Foundation’s purpose was to foster and support community-based healing initiatives by conducting research and providing funding to various related projects.
The Aboriginal Healing Foundation received another federal grant of $40 million in 2005, and $125 million in 2007, as part of the Indian Residential Schools Settlement Agreement. The Foundation invested interest generated on the federal grants to support community programs. It ceased operations in 2014, when its mandate expired. During its mandate, the Aboriginal Healing Foundation funded several community-designed and delivered healing initiatives.
Gathering Strength — Canada’s Aboriginal Action Plan:
"Today, the federal government commits $350 million for community-based healing as a first step to deal with the legacy of physical and sexual abuse at residential schools. It will be First Nations, Inuit and Métis people themselves, along with health and social professionals, who will help us in shaping support that is culturally sensitive and reflects the experiences of different communities."
The Aboriginal Healing Foundation:
The Aboriginal Healing Foundation was created on March 31, 1998 and provided $350 million by the federal government of Canada to encourage and support community-developed, community-delivered and culturally-based initiatives addressing the intergenerational effects of abuses suffered in the Indian Residential School System.
The Aboriginal Healing Foundation received a further $40 million in the 2005 federal budget. In 2007, the Indian Residential Schools Settlement Agreement provided $125 million, extending the AHF’s original mandate by five years, to 2014. On March 30, 2010, AHF contribution agreements ended for 134 community projects. After this date, the AHF maintained a core, nation-wide network of Healing Centres, completed its internationally-recognized research agenda, published extensively on reconciliation issues, fulfilled its reporting requirements, and carried out the winding-down of its operations. The AHF provided $537,146,681 to communities, operating entirely out of interest generated by the $515 million received from government.</t>
  </si>
  <si>
    <t>NOTE ON CONVERSION: The total compensation disbursed ($537,146,681) is reported as an accumulated figure as of 2014. We assume this figure represents the total value of all payments over the entire period. For comparison purposes, we treat it as a 2014 value and convert it to our year of interest (2024).
The Original Amount Pledged by the government was: $350 million.
The amount paid by the government is: $515 million.
The amount disbursed by the AHF is: $537,146,681.
Note: The Canadian government paid CAD$515,000,000, but the communities received CAD$537,146,681.00.</t>
  </si>
  <si>
    <t>Canada, Canadian, Indian, Aboriginal, Native, Protestant, Church, Christianity, Residential, School, Education, Gordon School, indigenous, colonization, foundation, métis, inuit, families, children, culturally</t>
  </si>
  <si>
    <t>Reparations to Surviving Duplessis Orphans (1999)</t>
  </si>
  <si>
    <t>Government of Quebec (Canada)</t>
  </si>
  <si>
    <t>Duplessis Orphans</t>
  </si>
  <si>
    <t>The Duplessis orphans were a cohort of children placed, from 1935 to 1964, in nurseries, orphanages and psychiatric hospitals, where many of them were mistreated or abused. A significant number of these children were falsely diagnosed as being mentally defective, to enable the institutions housing them to receive subsidies allocated to psychiatric facilities. This practice primarily occurred under Premier Maurice Duplessis, whose name has therefore been used to designate these children. Following a number of years of legal battles and political pressure, most of the Duplessis orphans have obtained a measure of compensation from the Quebec state.
(source: https://thecanadianencyclopedia.ca/en/article/duplessis-orphans)</t>
  </si>
  <si>
    <t>Political Apologies and Reparations Archive (2004.0091.02 - Updated)</t>
  </si>
  <si>
    <t>Site Officiel du Premier Ministre du Quebec</t>
  </si>
  <si>
    <t>http://www.premier-ministre.gouv.qc.ca/salle-de-presse/discours/1999/mars/999-03-04.shtm (NOT WORKING),
https://www.thecanadianencyclopedia.ca/en/article/duplessis-orphans,
https://historyofrights.ca/encyclopaedia/main-events/duplessis-orphans/</t>
  </si>
  <si>
    <t>Political Apologies and Reparations Archive:
The official declaration by the Premier of Quebec apologising to the Duplessis Orphans for the actions of the Quebec government in the mid-twentieth century and the difficulties the orphans have experienced since that time. Part of the declaration includes a compensation package as further apology to the victims. The Quebec provincial government offered the surviving Duplessis Orphans: birth certificates; access to government services previously denied them because of their labels as mentally ill; $300,000 (CAD) committee to insure the well-being of the survivors today; a $3 million (CAD) compensation fund, headed by survivors; and a special interdepartmental committee headed by the deputy minister of public relations created to coordinate the compensation package. 
Canada's Human Rights History:
In 1999, the government finally apologized and offered $3 million in compensation, which was rejected. Jacoby described the offer as unfair and humiliating. The Catholic Church refused to apologize or provide compensation. Following extensive publicity and public pressure, the Quebec government extended another apology in 2001 as well as individual compensation of $10,000 plus $1,000 for each year spent in an asylum (1,500 people qualified for compensation). The Duplessis Orphans’ Committee accepted the offer, and the government provided an additional $26 million compensation in 2006.
The Canadian Encyclopedia:
In March 1999, the Government of Quebec, under Lucien Bouchard, made a public apology to the Duplessis orphans. A $300,000 grant was paid to the Duplessis Orphans Committee. A $3-million fund to assist approximately 3,000 victims was also created, but no compensation was awarded on an individual basis. Further, the Quebec bishops refused to apologize and dismissed the idea of paying financial compensation.</t>
  </si>
  <si>
    <t>The following source URL is no longer accessible: http://www.premier-ministre.gouv.qc.ca/salle-de-presse/discours/1999/mars/999-03-04.shtm. A snapshot of the original content is available through the Political Apologies and Reparations Archive (2004.0091.02). See attached snapshots.</t>
  </si>
  <si>
    <t>Quebec, Montreal, Duplessis Orphans, Duplessis, Bouchard, mental institutions, mental illness, orphan, child abuse, orphanages, orphans, reparations, duplessis, quebec, victims, provincial, children, damages, abused</t>
  </si>
  <si>
    <t>Reparations to Surviving Duplessis Orphans (2001) - National Reconciliation Program for Duplessis Orphans</t>
  </si>
  <si>
    <t>Political Apologies and Reparations Archive (2004.0091.02 - As background information)</t>
  </si>
  <si>
    <t>https://www.thecanadianencyclopedia.ca/en/article/duplessis-orphans,
https://historyofrights.ca/encyclopaedia/main-events/duplessis-orphans/</t>
  </si>
  <si>
    <t>www.thecanadianencyclopedia.ca:
https://web.archive.org/web/20241202163809/https://www.thecanadianencyclopedia.ca/en/article/duplessis-orphans [02 December 2024]
historyofrights.ca: http://web.archive.org/web/20250807070602/https://historyofrights.ca/encyclopaedia/main-events/duplessis-orphans/ [07 August 2025]</t>
  </si>
  <si>
    <t>Canada's Human Rights History:
In 1999, the government finally apologized and offered $3 million in compensation, which was rejected. Jacoby described the offer as unfair and humiliating. The Catholic Church refused to apologize or provide compensation. Following extensive publicity and public pressure, the Quebec government extended another apology in 2001 as well as individual compensation of $10,000 plus $1,000 for each year spent in an asylum (1,500 people qualified for compensation). The Duplessis Orphans’ Committee accepted the offer, and the government provided an additional $26 million compensation in 2006.
The Canadian Encyclopedia:
In the spring of 2000, the Comité d’appui pour la justice aux orphelins de Duplessis obtained the support of public figures, including former PQ Health Minister Denis Lazure and some members of the medical profession, to reopen the debate regarding compensation for the formerly institutionalized children. On 30 June 2001, the Duplessis Orphans Committee accepted the government’s offer of compensation. Under the National Reconciliation Program for Duplessis Orphans, this offer provided for $10,000 per person, in addition to a further $1,000 per year of confinement, up to a maximum of $25,000. Any individuals who accepted such compensation were required to waive any further actions regarding the damages covered under this program.
Subsequent to 2001, more than 1,000 Duplessis orphans have thus shared compensation totalling approximately $26 million.</t>
  </si>
  <si>
    <t>orphans, orphanages, reparations, duplessis, victims, quebec, damages, compensation, abused, children</t>
  </si>
  <si>
    <t>Compensation to Canadian Veterans Affected by Poison Gas Experiments (Chemical Warfare Agent Testing Recognition Program)</t>
  </si>
  <si>
    <t>Veterans injured in poison gas experiments in Canada</t>
  </si>
  <si>
    <t>From 1941 until the mid-1970s, though primarily during World War II, the Canadian military conducted chemical warfare agent experiments on military volunteers.
(source: Political Apologies and Reparations Archive)</t>
  </si>
  <si>
    <t>Veterans Affairs Canada</t>
  </si>
  <si>
    <t>CBC News</t>
  </si>
  <si>
    <t>https://www.cbc.ca/news/canada/veterans-compensated-for-poison-gas-experiments-1.485604,
https://www.cbc.ca/news/canada/canadian-war-vets-exposed-to-mustard-gas-receive-compensation-1.515527</t>
  </si>
  <si>
    <t>www.cbc.ca:
https://web.archive.org/web/20251002142622/https://www.cbc.ca/news/canada/veterans-compensated-for-poison-gas-experiments-1.485604 [02 October 2025]
www.cbc.ca: http://web.archive.org/web/20250121123847/https://www.cbc.ca/news/canada/canadian-war-vets-exposed-to-mustard-gas-receive-compensation-1.515527 [21 January 2025]</t>
  </si>
  <si>
    <t>20 February 2004: Ottawa has announced a $50-million compensation program for veterans injured in poison gas experiments in Canada that began in 1941 and continued until 1970. Veterans Affairs Minister John McCallum and Defence Minister David Pratt said the program provides single payments of $24,000 to each soldier involved in the experiments, conducted in Ottawa and Suffield, Alta. Some 3,500 soldiers were subjected to the tests. Of these, 2,000 are still alive. (CBC News)
11 May 2004: Around 3,500 servicemen, or their principal beneficiaries, will get $24,000 in one-time, tax-free payments. (CBC News)</t>
  </si>
  <si>
    <t>Canada, Ottawa, veterans, war, military, mustard gas, poison gas, chemical war, World War II, WW2, compensation, veterans, servicemen, soldiers, poison, volunteers, compensation, experiments, soldier, canadian</t>
  </si>
  <si>
    <t>Compensation to Community Groups for Discriminatory Policies in Canada</t>
  </si>
  <si>
    <t>Ethnic groups who suffered under racist policy in Canada</t>
  </si>
  <si>
    <t>The Canadian government perpetuated discriminatory policies against various ethnic groups throughout the 19th and 20th centuries.
(source: Political Apologies and Reparations Archive)</t>
  </si>
  <si>
    <t>1-Jan-1867</t>
  </si>
  <si>
    <t>Compensation are paid over three years.</t>
  </si>
  <si>
    <t xml:space="preserve">Canadian Press </t>
  </si>
  <si>
    <t>Political Apologies and Reparations Archive (2005.0014.01):
The federal government announced that various Canadian ethnic groups who suffered in the past will receive $25 million over three years. The money will go to community groups, not to individuals, of ethnic groups that suffered under racist policy of the federal government. Such groups include the Chinese, Italians, Ukrainians, Jews, Germans and Sikhs.
Political Apologies and Reparations Archive (2005.0014.02):
In the 2005 Canadian budget, the Canadian government appropriated $25 million dollars for those ethnic groups who have suffered from federally-sanctioned discrimintory policies. Victims of World War II-era Japanese-Canadian internment camps, who were compensated in 1988, were excluded from this compensatory allotment.
From the PDF Document Source (Canadian Press - 23 February 2005):
OTTAWA (CP) - Ethnic groups who have suffered racism throughout Canadian history will get $25 million from the federal government for awareness programs about how they were wronged. That cash - announced in the federal budget - will be spent over three years by community groups who want Canadians to remember some of the more shameful episodes in the country's history. The money will only go to groups, not to individuals, and will be limited to ethnic groups who were targets of racist policy by the federal government. Examples include the head tax on Chinese immigrants, the internment of Italians and Ukrainians during the world wars, and other policies against Jews, Germans and Sikhs. Japanese-Canadians interned during the Second World War were already compensated in the 1980s and will not have access to the new fund.</t>
  </si>
  <si>
    <t>More here: http://web.archive.org/web/20190427014026/https://fin.gc.ca/budget05/pdf/bp2005e.pdf [27 April 2019]</t>
  </si>
  <si>
    <t>Canada, Racism, Chinese, Italian, Ukrainian, Jew, German, Sikh, reparations, discriminatory, canadians, ethnic, internment, canadian, compensation, immigrants, compensated, victims</t>
  </si>
  <si>
    <t>Canada's Action Plan Against Racism</t>
  </si>
  <si>
    <t>Compensation are paid over five years.</t>
  </si>
  <si>
    <t>Political Apologies and Reparations Archive (2005.0014.01)</t>
  </si>
  <si>
    <t>https://www.canada.ca/en/canadian-heritage/corporate/transparency/open-government/standing-committee/chagger-whole-senate-addressing-ending-systemic-racism/lessons-learned-canada-action-plan.html</t>
  </si>
  <si>
    <t>www.canada.ca:
http://web.archive.org/web/20241020031301/https://www.canada.ca/en/canadian-heritage/corporate/transparency/open-government/standing-committee/chagger-whole-senate-addressing-ending-systemic-racism/lessons-learned-canada-action-plan.html [20 October 2024]</t>
  </si>
  <si>
    <t>From the PDF Document Source (Canadian Press - 23 February 2005):
The government also announced it will spend $56 million over five years on another anti-
racism plan called A Canada for All. That plan will be officially launched in a few weeks and will act as an umbrella program for existing multicultural initiatives.
Government of Canada:
In 2005, the federal government launched Canada’s Action Plan against Racism (CAPAR), which constituted the nation’s first horizontal federal approach to combating racism with a five-year $56 million budget for programming. Its goal was to help ensure that all Canadians were included and had a role in society and the economy regardless of background, race or ethnicity; that all barriers to full and active participation and opportunity were eliminated; and that the justice system was equipped to respond to overt manifestations of racism in society. CAPAR included more than 40 initiatives and strategies that were part of existing budgets and programs in more than 20 departments and agencies. In addition, $53.6 million in funding was allocated to nine new initiatives within four departments (Department of Canadian Heritage, Citizenship and Immigration Canada, Human Resources and Skills Development Canada, and the Department of Justice).</t>
  </si>
  <si>
    <t>The Labrador Inuit Land Claims Agreement (LILCA)</t>
  </si>
  <si>
    <t>Federal and Provincial Governments in Canada</t>
  </si>
  <si>
    <t>Labrador Inuit Association and individual members of the Inuit communities</t>
  </si>
  <si>
    <t>Between 1956 and 1959, the Newfoundland government, pursuing its policy of centralisation of Aboriginal Canadians, forcibly closed the Inuit communities of Nutak and Hebron; inhabitants were split up and relocated to communities throughout the province.
(source: Political Apologies and Reparations Archive)</t>
  </si>
  <si>
    <t>Political Apologies and Reparations Archive (2005.0027.01)</t>
  </si>
  <si>
    <t>http://www.cbc.ca/news/canada/story/2005/01/22/labrador-land050122.html,
https://www.cbc.ca/news/canada/inuit-get-63-000-apiece-for-forced-exile-1.551452</t>
  </si>
  <si>
    <t>www.cbc.ca:
https://web.archive.org/web/20251002143857/https://www.cbc.ca/news/canada/labrador-s-inuit-cheer-land-agreement-1.556062 [02 October 2025]
www.cbc.ca:
https://web.archive.org/web/20230528054356/https://www.cbc.ca/news/canada/inuit-get-63-000-apiece-for-forced-exile-1.551452 [28 May 2023]</t>
  </si>
  <si>
    <t>22 January 2005: The Labrador Inuit Association signed an agreement with the federal and provincial governments.  The agreement included an apology for a past, forced relocation program, and an arrangement for the Inuit to become the owners of 15,800 square kilometers of land in northern Labrador.  This ceremony marks another step forward toward autonomous government in Nunatsiavut. The package involves $130 million in compensation, provincial royalties from resource development, and another $120 million to establish self-government. The agreement includes benefits for the more than 2,000 Inuit living in Labrador, but outside the settlement area. (CBC News)
23 December 2005: Labrador Inuit who were forced to leave their homes in the 1950s are finally receiving compensation. A cheque for $63,000 is being sent to each person who was required to move and is still alive. [...] The cheques are being distributed by the newly created self-government of Nunatsiavut, born in a land-claim settlement that brought $130 million in federal and provincial compensation money. (CBC News)</t>
  </si>
  <si>
    <t>Williams, Inuit, Labrador, Newfoundland, Hebron, Nutak, Aboriginal, Aborigine, Canada, First Nations, Nunatsiavut, settlement, canadians, relocation, aboriginal, compensation, labrador, province</t>
  </si>
  <si>
    <t>Compensation for the 1980s Contaminated Blood Crisis in Canada (Two Funds Established by the Canadian Red Cross) (2005)</t>
  </si>
  <si>
    <t>Canadian Red Cross</t>
  </si>
  <si>
    <t>Non-governmental organization</t>
  </si>
  <si>
    <t>Victims of the 1980s Contaminated Blood Scandal</t>
  </si>
  <si>
    <t>University of Ottawa</t>
  </si>
  <si>
    <t>3 Good Health and Well-being;
4 Quality Education</t>
  </si>
  <si>
    <t>Political Apologies and Reparations Archive (2011.0024.01)</t>
  </si>
  <si>
    <t>http://www.redcross.ca/article.asp?id=13578&amp;tid=001 (NOT WORKING),
https://www.thecanadianencyclopedia.ca/en/article/krever-inquiry</t>
  </si>
  <si>
    <t>Political Apologies and Reparations Archive:
An official apology for not having proper testing mechanisms to reduce the risk of infection and an admission of guilt in the Ontario Superior Court for distributing harmful products to those who relied upon the Red Cross for help. The Canadian Red Cross has also provided $70 million in compensation to those affected by the tainted blood. Additionally, the Canadian Red Cross established two $750,000 funds; one for scholarships for students whose lives or families were affected by the blood tragedy, and another to establish a National Medical Error Project dedicated to reducing casualties caused by inadequate or improper medical practices.
30 May 2005:
"We used proceeds from the transfer to provide $70 million in compensation to those affected by tainted blood;" [...] "Red Cross will never forget the blood tragedy. And we don’t want Canadians to forget it either. We must learn from it -- and do what we can to assure such a crisis never happens again. For those reasons, and because we believe that justice is best served when it works in productive ways, Red Cross also announced the following two initiatives today: The first is a contribution of $750,000 to establish a national endowment scholarship fund intended to provide ongoing financial assistance to students across Canada whose lives or families were affected by the tainted blood. The second is a $750,000 contribution to establish a National Medical Error Project dedicated to reducing casualties caused by inadequate or improper practices in the health care system. The University of Ottawa will house the National Medical Error Project and intends to supplement its funding. They will also administer the educational fund, which will allow students obtaining scholarships to attend any post-secondary institution in Canada." (Canadian Red Cross)
30 November 2021 (Last Edited):
In 2005, the Canadian Red Cross pleaded guilty to distributing blood contaminated with HIV and hepatitis C. The organization was fined $5,000. The Canadian Red Cross also issued a formal apology and agreed to give $1.5 million to the University of Ottawa. This money will be used towards a scholarship for affected family members and for a research endowment fund. (The Canadian Encyclopedia)</t>
  </si>
  <si>
    <t>The following source URL is no longer accessible: http://www.redcross.ca/article.asp?id=13578&amp;tid=001. A snapshot of the original content is available through the Political Apologies and Reparations Archive (2011.0024.01 ). See attached snapshots.</t>
  </si>
  <si>
    <t>Red Cross, Canadian Red Cross, Canada, blood, HIV, hepatitis C, haemophilia, transfusions, reparations, hiv, contaminated, hepatitis, blood, canadians, victims, injections, compensation</t>
  </si>
  <si>
    <t>Compensation for the 1980s Contaminated Blood Crisis in Canada (Individual Compensation from Canadian Red Cross) (2005)</t>
  </si>
  <si>
    <t>http://www.redcross.ca/article.asp?id=13578&amp;tid=001 (NOT WORKING)</t>
  </si>
  <si>
    <t>Political Apologies and Reparations Archive:
An official apology for not having proper testing mechanisms to reduce the risk of infection and an admission of guilt in the Ontario Superior Court for distributing harmful products to those who relied upon the Red Cross for help. The Canadian Red Cross has also provided $70 million in compensation to those affected by the tainted blood.
Additionally, the Canadian Red Cross established two $750,000 funds; one for scholarships for students whose lives or families were affected by the blood tragedy, and another to establish a National Medical Error Project dedicated to reducing casualties caused by inadequate or improper medical practices.
30 May 2005:
"We used proceeds from the transfer to provide $70 million in compensation to those affected by tainted blood;"  (Canadian Red Cross)</t>
  </si>
  <si>
    <t>Red Cross, Canadian Red Cross, Canada, blood, HIV, hepatitis C, haemophilia, transfusions, reparations, hiv, contaminated, hepatitis, blood, victims, injections, compensation, bleeding</t>
  </si>
  <si>
    <t>Canada Pays for Commemorative Projects for Ukrainian-Canadians</t>
  </si>
  <si>
    <t>Ukrainian-Canadians</t>
  </si>
  <si>
    <t>During World War I, the Canadian government, using the War Measures Act, forcibly relocated more than 5,000 Ukrainian-Canadian men into internment and work camps, including one in Banff, Alberta, that was used to build Banff National Park. This period of imprisonment lasted, in some cases, up to two years past the end of the war in 1918.</t>
  </si>
  <si>
    <t>Political Apologies and Reparations Archive (2004.0024.04)</t>
  </si>
  <si>
    <t>http://www.cbc.ca/canada/story/2006/06/23/ukrainian-canadians.html</t>
  </si>
  <si>
    <t>www.cbc.ca: http://web.archive.org/web/20080112044805/http://www.cbc.ca/canada/story/2006/06/23/ukrainian-canadians.html [12 January 2008]</t>
  </si>
  <si>
    <t>Political Apologies and Reparations Archive:
On August 24, 2005, Ottawa pledged $2.5 million for commemorative projects, including plaques at the site of each of the 24 internment camps.  However, no apology has been issued in the House of Commons.
23 June 2006: Ukrainian Canadians say they need increased funding from the federal government to acknowledge and chronicle their mistreatment in Canada during the First World War. An estimated 6,000 Ukrainians were imprisoned in Canada during the war. In addition, tens of thousands more were obliged to register as enemy aliens. The government did offer money last year for memorials and education programs about the internment, but no apology has been issued in the House of Commons. "Never formally in the House has a prime minister stood up and acknowledged this took place," Paul Grod, national vice president of the Ukrainian Canadian Congress, told CBC News. Grod said his group does not want an apology or individual compensation packages. However, it would like a boost to the $2.5 million already pledged by Ottawa. (CBC News)</t>
  </si>
  <si>
    <t>Canada, Ukrainian, 331, World War I, Ukraine, internment, Petawawa, Canadian Forces Base, C-331, Canadian, camp, Ukrainian-Canadian, Ukrainian Canadian Congress, reparations, internment, canadians, ukrainians, ukrainian, canadian, commemorative, alberta, memorials, imprisonment</t>
  </si>
  <si>
    <t>Aboriginal Reparations Package</t>
  </si>
  <si>
    <t>Aboriginal Canadians</t>
  </si>
  <si>
    <t>Colonization of the Americas and Australia by Europeans from the 16th century onwards was disastrous for the indigenous people already living there. A common practice in the new colonial states was the removal of Aboriginal children from their homes and placement in an education system run by religious authorities designed to rid them of their traditional culture and values. In 1857, the Canadian Parliament passed the Gradual Civilization Act, which made provisions for what were known as residential schools, with the purpose of assimilating Aboriginal children into mainstream white Canadian society, or [taking] the Indian out of the Queen's Red Children [sic], as the Act described. Children were forcibly taken from their families and placed in residential schools, the last of which closed in 1996, with the ultimate goal of distancing them from their Aboriginal families and integrating them into Canadian society. This was accomplished, among other methods, by preventing them access to their families for many years and by prohibiting the use of Aboriginal languages or the practice of non-Christian religions.Aboriginal-Canadians were subject to many other violations of their human rights, including displacement and mass murder.
(source: Political Apologies and Reparations Archive)</t>
  </si>
  <si>
    <t>1-Jan-1500</t>
  </si>
  <si>
    <t>Political Apologies and Reparations Archive (2006.0015.01)</t>
  </si>
  <si>
    <t>https://www.thecanadianencyclopedia.ca/en/article/kelowna-accord,
https://www.cbc.ca/news/canada/paul-martin-says-ottawa-has-no-understanding-of-native-issues-1.1405653,
https://www.cbc.ca/news/politics/aboriginal-education-funding-gap-morally-wrong-and-disgraceful-paul-martin-says-1.3146228</t>
  </si>
  <si>
    <t>www.thecanadianencyclopedia.ca: http://web.archive.org/web/20240916193338/https://www.thecanadianencyclopedia.ca:443/en/article/kelowna-accord [16 September 2024]
/www.cbc.ca:
https://web.archive.org/web/20250212170245/https://www.cbc.ca/news/canada/paul-martin-says-ottawa-has-no-understanding-of-native-issues-1.1405653 [12 february 2025]
www.cbc.ca: http://web.archive.org/web/20240708172623/https://www.cbc.ca/news/politics/aboriginal-education-funding-gap-morally-wrong-and-disgraceful-paul-martin-says-1.3146228 [08 July 2024]</t>
  </si>
  <si>
    <t>Political Apologies and Reparations Archive:
In the plan, Prime Minister Paul Martin provides a detailed breakdown of the $5b (CAD) Aboriginal-Canadians reparation package. [NOTE: Original source was not retrieved]
The Canadian Encyclopedia:
The Kelowna Accord, announced in November 2005, was the result of an 18-month consultative process that involved the federal government, provincial and territorial governments, and five national Indigenous organizations. In order to “close the gap” between the Indigenous and non-Indigenous standard of living in Canada, the Accord was a 10-year plan, including a $5 billion commitment over five years, aimed at significantly improving health, education, housing and infrastructure, economic opportunities, accountability, and relationships between Indigenous communities and the federal government.
[...] The Kelowna Accord faced a number of significant challenges, not least of which was the dissolution of Parliament on 29 November 2005, just four days after the First Ministers’ Meeting in Kelowna. As a result, Paul Martin’s Liberal government — which had both initiated and endorsed the Kelowna Accord — was replaced by a Conservative government under Stephen Harper. As the previous Parliament had not approved any funding, it was left to the new Conservative government to implement the accord. While the Conservatives agreed with the overall goals of the accord, their 2006 budget allocated less funding than what had been outlined in the Kelowna agreement. The Kelowna Accord would have dedicated $600 million in 2006 alone to improve health, education, and housing, but the Conservative budget allocated $150 million in 2006 and $300 million in 2007 to similar projects. In response, Paul Martin introduced Bill C-292, An Act to Implement the Kelowna Accord, which was supported by the opposition parties. The Kelowna Accord Implementation Act became law in 2008, and required the Minister of Indian (now Indigenous Affairs and Northern Development to submit annual progress reports for a five-year period (see the government’s final report linked below). While these reports supported the Conservative government’s claim that some progress had been made, many critics — including Martin, the Assembly of First Nations, and Idle No More — argued that too little was being done to address the problems identified in the Kelowna Accord, and that the government had failed to consult Indigenous organizations in the development of policies, programs and services.
17 January 2013: As Canada's 21st prime minister, Martin oversaw the signing of the 2005 Kelowna Accord, which envisioned the investment of $5 billion over 10 years for education and social welfare programs for aboriginal Canadians. The project fell apart when Stephen Harper took over that year as prime minister, and cut the funding. (CBC News)
10 July 2015: Martin negotiated what became known as the Kelowna Accord, which included measures to reduce inequalities between natives and non-natives — notably in the field of education. But the $5-billion agreement was never put in place by the Conservative government, which took power in 2006. "And years later, there is still a massive gap in education," Martin said. The Conservatives introduced a $1.9-billion education plan for First Nations, one that divided the community because some considered that the federal government was keeping too much control. Following his speech, Martin criticized the plan as too paternalistic. He said it provided less money than what was called for in the Kelowna Accord a decade ago.</t>
  </si>
  <si>
    <t>Canada, Canadian, Indian, Aboriginal, Indigenous, Catholic,Church, Christianity, Residential, School, Education, Forced removal, Mary Immaculate, aboriginal, reparations, reparation, indigenous, colonization, canadians, children, provincial, canadian, welfare</t>
  </si>
  <si>
    <t>The Indian Residential Schools Settlement Agreement (Common Experience Payment)</t>
  </si>
  <si>
    <t>Government of Canada and churches involved (e.g. United Church, Anglican Church of Canada)</t>
  </si>
  <si>
    <t xml:space="preserve">In 1857, the Canadian Parliament passed the Gradual Civilization Act, which made provisions for what were known as residential schools, with the purpose of assimilating Aboriginal children into mainstream white Canadian society, or [taking] the Indian out of the Queen's Red Children [sic], as the Act described. Children were forcibly taken from their families and placed in residential schools, the last of which closed in 1996, with the ultimate goal of distancing them from their Aboriginal families and integrating them into Canadian society. This was accomplished, among other methods, by preventing them access to their families for many years and by prohibiting the use of Aboriginal languages or the practice of non-Christian religions.
(source: Political Apologies and Reparations Archive)
The largest class action settlement in Canadian history to date, the Indian Residential Schools Settlement Agreement (IRSSA) recognized the damage inflicted on Indigenous peoples by residential schools in Canada and established a multi-billion-dollar fund to help former students in their recovery. The IRSSA, which came into effect in September 2007, has five main components: the Common Experience Payment, Independent Assessment Process, the Truth and Reconciliation Commission, Commemoration, and Health and Healing Services.
(source: https://www.thecanadianencyclopedia.ca/en/article/indian-residential-schools-settlement-agreement)
</t>
  </si>
  <si>
    <t>Political Apologies and Reparations Archive (2005.0316.01)</t>
  </si>
  <si>
    <t>https://www.rcaanc-cirnac.gc.ca/eng/1528485196778/1559828965570,
https://www.rcaanc-cirnac.gc.ca/eng/1100100015576/1571581687074#sect4,
https://www.rcaanc-cirnac.gc.ca/eng/1315320539682/1571590489978,
https://www.cbc.ca/news/canada/pm-cites-sad-chapter-in-apology-for-residential-schools-1.699389,
https://broadview.org/united-church-residential-schools-financial-help/,
https://guides.library.utoronto.ca/c.php?g=527189&amp;p=3619492,
https://www.thecanadianencyclopedia.ca/en/article/indian-residential-schools-settlement-agreement</t>
  </si>
  <si>
    <t>www.rcaanc-cirnac.gc.ca: http://web.archive.org/web/20250815004136/https://www.rcaanc-cirnac.gc.ca/eng/1528485196778/1559828965570 [15 August 2025]
www.rcaanc-cirnac.gc.ca: http://web.archive.org/web/20250911213931/https://www.rcaanc-cirnac.gc.ca/eng/1100100015576/1571581687074 [11 September 2025]
www.rcaanc-cirnac.gc.ca: http://web.archive.org/web/20250815010017/https://www.rcaanc-cirnac.gc.ca/eng/1315320539682/1571590489978 [15 August 2025]
www.cbc.ca: http://web.archive.org/web/20250715200002/https://www.cbc.ca/news/canada/pm-cites-sad-chapter-in-apology-for-residential-schools-1.699389 [15 July 2025]
broadview.org: http://web.archive.org/web/20250521205838/https://broadview.org/united-church-residential-schools-financial-help/ [21 May 2025]
guides.library.utoronto.ca: http://web.archive.org/web/20250814010513/https://guides.library.utoronto.ca/c.php?g=527189&amp;p=3619492 [14 August 2025]
www.thecanadianencyclopedia.ca:
https://web.archive.org/web/20241224163930/https://www.thecanadianencyclopedia.ca/en/article/indian-residential-schools-settlement-agreement [24 December 2024]</t>
  </si>
  <si>
    <t>Political Apologies and Reparations Archive (2005.0084.01):
The Supreme Court of Canada has decided that the costs of claims related to church-run residential schools should be split between the federal government and the church involved, 75 percent and 25 percent respectively. Claims involve schools run by the Roman Catholic, Anglican and Presbyterian churches.
Political Apologies and Reparations Archive (2005.0060.19):
Text of the agreement between the Canadian government and various branches of the Anglican Church of Canada. Outlines the establishment of a $25 million (CAD) fund for compensation for victims of physical and sexual abuse suffered undered the Residential school system.
Political Apologies and Reparations Archive (2005.0316.01):
The Canadian government has announced a compensation package of $2 billion for Aborigines who were abused in the residential school program. Approximately 80,000 survivors will be eligible to receive a $10,000 lump sum payment, plus $3,000 for every year they spent in a residential institution.
Political Apologies and Reparations Archive (2008.0016.01): Canadian Prime Minister Stephen Harper apologized to the former residents of “Indian residential schools,” calling the treatment of students in these schools a “sad chapter in our history.”  He acknowledged that the policy of assimilation which had prompted the founding of the schools was wrong, and had caused great harm to aboriginal language, culture and heritage. The apology was part of a larger compensation package which also included financial compensation and the establishment of a Truth and Reconciliation Commission.
Indian Residential Schools Settlement Agreement:
Nearly 80,000 former federal residential school students have received a Common Experience Payment, totaling $1.6 billion in compensation. An additional $3 billion in compensation has been paid to resolve claims of sexual abuse, serious physical abuse, and other wrongful acts that have caused serious psychological harm to former students.
In March 2018, the Government of Canada announced it would pursue negotiated settlements with survivors whose claims of student-on-student abuse were previously dismissed or under-compensated. As well, $125 million was provided to the Aboriginal Healing Foundation for community-based healing initiatives and over $20 million for 144 commemoration projects in every province or territory where an Indian residential school existed. The Common Experience Payment is one of two components of the Indian Residential Schools Settlement Agreement that provide financial compensation, along with the Independent Assessment Process.
11 June 2008: In September, the government formalized a $1.9-billion compensation plan for victims. The government has also established a truth and reconciliation commission to examine the legacy of the residential schools. The commission was scheduled to begin its work this month. (CBC News)
21 July 2021: Bott said that there is not a budget officially set aside yet, but financial compensation is part of the United Church’s ongoing efforts to make amends with Indigenous communities. The United Church paid $6.45 million under the Indian Residential Schools Settlement Agreement, which helped fund healing supports for survivors. It has since donated millions to various Indigenous ministries, communities, and organizations. (Broadview)
According to the Government of Canada, from September 19, 2007 to March 31, 2016, the total CEP payments, including advance payments, was: $1,622,422,106
(https://www.rcaanc-cirnac.gc.ca/eng/1315320539682/1571590489978)</t>
  </si>
  <si>
    <t>NOTE ON CONVERSION: The total compensation disbursed ($1,622,422,106) is reported as an accumulated figure as of 2016. We assume this figure represents the total value of all payments over the entire period. For comparison purposes, we treat it as a 2016 value and convert it to our year of interest (2024).</t>
  </si>
  <si>
    <t>Canada, Canadian, Indian,Aboriginal, Native, Church, Christianity, Residential, School, Education, United Church, residential schools, apology, aboriginal, indigenous, reparations, settlement, settlements, aborigines, reconciliation, provisions, anglican, canadians</t>
  </si>
  <si>
    <t>The Indian Residential Schools Settlement Agreement (Independent Assessment Process)</t>
  </si>
  <si>
    <t>Political Apologies and Reparations Archive (2005.0316.01 - As background information)</t>
  </si>
  <si>
    <t>https://www.rcaanc-cirnac.gc.ca/eng/1100100015576/1571581687074#sect4,
https://www.rcaanc-cirnac.gc.ca/eng/1100100015576/1571581687074#sect4,
https://www.rcaanc-cirnac.gc.ca/eng/1315320539682/1571590489978,
https://guides.library.utoronto.ca/c.php?g=527189&amp;p=3619492,
https://www.thecanadianencyclopedia.ca/en/article/indian-residential-schools-settlement-agreement,
http://www.iap-pei.ca/media/information/publication/pdf/FinalReport/IAP-FR-2021-03-11-eng.pdf</t>
  </si>
  <si>
    <t>www.rcaanc-cirnac.gc.ca: http://web.archive.org/web/20250911213931/https://www.rcaanc-cirnac.gc.ca/eng/1100100015576/1571581687074 [11 September 2025]
www.rcaanc-cirnac.gc.ca: http://web.archive.org/web/20250911213931/https://www.rcaanc-cirnac.gc.ca/eng/1100100015576/1571581687074 [11 September 2025]
www.rcaanc-cirnac.gc.ca: http://web.archive.org/web/20250815010017/https://www.rcaanc-cirnac.gc.ca/eng/1315320539682/1571590489978 [15 August 2025]
guides.library.utoronto.ca: http://web.archive.org/web/20250814010513/https://guides.library.utoronto.ca/c.php?g=527189&amp;p=3619492 [14 August 2025]
www.thecanadianencyclopedia.ca:
https://web.archive.org/web/20241224163930/https://www.thecanadianencyclopedia.ca/en/article/indian-residential-schools-settlement-agreement [24 December 2024]
www.iap-pei.ca: http://web.archive.org/web/20250603144212/http://www.iap-pei.ca/media/information/publication/pdf/FinalReport/IAP-FR-2021-03-11-eng.pdf [03 June 2025]</t>
  </si>
  <si>
    <t>According to the Government of Canada, from September 19, 2007 to March 31, 2019, the Total IAP payments approved was: $3.180 billion
(https://www.rcaanc-cirnac.gc.ca/eng/1315320539682/1571590489978)
Indian Residential Schools Settlement Agreement:
Nearly 80,000 former federal residential school students have received a Common Experience Payment, totaling $1.6 billion in compensation. An additional $3 billion in compensation has been paid to resolve claims of sexual abuse, serious physical abuse, and other wrongful acts that have caused serious psychological harm to former students.
In March 2018, the Government of Canada announced it would pursue negotiated settlements with survivors whose claims of student-on-student abuse were previously dismissed or under-compensated. As well, $125 million was provided to the Aboriginal Healing Foundation for community-based healing initiatives and over $20 million for 144 commemoration projects in every province or territory where an Indian residential school existed. The Independent Assessment Process (IAP) is a claimant-centered, non-adversarial, out-of-court process for the resolution of claims of sexual abuse, serious physical abuse, and other wrongful acts suffered at Indian Residential Schools. The IAP is one of two components of the Indian Residential Schools Settlement Agreement (IRSSA) that provide financial compensation along with the Common Experience Payment (CEP).
The deadline to apply for the Independent Assessment Process has passed. Applications were accepted until September 19, 2012. The Indian Residential Schools Settlement Agreement states that no applications will be accepted after this date.
The IAP is the only way a former student may pursue a claim of sexual or serious physical abuse, or other wrongful acts, unless they opted out of the Settlement Agreement. Compensation through the IAP will be paid at 100% by the Government of Canada in all cases, following a hearing of the claim by an independent Adjudicator.</t>
  </si>
  <si>
    <t>NOTE ON CONVERSION: The total compensation disbursed ($3.180 billion) is reported as an accumulated figure as of 2019. We assume this figure represents the total value of all payments over the entire period. For comparison purposes, we treat it as a 2019 value and convert it to our year of interest (2024).</t>
  </si>
  <si>
    <t>Canada, Canadian, Indian,Aboriginal, Native, Church, Christianity, Residential, School, Education, United Church, Canada, residential schools, apology, aboriginal, indigenous, settlement, settlements, indian, reconciliation, canadians, assessment, negotiated, children</t>
  </si>
  <si>
    <t>Canada Pays Compensation for Discriminatory Head Tax to Chinese Community</t>
  </si>
  <si>
    <t>Living Chinese Head Tax payers and living spouses of deceased payers</t>
  </si>
  <si>
    <t>Beginning in the mid-nineteenth century, the Canadian government allowed Chinese workers to immigrate to Canada in order to work on the Canadian Pacific Railway project; these workers were expected to work longer hours for lower wages than their non-Chinese counterparts. Some Canadian workers began to believe that the Chinese immigrant workers thus had an unfair advantage, and began to lobby the Canadian government to restrict Chinese immigration. In response, beginning in 1885 and lasting until 1923, the Canadian government imposed a head tax on Chinese immigrants that ranged between $50 to $500 (CAD); in 1923, the government passed the Chinese Exclusion Act, which fully prevented Chinese immigration to Canada. The act was repealed in 1947, but Chinese immigrants continued to face discriminatory immigration policies until the 1960s. According to a United Nations report, between 1885 and 1923, the Canadian government amassed approximately $23 million (CAD), which amounts to an estimated $1.2 billion (CAD) in modern figures.</t>
  </si>
  <si>
    <t>1-Jan-1885</t>
  </si>
  <si>
    <t>https://www.cbc.ca/news/canada/chinese-families-seek-head-tax-compensation-1.352783,
https://www.cbc.ca/news/canada/chinese-descendants-to-receive-compensation-for-head-tax-1.551028,
https://www.canada.ca/en/news/archive/2006/06/prime-minister-harper-offers-full-apology-chinese-head-tax.html#,
https://en.wikipedia.org/wiki/Chinese_head_tax,
https://www.thecanadianencyclopedia.ca/en/article/chinese-head-tax-in-canada,
https://www.cbc.ca/news/canada/british-columbia/chinese-head-tax-reparations-called-for-by-surviving-families-1.3432309</t>
  </si>
  <si>
    <t>www.cbc.ca: http://web.archive.org/web/20241209133504/https://www.cbc.ca/news/canada/chinese-families-seek-head-tax-compensation-1.352783 [09 December 2024]
www.cbc.ca:
https://web.archive.org/web/20231201194015/https://www.cbc.ca/news/canada/chinese-descendants-to-receive-compensation-for-head-tax-1.551028 [01 December 2023]
www.canada.ca: http://web.archive.org/web/20250531231626/https://www.canada.ca/en/news/archive/2006/06/prime-minister-harper-offers-full-apology-chinese-head-tax.html [31 May 2025]
en.wikipedia.org: http://web.archive.org/web/20250724132805/https://en.wikipedia.org/wiki/Chinese_head_tax [24 July 2025]
www.thecanadianencyclopedia.ca: http://web.archive.org/web/20241201235717/https://www.thecanadianencyclopedia.ca/en/article/chinese-head-tax-in-canada [01 December 2024]
www.cbc.ca:
https://web.archive.org/web/20250716040000/https://www.cbc.ca/news/canada/british-columbia/chinese-head-tax-reparations-called-for-by-surviving-families-1.3432309 [16 July 2025]</t>
  </si>
  <si>
    <t>10 June 2002: Chinese immigrants who were forced to pay a tax to enter Canada took their case back to court Monday. They're appealing an Ontario Superior Court ruling last year that said contemporary ethics could not apply to historical laws. The approximately 400 survivors and 4,000 of their descendents are asking for $1.2 billion in compensation and a formal apology. (CBC News)
17 November 2005: Ottawa is set to pay millions of dollars in compensation to descendants of Chinese workers who were charged a head tax to enter the country. The government has agreed to acknowledge the tax was discriminatory and will pay $12.5 million into a new foundation. The agreement comes following negotiations with the the National Congress of Chinese Canadians, a group appointed to negotiate redress. (CBC News)
22 June 2006: Prime Minister Stephen Harper today offered a full apology to Chinese Canadians for the Head Tax and expressed his deepest sorrow for the subsequent exclusion of Chinese immigrants from 1923 until 1947. "For over six decades, these malicious measures, aimed solely at the Chinese, were implemented with deliberation by the Canadian state," said the Prime Minister. "This was a grave injustice, and one we are morally obligated to acknowledge." The Prime Minister stated that the Government of Canada will make symbolic ex-gratia payments to those who were required to pay the Head Tax and to the spouses of Head Tax payers who have since passed away. It will also establish a fund for community projects aimed at acknowledging the impact of past wartime measures and immigration restrictions on ethno-cultural communities. The Government also announced its intention to offer symbolic individual payments of $20,000 to living Chinese Head Tax payers and living spouses of deceased payers. The Government will also be establishing a $24-million community historical recognition program to provide grant and contribution funding for community projects linked to wartime measures and immigration restrictions and a $10-million national historical recognition program to fund federal initiatives, developed in partnership with other stakeholders. The specifics of each initiative (symbolic payments, community programs and national recognition programs) are being finalized, and implementation is anticipated to begin in Fall of 2006. (Government of Canada)
3 February 2016:
About 400 head tax survivors and widows of survivors received $20,000 from the federal government in 2006, leaving out thousands of families who did not have a surviving member in 2006. (CBC News)
31 March 2017: Chinese Canadians did call for acknowledgment of the human rights violations they experienced due to the head tax and Chinese Exclusion Act. In 1983, Dak Leon Mark and Shack Yee requested that the Canadian government refund the $500 head tax they had each paid. In the years that followed, some 4,000 Chinese Canadians came forward seeking redress. Some Chinese Canadians also pursued justice through the court of law. Redress finally came in June 2006, when Prime Minister Stephen Harper apologized in the House of Commons. That same year, $20,000 in redress was offered by the Government of Canada to all surviving individuals who had paid the head tax. The government also allocated $24 million for a community historical recognition program and $10 million for a national historical recognition Program meant to educate Canadians on the impacts of the head tax and the racism experienced by many different groups in Canada. (Canadian Museum for Human Rights)
Wikipedia:
On June 22, 2006, twenty-two years after the Chinese Canadian redress campaign began, Prime Minister Stephen Harper delivered an official apology to Chinese Canadians in the House of Commons for the first session of the 39th Parliament. During his address Harper spoke a few words in Cantonese, "Ga na daai doe heep" (Chinese: 加拿大道歉, 'Canada Apologizes'), breaking the parliamentary tradition of speaking either English and French in the House of Commons. To the disappointment of many in the Chinese Canadian community, it was announced that only original head tax payers, or their surviving spouses, then in their nineties, or a total 785 claimants, would receive CAD$20,000 in individual redress, representing less than a fraction of one-percent of the 81,000 original head tax payers. Only an estimated 20 Chinese Canadians who paid the tax were still alive in 2006.</t>
  </si>
  <si>
    <t>The total amount paid was calculated by summing the estimated 400 survivors who received individual compensation of 20,000 CAD each, plus collective reparations of 34,000,000 CAD and 10,000,000 CAD.
NOTE ON CONVERSION: The payment data were converted using the start year of the payment period as the reference year.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</si>
  <si>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Canada, China, Chinese Canadians, Chinese, Head Tax, Exclusion Act, Stephen Harper, immigrants, chinese, immigrant, immigration, canadians, ontario, canadian, immigrate, tax, wages</t>
  </si>
  <si>
    <t>Compensation for the 1980s Contaminated Blood Crisis in Canada / Hepatitis C Compensation Agreement (2006)</t>
  </si>
  <si>
    <t>Victims of the 1980s Contaminated Blood Scandal: Canadians who contracted hepatitis C from the blood system before 1986 and after 1990</t>
  </si>
  <si>
    <t>Political Apologies and Reparations Archive (2011.0024.01 - Updated)</t>
  </si>
  <si>
    <t>https://www.infectedbloodinquiry.org.uk/sites/default/files/p2%20701-1000%20docs_2/p2%20701-1000%20docs/DHSC0006616_008%20-%20Contaminated%20blood%20international%20compensation%20schemes.pdf,
https://www.canada.ca/en/news/archive/2006/07/prime-minister-harper-announces-agreement-compensate-pre-1986-post-1990-hepatitis-c-victims.html,
https://search.open.canada.ca/qpnotes/record/hc-sc%2CMH-2023-QP-0053
https://en.wikipedia.org/wiki/Royal_Commission_of_Inquiry_on_the_Blood_System_in_Canada</t>
  </si>
  <si>
    <t>www.infectedbloodinquiry.org.uk: http://web.archive.org/web/20240713140426/https://www.infectedbloodinquiry.org.uk/sites/default/files/p2%20701-1000%20docs_2/p2%20701-1000%20docs/DHSC0006616_008%20-%20Contaminated%20blood%20international%20compensation%20schemes.pdf [13 July 2024]
www.canada.ca: http://web.archive.org/web/20250220125450/https://www.canada.ca/en/news/archive/2006/07/prime-minister-harper-announces-agreement-compensate-pre-1986-post-1990-hepatitis-c-victims.html [20 February 2025]
search.open.canada.ca:
https://web.archive.org/web/20251209092751/https://search.open.canada.ca/qpnotes/record/hc-sc%2CMH-2023-QP-0053 [09 December 2025]
en.wikipedia.org: http://web.archive.org/web/20250613144113/https://en.wikipedia.org/wiki/Royal_Commission_of_Inquiry_on_the_Blood_System_in_Canada [13 June 2025]</t>
  </si>
  <si>
    <t>Infected Blood Inquiry:
In 2006, the federal government reached an agreement on a settlement for Canadians who contracted hepatitis C from the blood system before 1986 and after 1990, and the agreement was approved by the courts in 2007. The settlement package, worth $1 billion (approx £640m at July 10 exchange rates), is based on parity with the package for those infected within the 1986-1990 window.
25 July 2006:
Under the terms of the agreement announced today, Canada’s new government will set aside nearly $1 billion in a special settlement fund, the sole purpose of which will be to provide compensation to those who were infected prior to January 1, 1986 and after July 1, 1990.
[...] Negotiations have resulted in an agreement on the fundamental elements of a settlement for the pre-1986/post-1990 class. The federal government will place nearly $1 billion into a trust fund to provide compensation to class members under the settlement.
Compensation will be provided to eligible members of the pre-1986/post-1990 class based on the principle of parity with the federal government’s compensation to the 1986-1990 class. Benefits will be paid on a present-value basis, meaning that class members will receive the entire sum of their compensation up front, based on such factors as current disease level and probability of disease progression. This will also serve to minimize administrative costs.
(Government of Canada)
19 June 2023:
On December 9, 2022, the Courts ordered the termination of the Pre-1986/Post-1990 Hepatitis C Settlement Agreement. The Trustee confirmed that it has received all forfeited funds remaining from the final distribution and that all invoices from the service providers have been paid. The remaining funds (approximately $25K) were transferred to Canada within 60 days of the end date. (Government of Canada)
Wikipedia:
On 25 July 2006, the Canadian government announced a nearly $1-billion compensation package for 5,500 people—the "forgotten victims" who contracted hepatitis C before January 1, 1986 and after July 1, 1990.</t>
  </si>
  <si>
    <t>Red Cross, Canadian Red Cross, Canada, blood, HIV, hepatitis C, haemophilia, transfusions, hepatitis, hiv, canadians, canadian, settlement, blood, contaminated, canada, bleeding</t>
  </si>
  <si>
    <t>Reparations to Surviving Duplessis Orphans (2006) - Extension of the National Reconciliation Program for Duplessis Orphans</t>
  </si>
  <si>
    <t>https://www.thecanadianencyclopedia.ca/en/article/duplessis-orphans,
https://historyofrights.ca/encyclopaedia/main-events/duplessis-orphans/,
https://www.cbc.ca/news/canada/montreal/duplessis-orphans-get-26m-from-quebec-1.620714</t>
  </si>
  <si>
    <t>www.thecanadianencyclopedia.ca:
https://web.archive.org/web/20241202163809/https://www.thecanadianencyclopedia.ca/en/article/duplessis-orphans [02 December 2024]
historyofrights.ca: http://web.archive.org/web/20250807070602/https://historyofrights.ca/encyclopaedia/main-events/duplessis-orphans/ [07 August 2025]
www.cbc.ca: http://web.archive.org/web/20230608131305/https://www.cbc.ca/news/canada/montreal/duplessis-orphans-get-26m-from-quebec-1.620714 [08 June 2023]</t>
  </si>
  <si>
    <t>The Canadian Encyclopedia:
Subsequent to 2001, more than 1,000 Duplessis orphans have thus shared compensation totalling approximately $26 million. In 2007, a new Quebec government program provided that an additional 1,270 orphans committed to non-psychiatric institutions would receive $15,000 each. In total, the Quebec government received more than 6,500 requests for financial assistance from Duplessis orphans. Although it did not offer a formal apology, the Collège des médecins did express its regrets in a letter sent to the orphans in 2012. In March 2018, some of the orphans filed a class action suit for $875,000 each against 8 religious communities. However, the suit was rejected by the Superior Court of Quebec. Two other class action suits were filed in April 2018 and July 2020.
Canada's Human Rights History:
In 1999, the government finally apologized and offered $3 million in compensation, which was rejected. Jacoby described the offer as unfair and humiliating. The Catholic Church refused to apologize or provide compensation. Following extensive publicity and public pressure, the Quebec government extended another apology in 2001 as well as individual compensation of $10,000 plus $1,000 for each year spent in an asylum (1,500 people qualified for compensation). The Duplessis Orphans’ Committee accepted the offer, and the government provided an additional $26 million compensation in 2006.
21 December 2006:
The Quebec government announced Thursday it will pay another $26 million in compensation to the Duplessis Orphans, who were physically and mentally abused in Roman Catholic institutions more than 60 years ago. (CBC News)</t>
  </si>
  <si>
    <t>Canada Pays Compensation Package to Maher Arar</t>
  </si>
  <si>
    <t>Maher Arar</t>
  </si>
  <si>
    <t>In September of 2002 Maher Arar, a Canadian citizen of Syrian birth, was traveling through the United States en route to Canada from Tunisia. He was arrested by U.S. authorities on the basis that he had ties with al Qaeda, and was deported to Syria. He was held in prison in Syria for a year, and brutally tortured into making false confessions. The information on which the U.S. authorities acted was supplied, in part, by the Royal Canadian Mounted Police. Following an inquiry conducted by Associate Chief Justice of Ontario Dennis O'Connor, Mr. Arar was exonerated of any wrongdoing. Justice O'Connor concluded that much of the information provided by the R.C.M.P. was misleading and based on sources that were not credible.
(source: Political Apologies and Reparations Archive)</t>
  </si>
  <si>
    <t>https://amnesty.ca/legal-brief/case-maher-arar/,
https://amnesty.ca/features/blog-maher-arar-a-timeline-of-amnesty-internationals-campaigning/,
https://www.thecanadianencyclopedia.ca/en/article/maher-arar-case,
https://archive.ph/20070128130429/http://cnews.canoe.ca/CNEWS/War_Terror/2007/01/26/3453332-cp.html,
https://www.reuters.com/article/world/canada-to-apologize-to-arar-pay-compensation-cbc-idUSN26428392/</t>
  </si>
  <si>
    <t>Political Apologies and Reparations Archive:
Prime Minister Stephen Harper apologised to Mr. Arar for any role that Canadian Government officials played in his imprisonment. He also announced a compensation package for Mr. Arar in the amount of C$10.5 milion.
26 January 2007: Maher Arar could buy a lot of precious things with his $10.5-million compensation package - but not what he wants most. In addition to the $10.5 million, the government is covering Arar's $1-million legal bill. (CNews)
9 August 2007: Canada will formally apologize on Friday to software engineer Maher Arar, who was deported to Syria by U.S. agents after Canadian police mistakenly labeled him an Islamic extremist, and offer him C$10 million ($8.5 million) compensation, according to media reports. Arar, who says he was repeatedly tortured during the year he spent in Damascus jails, had initially sued Ottawa for C$400 million, a figure he later cut to C$37 million. CBC Television said the settlement would be for C$10 million, while CTV said Ottawa would also pay Arar's C$2 million legal bills. (Reuters)
16 December 2016: Maher Arar is a Syrian-born Canadian. In 2002 he was sent by the United States to Syria as an accused terrorist, based on faulty information supplied to US agents by the Royal Canadian Mounted Police (RCMP). Arar was tortured in Syria before being released and returned to Canada. The federal government paid him $10.5 million in compensation for the wrongs done to him. Prime Minister Stephen Harper formally apologized to Arar for Canada's role in what the prime minister described as his “terrible ordeal.” In January 2007, the federal government awarded Arar $10.5 million in compensation, and another $1 million to cover his legal costs. 
(The Canadian Encyclopedia)
6 March 2017: On 26 January 2007, Prime Minister Harper issued a formal public apology on behalf of the Canadian government. Mr. Arar received 11.5 million dollars in compensation for Canadian officials’ direct and indirect role in his rendition to and torture in Syria. (Amnesty International)</t>
  </si>
  <si>
    <t>United States, Canada, Syria, Maher Arar, Arar, deportation, 9-11, September 11, Secretary of State, Apology, RCMP, Zaccardelli, Commissioner, Stephen Harper, Harper, arar, reparations, compensation, canadian, accused, settlement, syrian, imprisonment, minister</t>
  </si>
  <si>
    <t>Canada Pays Commemorative Projects of the Komagata Maru Incident</t>
  </si>
  <si>
    <t>Indo-Canadian Community</t>
  </si>
  <si>
    <t>India</t>
  </si>
  <si>
    <t>IND</t>
  </si>
  <si>
    <t>South Asia</t>
  </si>
  <si>
    <t>On May 23, 1914 the Komagata Maru arrived in Vancouver carrying 376 immigrants from India. Immigration officials in Vancouver refused to allow the passengers to disembark. In doing so they relied on Canadian legislation of the time which required immigrants to have arrived in Canada from their country of origin. Since the Komagata Maru had stopped between India and Canada, the Indian migrants on board were not eligible to land in Canada. While discussions continued, the Komagata Maru remained in Vancouver harbour for two months, before returning to India. On the return voyage, the passengers on board the Komagata Maru rioted and 20 of them were killed.
(source: Political Apologies and Reparations Archive)</t>
  </si>
  <si>
    <t>http://www.cbc.ca/canada/british-columbia/story/2008/05/12/bc-komagata-maru-apology.html?ref=rss</t>
  </si>
  <si>
    <t>www.cbc.ca: http://web.archive.org/web/20080527083701/http://www.cbc.ca:80/canada/british-columbia/story/2008/05/12/bc-komagata-maru-apology.html?ref=rss [27 May 2008]</t>
  </si>
  <si>
    <t>Political Apologies and Reparations Archive:
The Honourable Jason Kenney, Secretary of State for Multiculturalism and Canadian Identity, announced that the Government of Canada would provide $2.5 million in grants to the Indo-Canadian community to allow for the appropriate commemoration of the Komagata Maru incident as part of the Government of Canada's Historical Recognition Program. He also announced that a formal apology would be forthcoming from the Government of Canada. As of July 22, 2008, no formal apology has been made by the Government of Canada.
12 March 2008:
In Surrey on Saturday, Secretary of State for Multiculturalism and Canadian Identity Jason Kenney said Ottawa would provide $2.5 million in grants to commemorate the two-month standoff with the Komagata Maru. An apology could be read in Parliament this week. (CBC News)</t>
  </si>
  <si>
    <t>Komagata Maru, India, apology, Jason Kenney, Multiculturalism, Canadian, Identity, commemoration, historical, recognition, program, immigration, Canada, komagata, reparations, vancouver, canadian, immigration, maru, ottawa, cbc, migrants, incident</t>
  </si>
  <si>
    <t>Compensation to Former Residents of the Huronia Regional Centre</t>
  </si>
  <si>
    <t>Government of Ontario (Canada)</t>
  </si>
  <si>
    <t>Former residents of the Huronia Regional Centre (Orillia)</t>
  </si>
  <si>
    <t>The Huronia Regional Centre, under operation by the Province of Ontario, failed to properly care for its disabled residents from 1949 to 2009. The Huronia Regional Centre was accused of denying residents daily meals, torturing them, sexually and physically abusing them and forcefully medicating them against their will.
(source: Political Apologies and Reparations Archive)</t>
  </si>
  <si>
    <t>Political Apologies and Reparations Archive (2013.0018.01)</t>
  </si>
  <si>
    <t>http://www.cbc.ca/news/canada/huronia-regional-centre-lawsuit-ends-in-35m-settlement-1.1857506,
https://briarpatchmagazine.com/articles/view/class-inaction</t>
  </si>
  <si>
    <t>www.cbc.ca:
https://web.archive.org/web/20250805024631/https://www.cbc.ca/news/canada/huronia-regional-centre-lawsuit-ends-in-35m-settlement-1.1857506 [05 August 2025]
web.archive.org:
https://web.archive.org/web/20250327065715/https://briarpatchmagazine.com/articles/view/class-inaction [27 March 2025]</t>
  </si>
  <si>
    <t>17 September 2013: The Ontario government has reached a $35-million settlement in a class-action lawsuit with former residents of the Huronia Regional Centre in Orillia, a former institution for people with disabilities that was accused of humiliation and abuse. Plaintiffs had alleged that abuse was doled out almost daily at the centre operated by the province for 133 years. They had been seeking $2 billion. CBC's Jeff Semple reported that a $35-million, tax-free settlement fund will be created for former residents. The maximum individual payout under the agreement would be $42,000. A lawyer for the province told Semple that it will also issue an apology. (CBC News)
1 November 2022:
Though Seth and Slark were seeking $1 billion in damages, in 2013 the lawsuit settled out of court for just $35 million. As is common in class-action lawsuits, about half of that – $18.8 million – was claimed by survivors; $8.5 million of the settlement went to Koskie Minsky’s legal fees, $3 million went to the Law Society’s class proceedings fund, and $4.7 million went to projects that benefit survivors. And while Seth, Slark, and the Dolmages were frustrated by the process, they did win some important things: easier access to settlement funds, the right to not return unclaimed funds to the government, and a memorial for survivors. 
Huronia survivors could access settlement funds through one of two streams. The first was a points system, where those who experienced the most severe physical or sexual abuse could claim up to $35,000 – but in order to do so, they were required to submit a sworn affidavit and medical records. The second stream was more accessible: a lump sum payment of $2,000, which survivors could receive by simply checking a box to confirm they attended the institution. 
In class actions, when class members don’t fill out forms or cash cheques to claim their settlement money, the unclaimed funds are typically returned to the defendant. In the case of the Huronia settlement, $23.4 million was allocated for survivors, but only $18.8 million of that was claimed, leaving $4.6 million that would have been returned to the Government of Ontario. But Seth and Slark won the right to not return leftover funds in their agreement. Instead, they negotiated for what’s called a cy-près, where they were able to put the unclaimed settlement funds toward research and memorials for survivors of Huronia. (Briarpatch Magazine)</t>
  </si>
  <si>
    <t>huronia, ontario, settlement, lawsuit, medicating, compensation, orillia, residents, province, plaintiffs</t>
  </si>
  <si>
    <t>Compensation to Former Residents of Nova Scotia Home for Colored Children (from the Nova Scotia Home for Colored Children)</t>
  </si>
  <si>
    <t>Nova Scotia Home for Colored Children</t>
  </si>
  <si>
    <t>Former residents of the Nova Scotia home for coloured children</t>
  </si>
  <si>
    <t xml:space="preserve">The Nova Scotia Home for Colored Children is an orphanage in Halifax, Nova Scotia that opened on June 6, 1921. It was built, because at the time, white home care institutions would not accept black children in need. In the 1960s segregation was coming to an end, and black people were being integrated into white institutions. In the present day, the building is used as a meeting place for community groups. The home came under fire when many former residents came forward with allegations of abuse they experienced during their time at the home, which ended in a class action lawsuit, an apology from the Premier of Nova Scotia and the establishment of an official Public Inquiry into the abuses at the Home.
(source: https://en.wikipedia.org/wiki/Nova_Scotia_Home_for_Colored_Children)
Approximately150 former residents of the Nova Scotia home for coloured children launched a class action lawsuit against the Province of Nova Scotia with allegations of sexual, physical and psychological abuse by staff members. The class action lawsuit was certified by the Nova Scotia Supreme Court in December of 2013.
(source: Political Apologies and Reparations Archive)
</t>
  </si>
  <si>
    <t>Political Apologies and Reparations Archive (2014.0020.01)</t>
  </si>
  <si>
    <t>CTV News</t>
  </si>
  <si>
    <t>https://www.ctvnews.ca/atlantic/article/orphanage-to-pay-5m-to-former-residents-in-alleged-abuse-case/</t>
  </si>
  <si>
    <t>www.ctvnews.ca:
https://web.archive.org/web/20251002145230/https://www.ctvnews.ca/atlantic/article/orphanage-to-pay-5m-to-former-residents-in-alleged-abuse-case/ [02 October 2025]</t>
  </si>
  <si>
    <t>Political Apologies and Reparations Archive:
The Liberal Government of Nova Scotia negotiated an out-of-court settlement with the plaintiffs. 130 of the 150 plaintiffs are eligible to receive compensation under the settlement. Along with financial compensation, victims will be given a process to publically share their stories in an inquiry type setting. Premier Stephen McNeil apologized for the abuse that former residents of the Nova Scotia Home for Colored Children suffered, acknowledging that their pleas for help went unanswered in what he described as one chapter in the province's history of systemic racism. The formal apology came after years of struggle for recognition by the former residents of the Halifax orphanage. Class-action lawsuits were launched by the former residents against the home and the provincial government, which evetually ended in settlements totalling 34 million CAD. The home came to a 5 million CAD settlement with the plaintiffs in July, 2013 and the Nova Scotia Supreme Court approved a 29 million CAD award from the province a year later.
25 Arpil 2013: Former residents of the Nova Scotia Home for Colored Children are celebrating a victory today, after being awarded a $5-million settlement with the orphanage. The settlement will be spread among the 140 former residents who say they suffered years of sexual, physical and emotional abuse while living at the home. (CTV News)</t>
  </si>
  <si>
    <t>Compensation to Former Residents of Nova Scotia Home for Colored Children (from the Provincial Government of Nova Scotia)</t>
  </si>
  <si>
    <t>Provincial Government of Nova Scotia (Canada)</t>
  </si>
  <si>
    <t>Government of Nova Scotia</t>
  </si>
  <si>
    <t>https://news.novascotia.ca/en/2014/06/03/tentative-settlement-reached-nova-scotia-home-colored-children-case,
https://en.wikipedia.org/wiki/Nova_Scotia_Home_for_Colored_Children</t>
  </si>
  <si>
    <t>news.novascotia.ca: http://web.archive.org/web/20250814233420/https://news.novascotia.ca/en/2014/06/03/tentative-settlement-reached-nova-scotia-home-colored-children-case [14 August 2025]
en.wikipedia.org: http://web.archive.org/web/20250916070019/https://en.wikipedia.org/wiki/Nova_Scotia_Home_for_Colored_Children [16 September 2025]</t>
  </si>
  <si>
    <t>Political Apologies and Reparations Archive:
The Liberal Government of Nova Scotia negotiated an out-of-court settlement with the plaintiffs. 130 of the 150 plaintiffs are eligible to receive compensation under the settlement. Along with financial compensation, victims will be given a process to publically share their stories in an inquiry type setting. Premier Stephen McNeil apologized for the abuse that former residents of the Nova Scotia Home for Colored Children suffered, acknowledging that their pleas for help went unanswered in what he described as one chapter in the province's history of systemic racism. The formal apology came after years of struggle for recognition by the former residents of the Halifax orphanage. Class-action lawsuits were launched by the former residents against the home and the provincial government, which evetually ended in settlements totalling 34 million CAD. The home came to a 5 million CAD settlement with the plaintiffs in July, 2013 and the Nova Scotia Supreme Court approved a 29 million CAD award from the province a year later.
3 June 2014: The government has reached a tentative settlement with former residents of the Nova Scotia Home for Colored Children. The agreement, with former residents who have filed a class action lawsuit against the province, will go before the Nova Scotia Supreme Court for preliminary approval on June 6. Court documents to be filed later today, June 3, detail a lump sum settlement of $29 million to be disbursed by legal counsel representing former residents. Final court approval is tentatively set for July 7 in Supreme Court. The settlement agreement and all legal steps are expected to be finalized by the end of September. (Government of Nova Scotia)
Wikipedia:
A class action lawsuit with the province of Nova Scotia was settled in July 2014, which awarded approximately 300 former residents $29 million on top of $5 million settled in the summer of 2013 with the Nova Scotia Home for Colored Children.</t>
  </si>
  <si>
    <t>scotia, halifax, provincial, nova, province, orphanage, settlement, victims, lawsuit, Nova Scotia Home for Coloured Children, Sexual Abuse, lawsuitswere</t>
  </si>
  <si>
    <t>Canada Pays Compensation to Chippewas of Kettle and Stony Point First Nation</t>
  </si>
  <si>
    <t>Chippewas of Kettle and Stony Point First Nation</t>
  </si>
  <si>
    <t>The Ipperwash Crisis took place in 1995 on land in and around Ontario’s Ipperwash Provincial Park, which was claimed by the Kettle and Stony Point First Nation. The underlying cause of the crisis was the appropriation of the Stoney Point Reserve in 1942 by the federal government for use as a military camp. After repeated requests for the land to be returned, members of the Stony Point First Nation occupied the camp in 1993 and in 1995. On 4 September 1995 protesters also occupied Ipperwash Provincial Park nearby. Tension between the protesters and the OPP increased, resulting in a confrontation on 6 September 1995 during which Dudley George, an Ojibwa protestor, was killed.
(source: https://www.thecanadianencyclopedia.ca/en/article/ipperwash-crisis)</t>
  </si>
  <si>
    <t>The offer was made in 2015 and the agreement was then finalised in 2016.</t>
  </si>
  <si>
    <t>Political Apologies and Reparations Archive (2007.0026.03 - Updated)</t>
  </si>
  <si>
    <t>https://www.thecanadianencyclopedia.ca/en/article/ipperwash-crisis,
https://kettlepoint.org/wp-content/uploads/2016/07/Chippewas-of-Kettle-Stony-Point-First-Nation-Final-2016-Consolidated-FS.pdf</t>
  </si>
  <si>
    <t>www.thecanadianencyclopedia.ca: http://web.archive.org/web/20241127043242/https://www.thecanadianencyclopedia.ca/en/article/ipperwash-crisis [27 November 2024]
kettlepoint.org:
https://web.archive.org/web/20251212163722/https://kettlepoint.org/wp-content/uploads/2016/07/Chippewas-of-Kettle-Stony-Point-First-Nation-Final-2016-Consolidated-FS.pdf [12 December 2025]</t>
  </si>
  <si>
    <t xml:space="preserve">14 February 2013: In September 2015, the Chippewas of Kettle and Stony Point First Nation accepted a $95 million settlement from the federal government that included return of the land as well as about $20 million in compensation to band members and $70 million for future development of the land. Although the deal was ratified by the First Nation, some Stony Point members opposed it as they did not believe that Kettle Point members should receive compensation. Several protestors demonstrated against the deal on 20 September 2015; Perry (Pierre) George, brother of Dudley George, was accidentally burned during the protest. The final agreement was celebrated on 14 April 2016, when it was signed by Chief Thomas Bressette, Minister of Indigenous and Northern Affairs Carolyn Bennett, and Minister of National Defence Harjit Sajjan. (The Canadian Encyclopedia)
31 March 2016:
As of March 23, 2016, the Ipperwash final settlement agreement was signed between the Chippewas of kettle and Stony Point and her Majesty the Queen in Right of Canada in the amount of $95,000,000. The settlement is inclusive of all costs incurred by the First Nation for the negotiation of the agreement, including all legal costs. Subsequent to year end the funds of $93,034,715 were received net of the promissory note payable to in the amount of $1,965,285. 
(kettlepoint.org)
</t>
  </si>
  <si>
    <t>Ipperwash, apology, Dudley George, Dalton McGuinty, Mike Harris, First ations, Kettle and Stony Creek, native, Ontario, Canada, settlement, chippewas, ipperwash, protest, stoney, ontario, canadian, protestors, provincial, protesters</t>
  </si>
  <si>
    <t xml:space="preserve">The “Sixties Scoop” Settlement Agreement </t>
  </si>
  <si>
    <t>Indigenous children who had been “adopted out” (i.e., given for adoption to non-Indigenous parents)</t>
  </si>
  <si>
    <t>The Sixties Scoop, also known as The Scoop, was a period in which a series of policies were enacted in Canada that enabled child welfare authorities to take, or "scoop up," Indigenous children from their families and communities for placement in foster homes, from which they would be adopted by white families. Despite its name referencing the 1960s, the Sixties Scoop began in the mid-to-late 1950s and persisted into the 1980s. It is estimated that a total of 20,000 Indigenous children were taken from their families and fostered or adopted out primarily to white middle-class families as part of the Sixties Scoop.
(source: https://en.wikipedia.org/wiki/Sixties_Scoop)
Between 1951 and 1991, First Nation and Inuit children were taken into care and placed with non-Indigenous parents where they were not raised in accordance with their cultural traditions nor taught their traditional languages. This dark chapter in Canada’s history is commonly referred to as the “Sixties Scoop.”
(source: https://sixtiesscoopsettlement.info/faq/)</t>
  </si>
  <si>
    <t xml:space="preserve">Ontario Superior Court </t>
  </si>
  <si>
    <t>https://www.cbc.ca/news/politics/ottawa-settle-60s-scoop-survivors-1.4342462,
https://www.bbc.com/news/world-us-canada-41488960,
https://thecanadianencyclopedia.ca/en/article/sixties-scoop</t>
  </si>
  <si>
    <t>www.cbc.ca: http://web.archive.org/web/20250919194745/https://www.cbc.ca/news/politics/ottawa-settle-60s-scoop-survivors-1.4342462 [19 September 2025]
www.bbc.com: http://web.archive.org/web/20240127225313/https://www.bbc.com/news/world-us-canada-41488960 [27 January 2024]
thecanadianencyclopedia.ca: http://web.archive.org/web/20250423163908/https://www.thecanadianencyclopedia.ca/en/article/sixties-scoop [23 April 2025]</t>
  </si>
  <si>
    <t>5 October 2017: The Canadian government has reached an agreement in principle with survivors of the Sixties Scoop worth some $800 million, Crown-Indigenous Affairs Minister Carolyn Bennett announced Friday morning, putting an end to years of fractious legal action. (CBC News)
6 October 2017: The federal government has announced a payout of C$800m ($635m; £488m) to some 20,000 victims. (BBC News)
The Canadian Encyclopedia: 
On 1 February 2017, the Canadian government announced that it was ready to negotiate a settlement to the $1.3 billion class-action lawsuit launched against it in 2009. On 14 February, Ontario Superior Court judge Edward Belobaba ruled in favour of Sixties Scoop victims, finding that the federal government did not take adequate steps to protect the cultural identity of on-reserve children taken away from their homes. This is the first victory for a Sixties Scoop lawsuit in Canada. On 6 October 2017, the federal government announced a settlement of $800 million with Sixties Scoop survivors.
21214 payments were approved according to: https://sixtiesscoopsettlement.info</t>
  </si>
  <si>
    <t>sixties_scoop, settlement, scoop, adoption, welfare, adopted, indigenous, children, 1960s, families</t>
  </si>
  <si>
    <t>Canada Pays Compensation to Victims of “Gay Purge"</t>
  </si>
  <si>
    <t>Victims of “Gay Purge” in Canada</t>
  </si>
  <si>
    <t>The LGBT Purge was the systematic identification and expulsion of queer members of the military, the Royal Canadian Mounted Police (RCMP) and the civil service by the government of Canada. From the 1950s to the 1990s, government security forces investigated tens of thousands of people. Queer workers were demoted and fired.
(source: https://humanrights.ca/resource-guide/lgbt-purge)</t>
  </si>
  <si>
    <t>https://www.nytimes.com/2017/11/28/world/canada/canada-apology-gay-purge-compensation.html,
https://www.thecanadianencyclopedia.ca/en/article/lgbtq-purge-in-canada,
https://www.canada.ca/en/department-national-defence/corporate/reports-publications/proactive-disclosure/nddn-supplementary-estimates-b-2023-2024/supplementary-estimates-b-funding.html,
https://www.canada.ca/en/department-national-defence/corporate/reports-publications/proactive-disclosure/supplementary-budget-b-2019-2020/supp-est-b-items/voted-appropriations/lgbt-purge.html</t>
  </si>
  <si>
    <t>www.nytimes.com:
https://web.archive.org/web/20241203051726/https://www.nytimes.com/2017/11/28/world/canada/canada-apology-gay-purge-compensation.html [03 December 2024]
www.thecanadianencyclopedia.ca: http://web.archive.org/web/20250624105913/https://www.thecanadianencyclopedia.ca/en/article/lgbtq-purge-in-canada [24 June 2025]
www.canada.ca:
https://web.archive.org/web/20250906142650/https://www.canada.ca/en/department-national-defence/corporate/reports-publications/proactive-disclosure/nddn-supplementary-estimates-b-2023-2024/supplementary-estimates-b-funding.html [06 September 2025]
www.canada.ca:
https://web.archive.org/web/20250805055318/https://www.canada.ca/en/department-national-defence/corporate/reports-publications/proactive-disclosure/supplementary-budget-b-2019-2020/supp-est-b-items/voted-appropriations/lgbt-purge.html [05 August 2025]</t>
  </si>
  <si>
    <t xml:space="preserve">28 November 2017:
The Canadian government will pay up to 110 million Canadian dollars, or $85 million, to compensate victims of the so-called “gay purge,” decades of government-authorized discrimination against gay Canadians. (The New York Times)
3 October 2018:
Between the 1950s and the 1990s, the Canadian government responded to national security concerns generated by Cold War tensions with the Soviet Union by spying on, exposing and removing suspected 2SLGBTQ+ individuals from the federal public service and the Canadian Armed Forces. They were cast as social and political subversives and seen as targets for blackmail by communist regimes seeking classified information. These characterizations were justified by arguments that people who engaged in same-sex relations suffered from a “character weakness” and had something to hide because their sexuality was considered a taboo and, under certain circumstances, was illegal. As a result, the RCMP investigated large numbers of people. Many of them were fired, demoted or forced to resign — even if they had no access to security information. These measures were kept out of public view to prevent scandal and to keep counter-espionage operations under wraps. In 2017, the federal government issued an official apology for its discriminatory actions and policies, along with a $145-million compensation package. (The Canadian Encyclopedia)
Government of Canada:
The parties signed an Agreement-in-Principle in November 2017, and the Final Settlement Agreement was approved by the Federal Court on June 22, 2018. The settlement provided up to $145 million: $110 million for individual compensation, including $15 million for legal fees, $5 million for external administration, and $15 million for recognition and memorialization exhibits and monuments administered by the LGBT Purge Fund.
Government of Canada:
Class members who were found to be eligible for individual compensation began to receive an initial payment of $5,000 in February 2019 and the majority have now received their complete level 1-3 compensation in addition to copies of their service records, letter of apology and the Notation to File, as requested. Assessment for the highest level of compensation continue and approximately one half have been completed to date by the Assessor. </t>
  </si>
  <si>
    <t>lgbt, canadians, queer, discriminatory, discrimination, blackmail, canadian, victims, espionage, compensation</t>
  </si>
  <si>
    <t>First Nations Drinking Water Settlement</t>
  </si>
  <si>
    <t>First Nations and individuals affected by long-term drinking water advisories</t>
  </si>
  <si>
    <t>On December 22, 2021, the Courts approved a Settlement between Canada and certain First Nations and their members who were subject to a drinking water advisory that lasted at least one year between November 20, 1995 and June 20, 2021. 
(source: https://firstnationsdrinkingwater.ca)</t>
  </si>
  <si>
    <t>The deadline to submit individual claims was March 7, 2024.</t>
  </si>
  <si>
    <t>https://www.cbc.ca/news/indigenous/first-nations-water-drinking-settlement-1.6382206,
https://www.fraserinstitute.org/commentary/canadian-taxpayers-not-consulted-about-massive-reparations-first-nations-people,
https://www.sac-isc.gc.ca/eng/1704377932314/1704377958788</t>
  </si>
  <si>
    <t>www.cbc.ca:
https://web.archive.org/web/20250901193442/https://www.cbc.ca/news/indigenous/first-nations-water-drinking-settlement-1.6382206 [01 September 2025]
www.fraserinstitute.org: http://web.archive.org/web/20241206035250/https://www.fraserinstitute.org/commentary/canadian-taxpayers-not-consulted-about-massive-reparations-first-nations-people [06 December 2024]
www.sac-isc.gc.ca: http://web.archive.org/web/20240905135544/https://www.sac-isc.gc.ca/eng/1704377932314/1704377958788 [05 September 2024]</t>
  </si>
  <si>
    <t>11 March 2022:
Harry LaForme, a co-counsel for the plaintiffs, said it's troubling to know that roughly 250 First Nations in Canada have struggled with water issues. About 142,000 individuals from 258 First Nations could be compensated, along with 120 First Nations, but more people could end up being eligible for compensation. [...] The $8-billion settlement includes $1.5 billion in compensation for individuals deprived of clean drinking water; $6 billion to upgrade water infrastructure to help settle ongoing water issues; and the creation of a $400-million First Nation Economic and Cultural Restoration Fund. (CBC News)
26 March 2023:
Then there’s a claim by those who were treated in Indigenous hospitals (still not resolved) and the drinking water settlement, which set aside $1.5 billion for individual compensation and $5.4 billion for improvement of the water supply on reserve. (Fraser Institute)
Government of Canada:
The settlement agreement includes the following:
- approximately $1.5 billion in compensation for individuals deprived of clean drinking water
- the creation of a $400 million First Nation Economic and Cultural Restoration Fund
- a commitment of at least $6 billion to support reliable access to safe drinking water on reserves</t>
  </si>
  <si>
    <t>settlement, indigenous, nations, compensation, canada, compensated, firstnationsdrinkingwater, water, nation, fraser</t>
  </si>
  <si>
    <t>Gottfriedson Band Class Settlement</t>
  </si>
  <si>
    <t>Native Canadians (First Nations)</t>
  </si>
  <si>
    <t>In 1857, the Canadian Parliament passed the Gradual Civilization Act, which made provisions for what were known as residential schools, with the purpose of assimilating Aboriginal children into mainstream white Canadian society, or [taking] the Indian out of the Queen's Red Children [sic], as the Act described. Children were forcibly taken from their families and placed in residential schools, the last of which closed in 1996, with the ultimate goal of distancing them from their Aboriginal families and integrating them into Canadian society. This was accomplished, among other methods, by preventing them access to their families for many years and by prohibiting the use of Aboriginal languages or the practice of non-Christian religions.
(source: Political Apologies and Reparations Archive)</t>
  </si>
  <si>
    <t>The fund will operate for a period of 20 years.</t>
  </si>
  <si>
    <t>https://www.canada.ca/en/crown-indigenous-relations-northern-affairs/news/2023/01/settlement-agreement-reached-for-gottfriedson-band-class.html,
https://www.nytimes.com/2023/01/21/canada-indigenous-settlement.html,
https://www.bbc.com/news/world-us-canada-64362246</t>
  </si>
  <si>
    <t>www.canada.ca: http://web.archive.org/web/20250909161228/https://www.canada.ca/en/crown-indigenous-relations-northern-affairs/news/2023/01/settlement-agreement-reached-for-gottfriedson-band-class.html [09 September 2025]
www.nytimes.com:
https://web.archive.org/web/20250324201411/https://www.nytimes.com/2023/01/21/canada-indigenous-settlement.html [24 March2025]
www.bbc.com: http://web.archive.org/web/20241129064821/https://www.bbc.com/news/world-us-canada-64362246 [29 November 2024]</t>
  </si>
  <si>
    <t>21 January 2023:
Today, Band class representatives former Chief Shane Gottfriedson and former Chief Garry Feschuk, along with the Honourable Marc Miller, Minister of Crown-Indigenous Relations, announced that Canada has signed an agreement with the Representative Plaintiffs who represent the 325 bands that have opted into the Band class litigation. In this settlement, Canada will provide $2.8 billion to be placed in a not-for-profit trust, independent of the Government. (Government of Canada)
21 January 2023: Canada said on Saturday that it had agreed to pay 2.8 billion Canadian dollars, about $2 billion, to settle the latest in a series of lawsuits seeking reparations for the harm done to Indigenous people through a system of mandatory residential schools that a national commission called “cultural genocide.” The new settlement, which must still be approved by a court, resolves a class action brought in 2012 by 325 First Nations that sought compensation for the erosion of their cultures and languages. (The New York Times)
21 January 2023: Canada has agreed to pay C$2.8bn ($2.09bn; £1.68bn) to settle a class-action lawsuit seeking compensation for the loss of language and culture caused by its residential school system. Government-funded compulsory boarding schools were part of a policy meant to assimilate children and destroy indigenous cultures and languages. The money will be paid to a non-profit trust independent of the government. But the settlement must still be finalised and approved by a court. The lawsuit was brought by 325 First Nations in 2012, and sought reparations for the abuse indigenous Canadians faced at the government boarding schools. Some 150,000 First Nations, Métis and Inuit children were taken from their families and placed in these schools from the 19th Century into the 1970s. Many then suffered physical, emotional and sexual abuse. (BBC News)</t>
  </si>
  <si>
    <t>More here: https://bandreparations.ca/wp-content/uploads/2023/03/23.03.10-Gottfriedson-v-Canada-EN-Notice-of-Settlement-Approval.pdf</t>
  </si>
  <si>
    <t>aboriginal, indigenous, inuit, métis, canadians, settlement, canadian, gottfriedson, children, band</t>
  </si>
  <si>
    <t>Canada Pays Compensation to First Nations Children</t>
  </si>
  <si>
    <t>First Nations children and families</t>
  </si>
  <si>
    <t>Canada's federal government and a group of Indigenous people have reached a revised C$23.34 billion ($17.35 billion) agreement to compensate First Nations children and families for the decades of harm caused by a discriminatory welfare system. The agreement, which affects about 300,000 First Nations children, youth and families, aims to settle a complaint brought to a human rights tribunal more than 15 years ago against Canada over its funding for child welfare on reserves. The tribunal ruled in 2016 that the federal government allocated fewer funds for child and family services of Indigenous people than for others, pushing more Indigenous children into foster care. The federal government is responsible for funding child welfare services for children on First Nations reserves. Individual provinces fund child welfare services for non-native children and native children who do not live on reserves, creating a two-tiered system.
(source: https://www.reuters.com/world/americas/canada-unveils-revised-c23-bln-compensation-deal-indigenous-children-2023-04-05/)</t>
  </si>
  <si>
    <t>On October 24, 2023, the Federal Court approved the Settlement Agreement. The Claims Process for the Removed Child Class and Removed Child Family Class was approved on June 20, 2024 and the Claims Period for these two Classes will open on March 10, 2025.</t>
  </si>
  <si>
    <t>https://www.reuters.com/world/americas/canada-unveils-revised-c23-bln-compensation-deal-indigenous-children-2023-04-05/,
https://www.sac-isc.gc.ca/eng/1646942622080/1646942693297</t>
  </si>
  <si>
    <t>www.reuters.com: http://web.archive.org/web/20231112064329/https://www.reuters.com/world/americas/canada-unveils-revised-c23-bln-compensation-deal-indigenous-children-2023-04-05/ [12 November 2023]
www.sac-isc.gc.ca:
https://web.archive.org/web/20250922193202/https://www.sac-isc.gc.ca/eng/1646942622080/1646942693297 [22 September 2025]</t>
  </si>
  <si>
    <t>5 April 2023:
Canada's federal government and a group of Indigenous people have reached a revised C$23.34 billion ($17.35 billion) agreement to compensate First Nations children and families for the decades of harm caused by a discriminatory welfare system. The terms of the deal, announced by the Canadian government in a statement on Wednesday, were revised to broaden compensation eligibility and increase the amount from the initial C$20 billion agreed last year. The agreement, which affects about 300,000 First Nations children, youth and families, aims to settle a complaint brought to a human rights tribunal more than 15 years ago against Canada over its funding for child welfare on reserves. (Reuters)
Government of Canada:
The Parties and Canada reached a final settlement agreement on compensation in April 2023. On July 26, 2023, the Canadian Human Rights Tribunal confirmed that the final settlement agreement fully meets the Tribunal's 2019 orders on compensation. The Federal Court of Canada approved it on October 24, 2023. That approval is now final.</t>
  </si>
  <si>
    <t>More here: https://fnchildclaims.ca/settlement/</t>
  </si>
  <si>
    <t>welfare, compensation, tribunal, canadian, indigenous, funding, canada, federal, children, compensate</t>
  </si>
  <si>
    <t>Canada Pays Compensation for Nunavik Inuit Dog Slaughter</t>
  </si>
  <si>
    <t>Nunavik Inuit</t>
  </si>
  <si>
    <t>Thousands of sled dogs were shot by the Royal Canadian Mounted Police (RCMP) and other authorities in Inuit settlements from the mid-1950s onwards, said Pita Aatami, President of Makivvik, the organization representing Quebec's Inuit. Sled dog teams were an integral part of Inuit culture and hunting traditions, providing quick travel across the vast frozen landscapes of Canada's far north. They were also instrumental in the hunting of seals and caribou. The unjustified killing of the sled dogs led to food and economic insecurity for the Nunavik Inuit and the loss of traditional ways of accessing land, and caused deep and lasting emotional wounds, the government said in a statement.
(source: https://www.reuters.com/world/americas/canada-apologizes-inuit-communities-mass-killing-sled-dogs-decades-ago-2024-11-23/)</t>
  </si>
  <si>
    <t>https://www.ctvnews.ca/montreal/article/ottawa-to-deliver-apology-45m-in-compensation-for-nunavik-inuit-dog-slaughter/,
https://www.canada.ca/en/crown-indigenous-relations-northern-affairs/news/2024/11/minister-of-crown-indigenous-relations-delivers-apology-to-nunavik-inuit-for-canadas-role-in-the-killing-of-qimmiit-sled-dogs.html</t>
  </si>
  <si>
    <t>www.ctvnews.ca:
https://web.archive.org/web/20251002145248/https://www.ctvnews.ca/montreal/article/ottawa-to-deliver-apology-45m-in-compensation-for-nunavik-inuit-dog-slaughter/ [02 october 2025]
www.canada.ca:
https://web.archive.org/web/20250617023144/https://www.canada.ca/en/crown-indigenous-relations-northern-affairs/news/2024/11/minister-of-crown-indigenous-relations-delivers-apology-to-nunavik-inuit-for-canadas-role-in-the-killing-of-qimmiit-sled-dogs.html [17 June 2025]</t>
  </si>
  <si>
    <t>23 November 2024:
The federal government has apologized for its role in the killing of sled dogs in Nunavik between the mid-1950s and the late 1960s. In Kangiqsujuaq, a Nunavik village in Northern Quebec, Crown-Indigenous Relations Minister Gary Anandasangaree also announced $45 million in compensation for Inuit in the region. [...] Aatami said the $45 million will go toward revitalizing the culture of dog team ownership in the region, and "all the things people need to raise dog teams." That includes training, food and fencing. [...]  Aatami said some of the money will also go toward direct compensation, but how it will be disbursed has not yet been determined. (CTV News)
23 November 2024:
As part of today’s apology, the Government of Canada has provided $45 million to Makivvik to support Nunavik Inuit communities in implementing programs that will promote healing and cultural revitalization.
(Government of Canada)</t>
  </si>
  <si>
    <t>inuit, indigenous, quebec, nunavik, canadian, settlements, hunting, slaughter, seals, compensation</t>
  </si>
  <si>
    <t>Canadian Churches Pay Reparations to Indigenous Groups</t>
  </si>
  <si>
    <t>Mennonite Churches in Canada (Home Street Mennonite Church; Charleswood Mennonite Church; Hope Mennonite Church; Stirling Mennonite Church)</t>
  </si>
  <si>
    <t>Religious institution</t>
  </si>
  <si>
    <t>Multiple Canadian local Indigenous organizations</t>
  </si>
  <si>
    <t>A Mennonite church in Kitchener, Ont., among four in Canada paying reparations to Indigenous people on whose land their church buildings are located, says its payments are part of efforts to "repair past wrongs."
(source: https://www.cbc.ca/news/canada/kitchener-waterloo/indigenous-reparations-kitchener-stirling-mennonite-church-1.7333661)</t>
  </si>
  <si>
    <t>Ongoing</t>
  </si>
  <si>
    <t>Churches have started paying in different years since 2021 with yearly donations.</t>
  </si>
  <si>
    <t>Canadian Affairs</t>
  </si>
  <si>
    <t>https://www.canadianaffairs.news/2024/03/21/money-that-is-owing-churches-pay-reparations-to-indigenous-groups/</t>
  </si>
  <si>
    <t>www.canadianaffairs.news: http://web.archive.org/web/20240707081353/https://www.canadianaffairs.news/2024/03/21/money-that-is-owing-churches-pay-reparations-to-indigenous-groups/ [07 July 2024]</t>
  </si>
  <si>
    <t>21 March 2024:
So far, only four Canadian churches have taken up his call, all of them Mennonite. “Mennonite churches have been the most responsive,” Jacobs said. At Home Street Mennonite Church in Winnipeg, the congregation has decided to give one per cent of its budget, $3,600, to two local Indigenous organizations. [...] Another Winnipeg congregation making reparations is Charleswood Mennonite Church. That church, located in the southwest part of the city, is located on land that was once used by the Metis and Anishinaabe and Swampy Cree people for hunting and trapping. Under the terms of the treaty, it was assumed the land would be shared by settlers and Indigenous people. After the church adopted a statement of reconciliation with Indigenous people in 2021, the congregation decided they wanted to act on it, said co-pastor Jonathan Neufeld. [...] The church decided to give half of its $3,600 in reparations to an Indigenous women-led organization that supports women and the other half to the Share the Gifts Reparations Fund, which collects money from churches, organizations and individuals to support Indigenous-led groups. [...] Also in Winnipeg, since 2022 Hope Mennonite Church has been donating one per cent of the value of its property, about $2,500, to local Indigenous organizations. [...] In Kitchener, Ont., Stirling Mennonite Church has been paying one per cent of their annual budget, or about $4,000, since 2021. (Canadian Affairs)</t>
  </si>
  <si>
    <t>The Total Amount Pledged is an estimated yearly aggregated figure. There are no available data on the total amount pledged or disbursed.</t>
  </si>
  <si>
    <t>reparations, mennonite, churches, winnipeg, church, congregation, indigenous, pastor, donating, settlers</t>
  </si>
  <si>
    <t>Reparations to Victims of Former Dictatorship in Chad</t>
  </si>
  <si>
    <t>Government of Chad</t>
  </si>
  <si>
    <t>Chad</t>
  </si>
  <si>
    <t>TCD</t>
  </si>
  <si>
    <t>Victims of former Chadian dictator Hissène Habré</t>
  </si>
  <si>
    <t>Former President Hissène Habré ruled Chad from 1982 to 1990. His regime caused more than 40,000 deaths. In 2017, he was sentenced to life for war crimes and crimes against humanity.
(source: https://www.afro-impact.com/en/chad-10-billion-cfa-francs-to-be-paid-to-victims-of-the-habre-regime/)</t>
  </si>
  <si>
    <t>The first court order of reparations was in 2015, and the agreement happened in September 2022.</t>
  </si>
  <si>
    <t>XAF</t>
  </si>
  <si>
    <t>African Union</t>
  </si>
  <si>
    <t>https://www.afro-impact.com/en/chad-10-billion-cfa-francs-to-be-paid-to-victims-of-the-habre-regime/,
https://www.amnesty.org/en/latest/news/2023/05/chad-still-no-reparations-for-hissene-habres-victims/
https://www.icj.org/chad-hissene-habres-victims-receive-16-5-million/</t>
  </si>
  <si>
    <t>www.afro-impact.com: http://web.archive.org/web/20220929115026/https://www.afro-impact.com/en/chad-10-billion-cfa-francs-to-be-paid-to-victims-of-the-habre-regime/ [29 September 2022]
www.amnesty.org:
https://web.archive.org/web/20251215085934/https://www.amnesty.org/en/latest/news/2023/05/chad-still-no-reparations-for-hissene-habres-victims/ [15 December 2025]
www.icj.org: http://web.archive.org/web/20250925205254/https://www.icj.org/chad-hissene-habres-victims-receive-16-5-million/ [25 September 2025]</t>
  </si>
  <si>
    <t>28 September 2022:
The victims of the Hissène years will be compensated in the coming days. The Chadian Presidency has already instructed the Minister of Finance to contribute to the Compensation Trust Fund. For the moment, the government has announced the payment of 10 billion CFA francs while waiting to know where the African Union is in the establishment of this Trust Fund. 10 billion CFA francs is the pot of money announced by the Chadian government as compensation for Habré’s victims. This measure comes five years after the conviction of the former dictator now deceased. The three associations are desperate to see the victims finally receive the promised compensation, even if they recognize that “some small steps” have been taken in the last two years. (Afro impact)
26 May 2023:
On September 19, 2022, Chad’s presidency wrote to the Trust Fund announcing that the government had allocated 10 billion CFA francs ($16.5 million) for it. According to the AU, however, that money has not been received.  On May 2, 2023, Chad’s transitional president, Mahamat Idriss Déby Itno, told a delegation from the victims’ group that he had asked the finance minister to make Chad’s contribution available to the victims. (Amnesty International)
5 March 2024:
Victims of former Chadian dictator Hissène Habré have begun receiving compensation amounting to a total of $16.5 million (10 billion CFA francs). Habré, who ruled Chad from 1982-1990, was sentenced  to life imprisonment for crimes against humanity in 2016 by an African Union-backed court in Senegal and died there in August 2021. The payments, which  began on 23 February following a meeting between President Mahamat Idriss Déby Into and the three Chadian victims’ associations, are being made to 10,700 victims, including prison survivors and the families of those who were killed under Habré, who will each receive US$ 1,529  (925 000 CFA). This represents less than 10% of what the court in Senegal and another court in Chad in 2015 had awarded the victims. The appellate court in Dakar which confirmed Habré’s conviction in April 2017  awarded US$ 136 million  (82 billion CFA)  to Habré’s victims-  US$ 32,000  (20 million CFA)  for each victim of rape and sexual slavery, US$ 24,000  (15 million CFA) for each victim of torture and arbitrary detention and US$ 16,000  (10 million CFA) for the families of slain victims. The court mandated an AU trust fund to raise the money by searching for Habré’s assets and soliciting contributions. Although the AU has allocated US$5 million to the trust fund, the AU and Chad never reached an agreement allowing the fund to begin work in Chad. In a separate trial in Chad, a court on March 25, 2015 convicted 20 Habré-era security agents on murder and torture charges and awarded US$ 124 million (75 billion CFA francs) in reparations to the victims, ordering the government to pay half and the convicted agents the other half. The payments of US$ 1,529 are being made on a schedule to victims at three bank branches in the capital Ndjamena before moving to provincial branches. The victims’ associations have noted many errors in the list of recipients. (ICJ – International Commission of Jurists)</t>
  </si>
  <si>
    <t>Before 2022, there have been several reparations court orders, but the government did not comply with any of these orders.</t>
  </si>
  <si>
    <t>reparations, chad, chadian, payments, fund, compensated, compensation, pay, cfa, payment</t>
  </si>
  <si>
    <t>The National Corporation for Reparation and Reconciliation (Law 19.123) (Rettig Report)</t>
  </si>
  <si>
    <t>Government of Chile</t>
  </si>
  <si>
    <t>Families of victims identified in the report as having
disappeared or died in detention or were executed</t>
  </si>
  <si>
    <t>In Chile in 1973, General Augusto Pinochet led a coup against the elected government, deposing then-President Salvador Allende. He ruled Chile for 17 years, from 1973 until 1990; during his tenure, an estimated 3,000 Chileans were killed or disappeared, and 27,000 tortured and imprisoned. Pinochet stepped aside in favour of democratically elected Patricio Aylwin in 1990, but maintained considerable political and military power until 1998, when he was arrested in Great Britain after traveling there for medical treatment. He was released in 1999 and returned to Chile, where he was charged with human rights violations in 2004. Pinochet died on December 10th 2006, without having been convicted of any crimes committed during his dictatorship.
(source: Political Apologies and Reparations Archive)
The Rettig Report, officially The National Commission for Truth and Reconciliation Report, is a 1991 report by a commission designated by Chilean President Patricio Aylwin (from the Concertación) detailing human rights abuses resulting in deaths or disappearances that occurred in Chile during the years of military dictatorship under Augusto Pinochet, which began on September 11, 1973 and ended on March 11, 1990. The report found that over 2,000 people had been killed for political reasons, and dozens of military personnel have been convicted of human rights abuses. In addition, many reforms have been made based on the recommendations of the report including an official reparations department.
(source: https://en.wikipedia.org/wiki/Rettig_Report)</t>
  </si>
  <si>
    <t>Ley 19.123: Crea Corporación Nacional de Reparación y Reconciliación, Establece Pension de Reparación y Otorga Otros Beneficios en Favor de Personas que Señala</t>
  </si>
  <si>
    <t>https://www.usip.org/publications/1990/05/truth-commission-chile-90,
https://static.pmg.org.za/docs/110331ictj.pdf,
https://www.naharnet.com/stories/en/192478-chile-approves-extra-payments-for-pinochet-victims</t>
  </si>
  <si>
    <t>www.usip.org:
https://web.archive.org/web/20250114204333/https://www.usip.org/publications/1990/05/truth-commission-chile-90 [14 January 2025]
static.pmg.org.za: http://web.archive.org/web/20250129051732/https://static.pmg.org.za/docs/110331ictj.pdf [29 January 2025]
www.naharnet.com: http://web.archive.org/web/20181130010850/http://www.naharnet.com/stories/en/192478-chile-approves-extra-payments-for-pinochet-victims [30 November 2018]</t>
  </si>
  <si>
    <t>The Transitional Justice Data Base:
The government creates the National Corporation for Reparation and Reconciliation to dispense reparations for victims of past human rights abuses. It has continued to function since 1996, but does so simply to oversee on-going reparations. 27,255 received compensation, 4,886 receive monthly stipend of $481.
The Transitional Justice Evaluation Tools:
Cost estimate is USD$8,240,905 + USD$1,149,008 in educational benefits.
The beneficiaries count is 4397.
United States Institute of Peace:
The Aylwin government established the "National Corporation for Reparation and Reconciliation" (enacted by Law No. 19.123 (PDF-254KB), January 31, 1992), as recommended by the Rettig Commission. Ongoing financial support has been provided for families of victims named in the commission's report, totaling approximately 16 million USD each year. The Corporation also continued investigations that the commission was unable to complete.
International Center for Transitional Justice: The commission recommended various reparations measures for the victims identified in its report and the creation of the National Corporation for Reparations and Reconciliation (NCRR) in 1991 to follow up the Commission’s recommendations and continue the identification of victims. The corporation existed for four years. It examined cases and determined who qualified for ‘victim status’, concluding that 899 new cases qualified, which established the final figure of victims of disappearances and killings as 3,197. The Corporation also investigated the whereabouts of disappeared detainees (this was the least successful aspect of its activities). It operated a social and legal assistance program, which helped expedite proceedings so victims could enjoy the benefits to which they were entitled. The Corporation also established an educational and cultural program, legal studies and research program and an archive and documentation center. After its expiration, a permanent program inside the Ministry of Interior was created to continue its work, known as the Human Rights Program.</t>
  </si>
  <si>
    <t>chilean, chile, augusto, chileans, pinochet, rettig_report, salvador, patricio, convicted, reparation</t>
  </si>
  <si>
    <t>The National Commission for Political Imprisonment and Torture (Law 19.992) (Valech Commission)</t>
  </si>
  <si>
    <t>Political prisoners and tortured during Pinochet Dictatorship, as listed in  the Report of the National Commission on Political Prison and Torture, created by Supreme Decree Nº 1.040, of 2003, of the Ministry of the Interior.</t>
  </si>
  <si>
    <t>In Chile in 1973, General Augusto Pinochet led a coup against the elected government, deposing then-President Salvador Allende. He ruled Chile for 17 years, from 1973 until 1990; during his tenure, an estimated 3,000 Chileans were killed or disappeared, and 27,000 tortured and imprisoned. Pinochet stepped aside in favour of democratically elected Patricio Aylwin in 1990, but maintained considerable political and military power until 1998, when he was arrested in Great Britain after traveling there for medical treatment. He was released in 1999 and returned to Chile, where he was charged with human rights violations in 2004. Pinochet died on December 10th 2006, without having been convicted of any crimes committed during his dictatorship.
(source: Political Apologies and Reparations Archive)
The Valech Report, officially known as The National Commission on Political Imprisonment and Torture Report, documents instances of abuses committed in Chile between 1973 and 1990 by agents of Augusto Pinochet's military regime. Published on November 29, 2004, the report presents the findings of a six-month investigation. A revised version was subsequently released on June 1, 2005. In February 2010, the commission was reopened for a period of eighteen months, during which additional cases were examined. According to the commission's findings, a total of 38,254 individuals were imprisoned for political reasons, with a majority of them subjected to torture. In addition to the cases documented in the earlier Rettig Report, the commission also revealed that thirty individuals had either disappeared or been executed
(source: https://en.wikipedia.org/wiki/Valech_Report)</t>
  </si>
  <si>
    <t>Ley 19.992: Establece Pension De Reparacion Y Otorga Otros Beneficios A Favor De Las Personas Que Indica</t>
  </si>
  <si>
    <t>https://www.nbcnews.com/id/wbna6612949,
http://www.ipsnews.net/africa/print.asp?idnews=26468,
https://static.pmg.org.za/docs/110331ictj.pdf,
https://www.bcn.cl/leychile/navegar?idNorma=233930</t>
  </si>
  <si>
    <t>www.nbcnews.com:
https://web.archive.org/web/20240604215900/https://www.nbcnews.com/id/wbna6612949 [04 June 2024]
www.ipsnews.net: http://web.archive.org/web/20041213004031/http://www.ipsnews.net:80/africa/print.asp?idnews=26468 [13 December 2004]
static.pmg.org.za: http://web.archive.org/web/20250129051732/https://static.pmg.org.za/docs/110331ictj.pdf [29 January 2025]
www.bcn.cl: http://web.archive.org/web/20250719073909/https://www.bcn.cl/leychile/navegar?idNorma=233930 [19 July 2025]</t>
  </si>
  <si>
    <t xml:space="preserve">Political Apologies and Reparations Archive: Chilean President Ricardo Lagos’ has released to the public, the report on torture committed during Augusto Pinochet’s dictatorship.  The report was originally released by a Truth and Reconciliation Commission in 1991; it claims that 3,190 Chileans were killed during the dictatorship. Lagos has also decided to compensate victims, but many critics want justice and demand the torturers to be brought to court. 
The Transitional Justice Data Base:
It is decided that the National Commission on Political Prison and Torture’s recommendation for reparations will be carried out. It was decided that 27,255 people would get compensation of $190 per month, free education, housing, and health benefits for victims and relatives. 
The Transitional Justice Evaluation Tools:
Cost estimate is USD$400 million/year = USD$6.8 billion
The beneficiaries count is: 28459
International Center for Transitional Justice: In 2003, the government created the National Commission for Political Imprisonment and Torture (known as the Valech Commission) with the aim of identifying the victims that were detained and tortured for political reasons during the 1973-1990 dictatorship. After the first year, the Commission delivered a report that revealed how torture was implemented and made recommendations for reparations. It also identified 28,459 victims of torture.
International Center for Transitional Justice: Between 2005 and 2008, over $103 million was spent on vouchers for the children of victims who had received no, or only partial, compensation. In the same period, the total paid in pensions for political prisoners and torture victims rose to over $195 million.
29 November 2004: The Commission headed by Bishop Sergio Valech spent a year gathering testimony, in Chile and abroad, from 35,865 people who said they were tortured while held as political prisoners by the de facto regime. Of that total, the Commission accepted the testimony of some 28,000 victims, who will receive monthly reparations payments equivalent to around 180 dollars for the rest of their lives, according to a proposal that Lagos will submit to parliament, which will also recommend indemnification measures in areas like health benefits, housing and education for victims and their relatives. (IPS)
30 November 2004: Three decades after being imprisoned and tortured during the military dictatorship of Gen. Augusto Pinochet, Mireya Garcia is among 27,000 Chileans who will finally get government compensation. While the payments are small — about $190 a month — they will double the pensions of many former victims. In addition, victims and their relatives will receive free education, housing and health benefits. The program, which still must be approved by Congress, will cost the government some $70 million a year. President Ricardo Lagos announced the plan Sunday following the release of a gruesome report on torture during Pinochet’s 1973-90 regime prepared by a commission that heard testimony from more than 35,000 people. (NBC News)
21 October 2015: Chile already grants reparation payments totaling $400 million a year for people who were exiled and tortured, as well as their relatives. In 2003, the National Commission on Political Imprisonment and Torture, which investigated regime abuses, recognized more than 38,000 people as victims. (Naharnet)
</t>
  </si>
  <si>
    <t>Chile, Pinochet, Lagos, Teillier, Group of Families of the Detained-Disappeared, disappeared, National Commission on Political Imprisonment and Torture, augusto, pinochet, chileans, salvador, imprisonment, rettig report, torture</t>
  </si>
  <si>
    <t>Chile Pays Reparations to Family of Michael Woodward</t>
  </si>
  <si>
    <t>Family of Anglo-Chilean priest Michael Woodward</t>
  </si>
  <si>
    <t>A Chilean court has found two ex-navy officers guilty of the abduction of Anglo-Chilean priest Michael Woodward. The left-wing priest disappeared shortly after the coup that brought Gen Augusto Pinochet to power in 1973 and his body has never been found. Fr Woodward, born in Chile and raised in the UK, is thought to have been kidnapped, tortured and killed.
(source: https://www.bbc.com/news/world-latin-america-22445163)</t>
  </si>
  <si>
    <t>BBC News</t>
  </si>
  <si>
    <t>https://www.bbc.com/news/world-latin-america-22445163</t>
  </si>
  <si>
    <t>www.bbc.com: http://web.archive.org/web/20230326110410/https://www.bbc.com/news/world-latin-america-22445163 [26 March 2023]</t>
  </si>
  <si>
    <t>8 May 2013: A Chilean court has found two ex-navy officers guilty of the abduction of Anglo-Chilean priest Michael Woodward. […] The state was also sentenced to pay reparations of more than $100,000 (£65,000) to the victim's family, who have been seeking justice for 40 years. (BBC News)</t>
  </si>
  <si>
    <t>chilean, augusto, chile, reparations, kidnapped, woodward, sentenced, pay, tortured, pays</t>
  </si>
  <si>
    <t>Chile Pays Reparations to Torture Survivor</t>
  </si>
  <si>
    <t>Leopoldo García Lucero (Chilean torture survivor)</t>
  </si>
  <si>
    <t>García Lucero, who now lives in London with his family, was a member of the Socialist party and worked at Santiago’s racecourse, near the presidential palace. He was close to Salvador Allende, the president who was removed in the 1973 military coup. Five days after the uprising, García Lucero was seized by police officers who took him to a police station. His left arm was broken in several places after being smashed with a rifle; he now walks with a stick and has never regained full feeling in his hand. Most of his teeth were knocked out and he suffered cognitive problems due to being beaten on the head. After three days blindfolded and tied up in the police station, García Lucero was removed to the national stadium, where hundreds of opponents of the junta had been herded. At night he heard the rifle fire of executions. For nearly two years he was detained and mistreated, before being deported in 1975. His family joined him. His three daughters have married and live in Britain.
(source: https://www.theguardian.com/world/2013/nov/04/chile-ordered-compensation-pinochet-torture-victim)</t>
  </si>
  <si>
    <t>GBP</t>
  </si>
  <si>
    <t>Inter-American Court of Human Rights (IACrtHR)</t>
  </si>
  <si>
    <t>https://www.theguardian.com/world/2013/nov/04/chile-ordered-compensation-pinochet-torture-victim,
https://redress.org/casework/leopoldo-garcia-lucero/</t>
  </si>
  <si>
    <t>www.theguardian.com:
https://web.archive.org/web/20231022100006/https://www.theguardian.com/world/2013/nov/04/chile-ordered-compensation-pinochet-torture-victim [22 October 2023]
redress.org: http://web.archive.org/web/20250521081636/https://redress.org/casework/leopoldo-garcia-lucero/ [21 May 2025]</t>
  </si>
  <si>
    <t>4 November 2013: An 80-year-old Chilean torture survivor, who was forced into exile by General Augusto Pinochet’s regime, has been awarded £20,000 in compensation by the highest court in the Americas. (The Guardian)
REDRESS:
The Inter-American Court of Human Rights, the America’s highest human rights court, considered Leopoldo’s case on 20 and 21 March 2013 and Leopoldo was invited to testify during the hearings. On 28 August 2013, the Inter-American Court issued a landmark ruling, upholding the right to justice and to reparation for Mr García Lucero and potentially impacting on the many other exiled torture survivors from the Pinochet-era. It was the first time the Court decided the case of a living survivor of torture under General August Pinochet’s dictatorship, and in particular, one subjected to forced exile. The Court ordered Chile to pay Leopoldo £20,000 for the lack of justice in his case and ordered it to continue and finalise a criminal investigation “within a reasonable time.” It also urged Chile to provide adequate funding to Leopoldo to cover the costs of his treatment in the UK for continuing medical and psychological conditions. On 7 March 2014, Leopoldo received a formal apology and reparations from the Chilean government at its embassy in London.</t>
  </si>
  <si>
    <t>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</si>
  <si>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lucero, chilean, augusto, garcía, chile, santiago, deported, salvador, torture, exiled</t>
  </si>
  <si>
    <t>Chile Pays Reparations for Dawson Island Political Prisoners</t>
  </si>
  <si>
    <t>Political prisoners held in a concentration camp-style prison on Dawson Island</t>
  </si>
  <si>
    <t>After the 1973 Chilean coup d'état, the military dictatorship of Augusto Pinochet used Dawson Island to house political prisoners suspected of being communist activists, including government ministers and close friends of the deposed President Salvador Allende, most notably Orlando Letelier, Luis Corvalán, Clodomiro Almeyda and José Tohá. They were under the strict control of the Chilean Navy as each individual case was investigated. In addition, according to an International Red Cross report in 1974 and the Report of the Chilean National Commission on Truth and Reconciliation (Rettig Report) some 99 political detainees were held here who were sentenced to forced labor. Others have estimated that as many as 400 prisoners were held at the two camps. (source: https://en.wikipedia.org/wiki/Dawson_Island)</t>
  </si>
  <si>
    <t>Supreme Court of Chile</t>
  </si>
  <si>
    <t>Naharnet</t>
  </si>
  <si>
    <t>https://www.naharnet.com/stories/en/192478-chile-approves-extra-payments-for-pinochet-victims</t>
  </si>
  <si>
    <t>www.naharnet.com: http://web.archive.org/web/20181130010850/http://www.naharnet.com/stories/en/192478-chile-approves-extra-payments-for-pinochet-victims [30 November 2018]</t>
  </si>
  <si>
    <t>21 October 2015: In a separate case, the Supreme Court on September 15 ordered reparation payments of $6.6 million to 31 political prisoners held in a concentration camp-style prison on Dawson Island, in the far south Straight of Magellan. (Naharnet)</t>
  </si>
  <si>
    <t>chileans, pinochet, chile, augusto, salvador, imprisoned, convicted, prison, prisoners, reparation</t>
  </si>
  <si>
    <t>Chile Pays Reparations to Family of Victor Jara</t>
  </si>
  <si>
    <t>Family of Victor Jara (Chilean singer and songwriter who was kidnapped and killed by military officers)</t>
  </si>
  <si>
    <t>The Chilean Supreme Court convicted 7 retired military officers on Monday for the kidnapping and killing of famous singer-songwriter Victor Jara. Jara was taken a few days after the September 11, 1973, military coup that led to Augusto Pinochet’s dictatorship.
(source: https://buenosairesherald.com/human-rights/former-soldiers-get-25-years-in-prison-for-murder-of-victor-jara)</t>
  </si>
  <si>
    <t>CLP</t>
  </si>
  <si>
    <t>Buenos Aires Herald</t>
  </si>
  <si>
    <t>https://buenosairesherald.com/human-rights/former-soldiers-get-25-years-in-prison-for-murder-of-victor-jara</t>
  </si>
  <si>
    <t>buenosairesherald.com: http://web.archive.org/web/20240416195221/https://buenosairesherald.com/human-rights/former-soldiers-get-25-years-in-prison-for-murder-of-victor-jara [16 April 2024]</t>
  </si>
  <si>
    <t>29 August 2023: The Chilean Supreme Court convicted 7 retired military officers on Monday for the kidnapping and killing of famous singer-songwriter Victor Jara. Jara was taken a few days after the September 11, 1973, military coup that led to Augusto Pinochet’s dictatorship. Former Army officers Raúl Jofré, Edwin Dimter, Nelson Haase, Ernesto Bethke, Juan Jara and Hernán Chacón were each handed a 15-year-sentence for the killings of Jara and former Head of Prisons, Littré Quiroga Carvajal, as well as another 10-year sentence for the two kidnappings. Rolando Melo also received an eight-year sentence for concealment. The defendants, who are between 73 and 85 years old, were all free before the ruling. Retired lieutenant Pedro Barrientos, who was identified as one of Jara’s murderers, lost his US citizenship for his involvement in the killing of the popular singer last month. The Court dismissed “the defenses’ appeal requests in both form and content,” according to La Tercera newspaper.   The ruling also determined the State must pay 80 million Chilean pesos (US$93,600) to Jara’s siblings as a form of reparation. The singer’s widow and children were each granted 150 million pesos (US$175,500). (Buenos Aires Herald)</t>
  </si>
  <si>
    <t>The total amount pledged was calculated based on the siblings (who received a total of 80 million pesos together), the wife, and the two children of Victor Jara, totalling 530 million pesos (approx. US$620,100).</t>
  </si>
  <si>
    <t>augusto, jara, chilean, chile, kidnapped, convicted, buenos, kidnapping, kidnappings, defendants</t>
  </si>
  <si>
    <t>China Pays for Damages to the US Embassy During Anti-American Protests</t>
  </si>
  <si>
    <t>Government of China</t>
  </si>
  <si>
    <t>China</t>
  </si>
  <si>
    <t>CHN</t>
  </si>
  <si>
    <t xml:space="preserve">Government of United States </t>
  </si>
  <si>
    <t>United States</t>
  </si>
  <si>
    <t>USA</t>
  </si>
  <si>
    <t>During the 1999 NATO campaign in Yugoslavia, a NATO bomb struck the Chinese embassy in Belgrade. The United States government asserted that the bombing was accidental, while the Chinese government asserted that it was a deliberate attack.
(source: Political Apologies and Reparations Archive)</t>
  </si>
  <si>
    <t>Political Apologies and Reparations Archive (2005.0242.01 - As background information)</t>
  </si>
  <si>
    <t>https://www.nytimes.com/1999/12/16/world/us-agrees-to-pay-china-28-million-for-bombing.html,
https://www.everycrsreport.com/reports/RS20547.html,
https://en.wikipedia.org/wiki/United_States_bombing_of_the_Chinese_embassy_in_Belgrade</t>
  </si>
  <si>
    <t>www.nytimes.com: http://web.archive.org/web/20241203050851/https://www.nytimes.com/1999/12/16/world/us-agrees-to-pay-china-28-million-for-bombing.html [03 December 2024]
www.everycrsreport.com: http://web.archive.org/web/20250812113948/https://www.everycrsreport.com/reports/RS20547.html [12 August 2025]
en.wikipedia.org: http://web.archive.org/web/20250925131741/https://en.wikipedia.org/wiki/United_States_bombing_of_the_Chinese_embassy_in_Belgrade [25 September 2025]</t>
  </si>
  <si>
    <t>16 December 1999: The United States government has agreed to pay China $28 million in compensation for damage to the Chinese Embassy in Belgrade, which was bombed by NATO war planes last May, United States officials said here today. China, in turn, has agreed to pay the United States $2.87 million for damage to the American Embassy and other diplomatic buildings in China during the week of anti-American demonstrations that followed the bombing. (The New York Times)
12 April 2000: U.S. and Chinese officials have reached agreement on compensation payments arising out of the May 7, 1999 NATO bombing of the Chinese Embassy in Belgrade. In the first of these agreements, on August 25, 1999, the United States made a “voluntary humanitarian payment”of $4.5 million to the families of the 3 killed and to the 27 injured as a result of the bombing. On December 16, 1999, U.S. and Chinese officials announced they had agreed that the United States would seek funding for $28 million in compensation for damage to the Chinese Embassy facility, and that China would pay $2.87 million in compensation for damage inflicted by rioting crowds to the U.S. Embassy and other diplomatic facilities in China. The $28 million payment is included in the FY2001 Foreign Operations Appropriation budget request, and will have to be voted on by Congress. (EveryCRSReport.com)
Wikipedia:
By the end of 1999, relations began to gradually improve. In August, the U.S. government made a "voluntary humanitarian payment" of $4.5 million to the families of the three Chinese nationals who were killed and to those who were injured. On December 16, 1999, the two governments reached a settlement under which the United States agreed to pay $28 million in compensation for damage to the Chinese Embassy facility, and China agreed to pay $2.87 million in compensation for damage inflicted to the U.S. Embassy and other diplomatic facilities in China. Technically, although the $4.5 million paid to the victims and their families came from Department of Defense discretionary funds, the $28 million for the damage to the embassy needed to be appropriated by the United States Congress; China would receive $28m in compensation from the US for the bombing, but had to give back close to $3m for the damage to US diplomatic property in Beijing and elsewhere. The US paid another $4.5m to the families of the dead and injured.</t>
  </si>
  <si>
    <t>bombed, embassy, nato, beijing, damages, bombing, humanitarian, diplomatic, chinese, compensation</t>
  </si>
  <si>
    <t>China Pays Compensation to Mother of Tiananmen Victim</t>
  </si>
  <si>
    <t>Tang Deying (Mother of Tiananmen victim)</t>
  </si>
  <si>
    <t>On June 3 and 4, 1989, thousands of Chinese people, led by students, engaged in pro-democracy protests. The largest and best known protest took place in Tiananmen Square, but there were smaller protests throughout China. The Chinese government responded to these protests, which it subsequently characterised as 'counter-revolutionary' disturbances, by arresting participants and ordering troops to open fire on demonstrators. While it is unknown exactly how many protestors were killed, Ding Zilin, a Beijing activist whose son was shot during the demonstrations, has compiled a list of 189 names. Fifteen year old Zhou Guocong was arrested by police in Chengdu while riding his bicycle home from work at the time of the demonstrations. He died in police custody, apparently beaten to death.
(source: Political Apologies and Reparations Archive)</t>
  </si>
  <si>
    <t>CNY</t>
  </si>
  <si>
    <t>Political Apologies and Reparations Archive (2007.0024.01b)</t>
  </si>
  <si>
    <t>http://www.cbc.ca/world/story/2006/04/30/china-compensation060430.html</t>
  </si>
  <si>
    <t>www.cbc.ca:
https://web.archive.org/web/20080126201412/http://www.cbc.ca/world/story/2006/04/30/china-compensation060430.html [26 January 2008]</t>
  </si>
  <si>
    <t>Political Apologies and Reparations Archive:
Tang Deying, the mother of Zhou Guocong, was awarded 70,000 yuan by the Chinese Government as hardship compensation arising from the death of her son. There was no compensation paid to any of the families of the other victims, nor was there any indication that payment would be forthcoming. It is also interesting to note that there was no admission of wrongdoing accompanying the payment, which was characterised as a 'hardship allowance'.
30 April 2006: Chinese authorities have for the first time paid compensation to the family of a protester killed during Beijing's Tiananmen Square crackdown on pro-democracy rallies in June 1989. The student-led demonstrations denounced corruption and demanded more reforms. But officials characterized them as counter-revolutionary disturbances, sending in tanks and ordering troops to open fire on June 3-4, 1989, in a massacre that killed hundreds, or even thousands of protesters. But the Chinese government has largely refused to admit any wrongdoing or blame in the massacre and subsequent crackdown, which saw thousands of people rounded up across the country and thrown into jail. It's still not known exactly how many people died. Now a woman has been awarded 70,000 yuan ($9,700 Cdn) as "hardship assistance," 17 years after her teenage son died in police detention, says a news website run by an activist based in Chengdu, the capital of Sichuan Province. (CBC News)</t>
  </si>
  <si>
    <t>Compensation, China, Beijing, Tiananmen Square, Tang Deying, Zhou Guocong, tiananmen, protesters, protester, zhou, protests, protestors, protest, demonstrators, guocong, beijing</t>
  </si>
  <si>
    <t>Law 975: Justice and Peace Law - Establishes the National Commission for Reparation and Reconciliation (CNRR) (Ley 975 de 2005)</t>
  </si>
  <si>
    <t>Government of Colombia</t>
  </si>
  <si>
    <t>Colombia</t>
  </si>
  <si>
    <t>COL</t>
  </si>
  <si>
    <t>Victims of illegal armed group and civil war</t>
  </si>
  <si>
    <t>Law 975 of 2005, more popularly known as the Justice and Peace Law, was enacted under the government of Álvaro Uribe in order to facilitate the reintegration of the members of illegal armed groups into civilian life. This law regulates the investigation, prosecution, and punishment of people who decide to demobilize and awards them certain legal benefits on the condition that they adhere to the measures geared towards national reconciliation such as truth-seeking, reparations for victims, and an adequate re-socialization. [...] The Colombian Congress passed Law 975 of 2005 as a judicial accountability mechanism for the serious human rights violations committed by various paramilitary structures. This law set up a special criminal prosecution mechanism, established mandatory reparations to victims, and made the possibility of alternative sentencing conditional on contributing to the clarification of the truth.
(source: ICTJ https://www.ictj.org/sites/default/files/subsites/colombia-timeline/index_eng.html)</t>
  </si>
  <si>
    <t>COP</t>
  </si>
  <si>
    <t>National Commission on Reparation and Reconciliation, National Prosecutorial Unit for Justice and Peace (Unidad Nacional de Fiscalía para la Justicia y la Paz)</t>
  </si>
  <si>
    <t>Law 975: Justice and Peace Law</t>
  </si>
  <si>
    <t>https://asp.icc-cpi.int/sites/asp/files/asp_docs/RC2010/Stocktaking/Colombia-Transitional%20Justice%20in%20Colombia.pdf,
https://reparations.qub.ac.uk/assets/uploads/ColombiaReparationsPolicyReportFORAPPROVAL-SP-HR-NoCrops.pdf</t>
  </si>
  <si>
    <t>asp.icc-cpi.int: http://web.archive.org/web/20240411182252/https://asp.icc-cpi.int/sites/asp/files/asp_docs/RC2010/Stocktaking/Colombia-Transitional%20Justice%20in%20Colombia.pdf [11 April 2024]
reparations.qub.ac.uk: http://web.archive.org/web/20250618054831/https://reparations.qub.ac.uk/assets/uploads/ColombiaReparationsPolicyReportFORAPPROVAL-SP-HR-NoCrops.pdf [18 June 2025]</t>
  </si>
  <si>
    <t>The Transitional Justice Evaluation Tools:
The cost estimate as of December 2016 is: USD$25.1 million.
Reparations policy was extended in 2006 and 2008 (Alteration names: 2006: Gustavo Gallón Giraldo v. Colombia / 2008: Decree 1290/2008)
International Criminal Court - "Transitional Justice in Colombia - The Justice and Peace Law: An experience in truth, justice and reparation" With the aim of creating the conditions for ending the violence in Colombia, the Government has created a long-term strategy to enable the successful reintegration of demobilized members of illegal armed groups, which currently is estimated at over 50,000. [...] To enforce the rights of victims, the Justice and Peace Law established the National Commission for Reparation and Reconciliation (CNRR). It is a separate and independent entity made up of representatives of government, enforcement agencies, civil society and victims. [p.9]
[...] During the implementation process of the Justice and Peace Law, the need to expedite the issue of progress regarding reparation was observed. This is why the Administrative Reparation Program was created by the Government in addition to the judicial reparation, with the purpose of granting a series of individual material reparation to any person whose fundamental rights had been infringed by the illegal armed groups. [...] During its first year of operation (2009) approximately 11.000 families received reparation, including 70 women victims of sexual violence, 550 minors who had been forcefully recruited and 1.300 victims of anti-personnel mines. The budget invested was US $100.000.000. The budget for 2010 is US $150.000.000, which is expected will help take care of approximately 13.000 families. [pp. 14-15]
Reparations, Responsibility &amp; Victimhood in Transitional Societies:
Thus, seven years after the approval of Law 1448/2011 and three years before it is scheduled to end, only about 7% of victims of the Single Registry for Victims
have been compensated. Compensations reached 2.7% of the registered victims of
forced displacement, 33% of forced disappearances, and 30.5% of homicides. Most
received their compensations as a result of the application of Decree 1290/2008 that
regulated the administrative programme of Law 975/2005. With only 25 enforced
sentences resulting from Law 975/2005, only 13 compensations ordered have been paid
out. (Pag. 6)
Although legally sophisticated and comprehensive, the administrative reparation
programmes emerging from Law 975/2005 and Law 1448/2011 have met with a
number of difficulties in the course of implementation. The gap between the reality
of reparations on-the-ground and the letter of the law can be understood in three
ways. First, reparations have been delayed. (Pag. 7)
As of December 2016, nearly COP 80 billion, or USD 25.1 million, mostly from public
funds, has been distributed in compensation. That amount was allocated to little over
4,000 victims of the 6,884 individuals recognised by rulings of Justice and Peace Courts.
This is an insignificant number considering that half a million victims are registered
claimants victims under Law 975/2005.145 Out of the 25 enforced sentences, only 13
compensations ordered have been paid out. (Pag. 48)</t>
  </si>
  <si>
    <t>NOTE ON CONVERSION: The total compensation disbursed (USD$25.1 million) is reported as an accumulated figure as of 2016. We assume this figure represents the total value of all payments over the entire period. For comparison purposes, we treat it as a 2016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</si>
  <si>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Colombia, United States, FARC, Revolutionary Armed Forces of Colombia, civil war, reparations, reconciliation, commission, Alvaro Uribe, Uribe, reparations, reparation, colombia, justice, colombian, judicial, sentencing, reintegration, reconciliation, prosecution</t>
  </si>
  <si>
    <t>Law 1448: Law on Victims and Land Restitution (Ley 1448 de 2011)</t>
  </si>
  <si>
    <t>Victims referred in Article 3 of the law</t>
  </si>
  <si>
    <t>The purpose of this law is to establish a set of individual and collective judicial, administrative, social and economic measures for the benefit of the victims of the violations contemplated in article 3 of this law, within a framework of transitional justice, which will make it possible for them to enjoy their rights to truth, justice and reparation with a guarantee of non-repetition, so that their status as victims is recognized and dignified through the materialization of their constitutional rights.
ARTICLE 2. SCOPE OF THE LAW. This law regulates humanitarian aid, care, assistance and reparation for the victims referred to in article 3 of this law, providing tools for them to claim their dignity and assume their full citizenship. The measures of attention, assistance and reparation for indigenous peoples and Afro-Colombian communities shall be part of specific norms for each of these ethnic groups, which shall be consulted beforehand in order to respect their customs and customs, as well as their collective rights, in accordance with the provisions of article 205 of this law.
ARTICLE 3. VICTIMS. For the purposes of this Act, victims are considered to be those persons who, individually or collectively, have suffered damage as a result of violations of the law, as a result of events that occurred on or after 1 January 1985.
(source: https://reparations.qub.ac.uk/assets/uploads/Victims-Law-1448-2011.pdf)</t>
  </si>
  <si>
    <t>The 2011 law was set for a ten-year term. However, in 2021 it was extended until 2031. Therefore, payments are still ongoing but data are as of 2021.</t>
  </si>
  <si>
    <t>Transitional Justice Evaluation Tools (ID: 72)</t>
  </si>
  <si>
    <t>LAW 1448 OF 2011 (Ley de Víctimas y Restitución de Tierras, Law 1448)</t>
  </si>
  <si>
    <t>https://www.justiceinfo.net/en/37686-feasible-justice-has-colombia-over-promised-and-under-delivered-reparations-for-its-8-6-million-vic.html,
https://lieber.westpoint.edu/reparations-colombia-redressing-civilian-harm-midst-armed-conflict/,
https://www.amnesty.org/ar/wp-content/uploads/2021/06/amr230182012en.pdf,
https://reparations.qub.ac.uk/assets/uploads/Victims-Law-1448-2011.pdf
https://reparations.qub.ac.uk/countries/colombia/,
https://www.jointdatacenter.org/wp-content/uploads/2022/01/Reparations_Gurian_Dec17.pdf</t>
  </si>
  <si>
    <t>www.justiceinfo.net: http://web.archive.org/web/20250620101616/https://www.justiceinfo.net/en/37686-feasible-justice-has-colombia-over-promised-and-under-delivered-reparations-for-its-8-6-million-vic.html [20 June 2025]
lieber.westpoint.edu: http://web.archive.org/web/20250717221323/https://lieber.westpoint.edu/reparations-colombia-redressing-civilian-harm-midst-armed-conflict/ [17 July 2025]
www.amnesty.org: http://web.archive.org/web/20250121013606/https://www.amnesty.org/ar/wp-content/uploads/2021/06/amr230182012en.pdf [21 January 2025]
eparations.qub.ac.uk:
https://web.archive.org/web/20241003165925/https://reparations.qub.ac.uk/countries/colombia/ [03 October 2024]
www.jointdatacenter.org:
https://web.archive.org/web/20240925153127/https://www.jointdatacenter.org/wp-content/uploads/2022/01/Reparations_Gurian_Dec17.pdf [25 September 2025]</t>
  </si>
  <si>
    <t>According to the TJET:
Cost Estimate is: USD$2.2 billion in reparations so far
Beneficiaries Count is: 9263826
Reparations policy was extended in 2013.
12 June 2018:
In 2011, the Colombian government passed the Victims’ Law (Ley 1448 de 2011) with the promise to provide reparations for the victims of country’s half-century long internal conflict. The Victims’ Unit and the Land Restitution Unit were created as the institutions in charge of meting out the various reparations guaranteed under the Law. [...]
Of the 8.6 million victims, 7.3 million suffered displacement, a quarter million were killed, and 47,000 were forcibly disappeared. Many were the victims of multiple acts of violence. Besides direct victims, family members of those murdered or disappeared are also entitled to reparations. The real challenge of the Victims’ Law is its implementation. The exorbitant number of subjects of reparations represents a huge cost for the government. An ICTJ report highlights the financial challenges this represents and warns that the government has overpromised. The current estimated cost of the full programme is 148.34 trillion Colombian pesos (approximately US $52 billion). The most recent report on the progress of Law 1448 highlights that between 2009 and 2016, the government has paid reparations payments to 580,415 victims. This means that 93% of victims have not yet been paid. (Justice Info)
Guarin et al. 2021: 
Between January 2009 and August 2021, 8.4 trillion pesos (2.2 billion USD), were paid out to more that 1.1 million victims over the course of those eleven years (UARIV, 2021), that is, roughly 0.07 percent of Colombia’s GDP per year.
Reparations, Responsibility &amp; Victimhood in Transitional Societies:
Thus, seven years after the approval of Law 1448/2011 and three years
before it is scheduled to end, only about 7% of victims of the Single Registry for Victims
have been compensated. Compensations reached 2.7% of the registered victims of
forced displacement, 33% of forced disappearances, and 30.5% of homicides. Most
received their compensations as a result of the application of Decree 1290/2008 that
regulated the administrative programme of Law 975/2005. With only 25 enforced
sentences resulting from Law 975/2005, only 13 compensations ordered have been paid
out. (Pag. 6)
Although legally sophisticated and comprehensive, the administrative reparation
programmes emerging from Law 975/2005 and Law 1448/2011 have met with a
number of difficulties in the course of implementation. The gap between the reality
of reparations on-the-ground and the letter of the law can be understood in three
ways. First, reparations have been delayed. (Pag. 7)
5 September 2024:
While the Victims’ Law is recognised as an ambitious and comprehensive effort to secure victims’ rights to reparation, it has faced significant practical challenges. By 2023, only thirteen percent of the victims registered with the Victims Unit had received compensation, largely due to burdensome bureaucratic processes that delayed access to reparation measures. Additionally, in 2011, Colombia estimated the total number of victim beneficiaries at approximately one million people. By July 2024, however, over 9 million people were registered as victims by the Victims’ Unit, with about 7.6 million eligible for the reparations programme. Dejusticia pointed out that the high number of registered victims is attributed to ongoing violence in the country and the broadening of the definition of “victim” by Constitutional Court rulings. Notwithstanding, the budget for the reparations programme has not been adjusted to meet the growing demands, resulting in insufficient funds to fully support the reparations and assistance policies. [...] 
In May 2024, Congress approved a reform to the Victims’ Law proposed by the Ombudsman’s Office, pending presidential approval. This reform addresses challenges in the Victims’ Law by focusing on “durable solutions,” that is, structural, long-term actions to rebuild victims’ lives and address socio-economic barriers like poverty. Key aspects of the reform include offering compensation to individuals who cannot return to or receive restitution for rural land. This compensation consists of providing urban housing and support for productive projects to help them rebuild their lives. It also expands the definition of victims to include those in exile or who suffered forcible cross-border displacement and forced confinement. The reform also creates a Funding Commission tasked with identifying new sources of funding for reparations. However, the specific steps to ensure sustainable funding for these reparations are still undefined. (Lieber Institute)</t>
  </si>
  <si>
    <t>NOTE ON CONVERSION: The total compensation disbursed (USD$2.2 billion) is reported as an accumulated figure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More here: https://www.sdg16.plus/policies/colombias-measures-for-armed-conflict-victim-reparations-and-land-restitution/</t>
  </si>
  <si>
    <t>restitution, victims, reparations, reparation, humanitarian, victim, victimization, citizenship, provisions, indigenous</t>
  </si>
  <si>
    <t>National Commission for Reconciliation and Compensation for Victims (CONARIV) &amp; Emergency Reparations Fund</t>
  </si>
  <si>
    <t>Government of Cote d'Ivoire</t>
  </si>
  <si>
    <t>CIV</t>
  </si>
  <si>
    <t>Victims of human rights violations during the conflict</t>
  </si>
  <si>
    <t>Following independence, the country remained under authoritarian one-party rule led by founding President Félix Houphouët-Boigny until his death in 1993. Subsequent attempts at democratic transition have been tumultuous, including a 1999 coup d’état and two civil wars from 2002-2004 that resumed in 2010-2011, plunging the nation into prolonged periods of conflict and instability.
(source: https://transitionaljusticedata.org/en/Africa/CotedIvoire.html)
The Ivorian government is obligated to provide reparations to the victims of both the post-election crisis that shook the country in 2010-2011, during which over 3,000 people died and hundreds of thousands were displaced, and the different periods of political violence and armed conflict since 1990.
(source: https://www.ictj.org/news/ictj-reparations-victims-cote-divoire-beyond-cash)</t>
  </si>
  <si>
    <t>Transitional Justice Evaluation Tools (ID: 80)</t>
  </si>
  <si>
    <t>https://transitionaljusticedata.org/en/Africa/CotedIvoire.html,
https://www.ictj.org/news/ictj-reparations-victims-cote-divoire-beyond-cash</t>
  </si>
  <si>
    <t>transitionaljusticedata.org:
https://web.archive.org/web/20250512042858/https://transitionaljusticedata.org/en/Africa/CotedIvoire.html [12 May 2025]
www.ictj.org:
https://web.archive.org/web/20240223033331/https://www.ictj.org/news/ictj-reparations-victims-cote-divoire-beyond-cash [23 February 2024]</t>
  </si>
  <si>
    <t>The Transitional Justice Evaluation Tools:
The first round of reparations in 2015 cost 6-8 billion CFA (US $10-13 million)
The National Commission for Reconciliation and Compensation for Victims (CONARIV) succeeded the CDVR’s reparations mandate in 2015. It identified 316,954 victims to compensate for violations that occurred between 1990-2011 during various civil wars and post-election violence but could only provide initial compensation to about 4,500 in an initial round of reparations in 2015. The reparations program has been widely criticized for lacking transparency and not providing meaningful guidance to victims on their rights and how to seek compensation. Most victims still do not know if they qualify or will receive support. CONARIV submitted a report on its activities in April 2016, which revealed that over 64% of the 874,056 victim files submitted to the Audit Unit for review had been denied. Additionally, the agreed-upon list of victims requiring compensation still required final validation by the President, introducing a political element into the victim identification process. This top-down method of presidential approval for the victim list as part of the compensation process was criticized for bringing the overall credibility of the reparations scheme into question.
11 August 2016:
An Ivorian reparation policy has already been partly defined, following the announcement in August 4, 2015, that 1 million CFA francs (approximately USD $1,685) in compensation would be paid to each victim in urgent need, as part of an Emergency Reparations Fund. (ICTJ)
Wikipedia:
The CDVR led to the creation of the Commission Nationale pour la Réconciliation et l’Indemnisation des Victims (CONARIV) (English: National Commission for Reconciliation and Compensation of Victims) on March 25, 2015 with a compensation fund of 15 million Euros.
[€15,000,000 in 2015 = about 13,519,446 USD]</t>
  </si>
  <si>
    <t>reparations, reparation, ivorian, transitionaljusticedata, africa, reconciliation, compensation, victims, crisis, justice</t>
  </si>
  <si>
    <t>NN 64/15: Law on the Rights of Victims of Sexual Violence during the Armed Aggression against the Republic of Croatia in the Homeland War</t>
  </si>
  <si>
    <t>Government of Croatia</t>
  </si>
  <si>
    <t>Croatia</t>
  </si>
  <si>
    <t>HRV</t>
  </si>
  <si>
    <t>Victims of sexual violence during the armed aggression against the Republic of Croatia in the Homeland War</t>
  </si>
  <si>
    <t>On May 29th, the Croatian parliament passed the first law in the country recognizes rape as a war crime – the Act on the Rights of Victims of Sexual Violence during the Military Aggression against Republic of Croatia in the Homeland War. Set to go into effect in January [2016], the law will compensate war rape survivors with a monthly financial stipend and access to free counseling, as well as legal and medical aid.
(source: https://uweboard.wordpress.com/2015/08/18/croatia-compensation-for-survivors-of-sexual-violence-20-years-after-the-war/)
This Act defines sexual violence in the Homeland War during the armed aggression against the Republic of Croatia, established by the Declaration on the Homeland War, in the period from 5 August 1990 to 30 June 1996 (hereinafter: the Homeland War) in the Republic of Croatia or during detention in an enemy camp or prison outside the territory of the Republic of Croatia and the status and rights of victims of sexual violence in the Homeland War.
(source: https://reparations.qub.ac.uk/assets/uploads/Law-on-the-Rights-of-Victims-of-Sexual-Violence-during-the-Armed-Aggression-against-the-Republic-of-Croatia-in-the-Homeland-War.pdf)</t>
  </si>
  <si>
    <t>Transitional Justice Evaluation Tools (ID: 74)</t>
  </si>
  <si>
    <t>University Women of Europe</t>
  </si>
  <si>
    <t>https://reparations.qub.ac.uk/assets/uploads/Law-on-the-Rights-of-Victims-of-Sexual-Violence-during-the-Armed-Aggression-against-the-Republic-of-Croatia-in-the-Homeland-War.pdf,
https://uweboard.wordpress.com/2015/08/18/croatia-compensation-for-survivors-of-sexual-violence-20-years-after-the-war/</t>
  </si>
  <si>
    <t>reparations.qub.ac.uk: http://web.archive.org/web/20221018061430/https://reparations.qub.ac.uk/assets/uploads/Law-on-the-Rights-of-Victims-of-Sexual-Violence-during-the-Armed-Aggression-against-the-Republic-of-Croatia-in-the-Homeland-War.pdf [18 October 2022]
uweboard.wordpress.com:
https://web.archive.org/web/20251002145556/https://uweboard.wordpress.com/2015/08/18/croatia-compensation-for-survivors-of-sexual-violence-20-years-after-the-war/ [02 October 2025]</t>
  </si>
  <si>
    <t>According to the Transitional Justice Evaluation Tools, the Cost Estimate is: 900,000 euros.
18 August 2015:
On May 29th, the Croatian parliament passed the first law in the country recognizes rape as a war crime – the Act on the Rights of Victims of Sexual Violence during the Military Aggression against Republic of Croatia in the Homeland War. Set to go into effect in January, the law will compensate war rape survivors with a monthly financial stipend and access to free counseling, as well as legal and medical aid. (University Women of Europe)
Government of the Republic of Croatia:
Victims of sexual violence suffered during the armed aggression against the Republic of Croatia in the Homeland War are entitled to: Financial compensation, Psychosocial support, Legal aid, Medical assistance, Medical rehabilitation, Physical examination, Mandatory and supplementary health insurance, Accommodation in an institution providing support and services to war veterans and victims, Compensation of transportation costs to exercise their rights.</t>
  </si>
  <si>
    <t>violence, croatia, detention, victims, aggression, war, rights, homeland, declaration, law</t>
  </si>
  <si>
    <t>Croatia Pays Compensation to Tomislav Bozovic</t>
  </si>
  <si>
    <t>Former Yugoslav pilot Tomislav Bozovic</t>
  </si>
  <si>
    <t>A Croatian court ordered the state to pay compensation to former Yugoslav pilot Tomislav Bozovic for his suffering in the Kerestinec military prison near Zagreb during the 1990s war. […] Bozovic, who lives in the coastal town of Pula and has both Croatian and Serbian citizenship, proved that he suffered both physical and mental abuse during his time as a prisoner in the Croatian Kerestinec military prison, near Zagreb in 1992.
(source: https://balkaninsight.com/2017/02/08/croatia-has-to-pay-compensation-to-1990s-pow-02-08-2017/)</t>
  </si>
  <si>
    <t>https://balkaninsight.com/2017/02/08/croatia-has-to-pay-compensation-to-1990s-pow-02-08-2017/</t>
  </si>
  <si>
    <t>balkaninsight.com:
https://web.archive.org/web/20251002145727/https://balkaninsight.com/2017/02/08/croatia-has-to-pay-compensation-to-1990s-pow-02-08-2017/ [02 October 2025]</t>
  </si>
  <si>
    <t>8 February 2017: The municipal court in the Croatian coastal town of Rovinj has ordered the state to pay 46,000 euros in compensation to 66-year-old Tomislav Bozovic, a retired Yugoslav People’s Army, JNA pilot, news website Telegram reported on Tuesday. (BIRN)</t>
  </si>
  <si>
    <t>bozovic, croatian, serbian, croatia, zagreb, yugoslav, tomislav, compensation, rovinj, pay</t>
  </si>
  <si>
    <t>Croatia Pays Compensation to Pero Dragojevic</t>
  </si>
  <si>
    <t>Pero Dragojevic - a Serb civilian tortured by a special police unit called the ‘Wolves’ in the town of Sisak in August 1991</t>
  </si>
  <si>
    <t>Serbia</t>
  </si>
  <si>
    <t>SRB</t>
  </si>
  <si>
    <t>A Croatian court ruled that the state must pay 8,000 euros in damages to Pero Dragojevic, a Serb civilian tortured by a special police unit called the ‘Wolves’ in the town of Sisak in August 1991. […] In August 1991, Dragojevic was illegally arrested and beaten at several military locations near in the Sisak region, including the headquarters of a reserve police unit called the Wolves, which committed the crimes.
(source: https://balkaninsight.com/2018/04/16/croatia-pays-8-000-euros-to-wartime-torture-victim-04-16-2018/)</t>
  </si>
  <si>
    <t>https://balkaninsight.com/2018/04/16/croatia-pays-8-000-euros-to-wartime-torture-victim-04-16-2018/</t>
  </si>
  <si>
    <t>balkaninsight.com:
https://web.archive.org/web/20251002145911/https://balkaninsight.com/2018/04/16/croatia-pays-8-000-euros-to-wartime-torture-victim-04-16-2018/ [02 October 2025]</t>
  </si>
  <si>
    <t>16 April 2018: A Croatian court ruled that the state must pay 8,000 euros in damages to Pero Dragojevic, a Serb civilian tortured by a special police unit called the ‘Wolves’ in the town of Sisak in August 1991. (BIRN)</t>
  </si>
  <si>
    <t>serb, dragojevic, croatian, croatia, sisak, pero, tortured, compensation, damages, crimes</t>
  </si>
  <si>
    <t xml:space="preserve">Compensation to Yugoslav Prisoners of War in Croatia </t>
  </si>
  <si>
    <t>Mihajlo Hrastov (former Croatian policeman)</t>
  </si>
  <si>
    <t>Families of 13 Yugoslav People’s Army reservist soldiers killed in the town of Karlovac in 1991</t>
  </si>
  <si>
    <t>Mihajlo Hrastov, a former special forces policeman convicted of killing 13 unarmed Yugoslav People’s Army reservist soldiers in the town of Karlovac in 1991, told media [...] that he has to hand over more than 350,000 euros to the state in reimbursement for compensation paid out to the victims’ families.
(source: https://balkaninsight.com/2021/04/08/croatia-orders-ex-policeman-to-compensate-for-yugoslav-troops-murders/)</t>
  </si>
  <si>
    <t>https://balkaninsight.com/2021/04/08/croatia-orders-ex-policeman-to-compensate-for-yugoslav-troops-murders/</t>
  </si>
  <si>
    <t>balkaninsight.com: http://web.archive.org/web/20241130091239/https://balkaninsight.com/2021/04/08/croatia-orders-ex-policeman-to-compensate-for-yugoslav-troops-murders/ [30 November 2024]</t>
  </si>
  <si>
    <t>8 April 2021: Mihajlo Hrastov, a former special forces policeman convicted of killing 13 unarmed Yugoslav People’s Army reservist soldiers in the town of Karlovac in 1991, told media on Wednesday that he has to hand over more than 350,000 euros to the state in reimbursement for compensation paid out to the victims’ families. Hrastov told HINA press agency that so far court rulings have ordered him to pay a total of 2.7 million kunas (356,300) euros. (BIRN)</t>
  </si>
  <si>
    <t>yugoslav, compensation, hrastov, croatia, reimbursement, pay, karlovac, victims, 000, euros</t>
  </si>
  <si>
    <t>Act on Judicial Rehabilitation (Act No. 119/1990)</t>
  </si>
  <si>
    <t>Government of Czech Republic</t>
  </si>
  <si>
    <t>CZE</t>
  </si>
  <si>
    <t>This Act cancels a significant number of judicial decisions made between 25 February 1948 and 1 January 1990 under various Acts, including the Act of 18 December 1969 respecting misdemeanours. The Act is divided into eight parts; the sixth, entitled "Compensation", covers unfair dismissal among other matters.
(source: https://natlex.ilo.org/dyn/natlex2/r/natlex/fe/details?p3_isn=22457&amp;cs=1bYWwYk1F0JWoCwqXcwuXsUEvhtB04i5Z-eaOwNO0n5Qss0oRQ74MLt-4wLwzAgCR4B7veHb46lv419GxPXe2tg)</t>
  </si>
  <si>
    <t>Transitional Justice Evaluation Tools (ID: 92)</t>
  </si>
  <si>
    <t>International Labour Organisation</t>
  </si>
  <si>
    <t>https://natlex.ilo.org/dyn/natlex2/r/natlex/fe/details?p3_isn=22457&amp;cs=1bYWwYk1F0JWoCwqXcwuXsUEvhtB04i5Z-eaOwNO0n5Qss0oRQ74MLt-4wLwzAgCR4B7veHb46lv419GxPXe2tg</t>
  </si>
  <si>
    <t>Transitional Justice Evaluation Tools: 
Between July 1990 and December 1992, $80 million was spent on reparations. Unclear which policies this money was spent under.
International Labour Organisation:
This Act cancels a significant number of judicial decisions made between 25 February 1948 and 1 January 1990 under various Acts, including the Act of 18 December 1969 respecting misdemeanours. The Act is divided into eight parts; the sixth, entitled "Compensation", covers unfair dismissal among other matters. (English translation available).</t>
  </si>
  <si>
    <t>NOTE ON CONVERSION: The total compensation disbursed ($80 million) is reported as an accumulated figure as of 1992. We assume this figure represents the total value of all payments over the entire period. For comparison purposes, we treat it as a 1992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</si>
  <si>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reparations, dismissal, judicial, compensation, misdemeanours, justice, rehabilitation, act, acts, cancels</t>
  </si>
  <si>
    <t>Reparations to Danish Jews (Reparations Act of 1945)</t>
  </si>
  <si>
    <t>Government of Denmark</t>
  </si>
  <si>
    <t>Denmark</t>
  </si>
  <si>
    <t>DNK</t>
  </si>
  <si>
    <t>Danish Jews Victims of World War II</t>
  </si>
  <si>
    <t>Between 1933 and 1945, an estimated 6 million Jews and other Europeans were murdered by officials of Adolf Hitler's Nazi government in Germany, and millions more were displaced or forced to work as slave labourers. German forces invaded Denmark 9 April 1940; the invasion was met with little resistance; Denmark collaborated with Nazi Germany until 23 August 1943; on 1 October 1943 7,300 Danish Jews were smuggled over to Sweden.
(source: Political Apologies and Reparations Archive)</t>
  </si>
  <si>
    <t>DKK</t>
  </si>
  <si>
    <t>Political Apologies and Reparations Archive (2005.0128.01 - Updated)</t>
  </si>
  <si>
    <t>Humanity in Action Denmark</t>
  </si>
  <si>
    <t>https://humanityinaction.org/knowledge_detail/copenhagen-bright-hope-and-deep-gloom-a-new-view-of-the-1943-rescue-operation-in-denmark/</t>
  </si>
  <si>
    <t>humanityinaction.org: http://web.archive.org/web/20250719235748/https://humanityinaction.org/knowledge_detail/copenhagen-bright-hope-and-deep-gloom-a-new-view-of-the-1943-rescue-operation-in-denmark/ [19 July 2025]</t>
  </si>
  <si>
    <t>July 2013: On the 1st of October 1945, the Danish parliament passed a Reparations Act for victims of the Nazi occupation in acknowledgement of the urgent need for public assistance on the part of those whose way of life and livelihoods had been destroyed by events during the war. The total amount paid out came to DKK 2.2 million in compensation and reparations to Danish Jews. (Humanity in Action Denmark).</t>
  </si>
  <si>
    <t>The total amount Pledged / Paid in USD and in 2024 value is "Unknown" as there are no reliable data on the exchange rate DKK-USD in 1945.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</si>
  <si>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World War II, World War 2, WWII, WW2, Germany, Denmark, reparations, denmark, danish, jews, nazi, 1945, adolf, 1940, victims, hitler</t>
  </si>
  <si>
    <t>Denmark Pays Compensation to Greenlandic Inuit Children</t>
  </si>
  <si>
    <t>Greenlandic Inuit children victims of the "Little Danes experiment"</t>
  </si>
  <si>
    <t>The little Danes experiment, also known simply as the experiment (Danish: eksperimentet), was a 1951 Danish operation where 22 Greenlandic Inuit children (known as "experiment children"; Danish: eksperimentbørn) were sent to Danish foster families in an attempt to re-educate them as "little Danes". While the children were all supposed to be orphans, most were not. Six children were adopted while in Denmark, and sixteen returned to Greenland, only to be placed in Danish-speaking orphanages and never lived with their families again. Half of the children experienced mental health disturbances, and half of them died in young adulthood. The government of Denmark officially apologised in 2020, after several years of demands from Greenlandic officials.
(source: https://en.wikipedia.org/wiki/Little_Danes_experiment)</t>
  </si>
  <si>
    <t>https://www.bbc.com/news/world-europe-60646898#</t>
  </si>
  <si>
    <t>www.bbc.com: http://web.archive.org/web/20250917163600/https://www.bbc.com/news/world-europe-60646898 [17 September 2025]</t>
  </si>
  <si>
    <t>9 March 2022:
Six people who were part of a failed 1950s social experiment have won compensation from Denmark's government and have received a face-to-face apology from the prime minister. They were among 22 Inuit children sent to Denmark from Greenland in 1951 to learn Danish. It was part of a scheme to raise "model" Greenlanders to help bridge Danish and indigenous cultures. However, the children remained separated from their families, lost their mother tongue and struggled with identity issues. Faced with legal action, the Danish government settled and agreed to pay damages of 250,000 Danish kroner ($38,000; £28,000) to each of the six. The other 16 people involved have since passed away. (BBC News)</t>
  </si>
  <si>
    <t>little_danes_experiment, inuit, greenlanders, danes, denmark, danish, eksperimentbørn, greenland, orphanages, orphans</t>
  </si>
  <si>
    <t>Victim's Law in Ecuador</t>
  </si>
  <si>
    <t>Government of Ecuador</t>
  </si>
  <si>
    <t>Ecuador</t>
  </si>
  <si>
    <t>ECU</t>
  </si>
  <si>
    <t>Victims of Human Rights Violations in Ecuador</t>
  </si>
  <si>
    <t>Reparations were provided to victims of human rights violations in Ecuador between 4 October 1983 and 31 December 2008.</t>
  </si>
  <si>
    <t>Transitional Justice Evaluation Tools (ID: 59)</t>
  </si>
  <si>
    <t>Ley para la Reparación de las Víctimas y la Judicialización de Graves Violaciones de Derechos Humanos y Delitos de Lesa Humanidad Ocurridos en el Ecuador entre el 4 de Octubre de 1983 y el 31 de Diciembre de 2008</t>
  </si>
  <si>
    <t>According to the Transitional Justice Evaluation Tools, the cost estimate is: USD$4,329,990 as of 2019.</t>
  </si>
  <si>
    <t>NOTE ON CONVERSION: The total compensation disbursed (USD$4,329,990) is reported as an accumulated figure as of 2019. We assume this figure represents the total value of all payments over the entire period. For comparison purposes, we treat it as a 2019 value and convert it to our year of interest (2024).</t>
  </si>
  <si>
    <t>ecuador, cost, usd, victims, victim, justice, violation, violations, law, 329</t>
  </si>
  <si>
    <t>Executive Decree 204: Reparations Program for Victims of Serious Human Rights Violations Committed during the Internal Armed Conflict</t>
  </si>
  <si>
    <t>Government of El Salvador</t>
  </si>
  <si>
    <t>El Salvador</t>
  </si>
  <si>
    <t>SLV</t>
  </si>
  <si>
    <t>Victims of serious human rights violations committed during the internal armed conflict in El Salvador</t>
  </si>
  <si>
    <t>From 1980 until 1992, El Salvador was engulfed in a civil war that resulted in the deaths of 75,000 civilians, countless acts of torture, sexual violence, gender-based violence, and enforced disappearance, among other atrocities.
(source: https://cja.org/where-we-work/el-salvador/)</t>
  </si>
  <si>
    <t>Transitional Justice Evaluation Tools (ID: 58)</t>
  </si>
  <si>
    <t>According to the Transitional Justice Evaluation Tools, in 2016, several changes were made to the Program under Executive Decree No. 36</t>
  </si>
  <si>
    <t>reparations, salvador, atrocities, 204, victims, el, decree, violence, justice, 1992</t>
  </si>
  <si>
    <t>Eritrea-Ethiopia War Compensation (Paid by Eritrea)</t>
  </si>
  <si>
    <t>Government of Eritrea</t>
  </si>
  <si>
    <t>Eritrea</t>
  </si>
  <si>
    <t>ERI</t>
  </si>
  <si>
    <t>Government of Ethiopia</t>
  </si>
  <si>
    <t>Ethiopia</t>
  </si>
  <si>
    <t>ETH</t>
  </si>
  <si>
    <t>In May 1998 an armed conflict broke out between Eritrea and Ethiopia that extended over two years and caused substantial loss of life, personal injury and economic damage. Through the work of the UN, the Organization of African Unity, the United States and others, the conflict was finally brought to a close in June 2000 with the signature of an agreement for the cessation of hostilities, which established a security zone separating the opposing forces and requested the UN to deploy a peacekeeping force to help implement the agreement. This was followed in December 2000 by a permanent peace agreement, which among other things established two arbitral bodies: a Boundary Commission to delimit and demarcate the disputed border; and a Claims Commission to decide claims for loss, damage and injury resulting from the conflict. Each Commission consisted of five members, two appointed by each of the parties and the fifth selected by the other four. The members chosen were a very eminent group, with impressive records of public and academic service. The two Commissions had their seat in The Hague and worked with the assistance of the Permanent Court of Arbitration.
(source: https://www.asil.org/insights/volume/13/issue/13/eritrea-ethiopia-claims-commission-damage-awards)</t>
  </si>
  <si>
    <t xml:space="preserve">Eritrea-Ethiopia Claims Commission </t>
  </si>
  <si>
    <t>http://news.bbc.co.uk/2/hi/africa/8208285.stm,
https://opiniojuris.org/2009/08/19/eritrea-ethiopia-claims-commission-awards-final-damages/</t>
  </si>
  <si>
    <t>news.bbc.co.uk: http://web.archive.org/web/20241014222328/http://news.bbc.co.uk/2/hi/africa/8208285.stm [14 October 2024]
opiniojuris.org: http://web.archive.org/web/20241224094752/https://opiniojuris.org/2009/08/19/eritrea-ethiopia-claims-commission-awards-final-damages/ [24 December 2024]</t>
  </si>
  <si>
    <t>18 August 2009: An international tribunal in The Hague has ruled that Eritrea will have to pay Ethiopia millions of dollars in compensation for war damages. Both were ordered to pay each other damages for the 1998-2000 border war, but the verdict leaves Eritrea with $10m (£6m) more to pay. [...] In total Ethiopia was awarded $174m, while Eritrea got $164m - a net payment to Ethiopia of just over $10m. (BBC news)
19 August 2009: Yesterday, the Eritrea-Ethiopia Claims Commission awarded final damage awards for the fifteen partial and final awards on liability it rendered between July 1, 2003 and December 19, 2005. You can access the damages decisions for Eritrea here, and those for Ethiopia here.  According to the AP, both sides will accept the awards, but neither is apparently thrilled with the final results.  Ethiopia ends up with more money; its final award totals $174,036,520, while Eritrea receives $161,455,000 plus an additional $2,065,865 for individual Eritrean claimants. (Opinio Juris)</t>
  </si>
  <si>
    <t>eritrea, eritrean, ethiopia, compensation, damages, tribunal, award, awards, claimants, totals</t>
  </si>
  <si>
    <t>Eritrea-Ethiopia War Compensation (Paid by Ethiopia)</t>
  </si>
  <si>
    <t>Government of Eritrea (and individual Eritrean claimants)</t>
  </si>
  <si>
    <t>French Banks Pay Compensation to French Holocaust Survivors and Heirs (Fund A)</t>
  </si>
  <si>
    <t>Several French banks (including Société Générale, Crédit Lyonnais, Banque Paribas, and Crédit Commercial de France)</t>
  </si>
  <si>
    <t>France</t>
  </si>
  <si>
    <t>FRA</t>
  </si>
  <si>
    <t>French Holocaust survivors and their heirs (with documentation)</t>
  </si>
  <si>
    <t>During the Nazi occupation of France, the German military government enacted discriminatory economic measures against Jews living in France in an attempt to end Jewish influence over the French economy. In March and June of 1941, the Vichy regime adopted several statutes that authorized both governing bodies and private institutions such as banks to expropriate Jewish property and assets. French banks in both occupied and Vichy France confiscated thousands of bank accounts and safe deposit boxes held by Jewish account holders. Many victims of this theft were left uncompensated and ignored by French banks after World War II.
(source: Political Apologies and Reparations Archive)</t>
  </si>
  <si>
    <t>Political Apologies and Reparations Archive (2010.0019.01)</t>
  </si>
  <si>
    <t>http://www.nytimes.com/2004/07/06/news/06iht-holo_ed3_.html</t>
  </si>
  <si>
    <t>www.nytimes.com:
https://web.archive.org/web/20251002150331/https://www.nytimes.com/2004/07/06/news/for-some-french-settlement-is-3000-for-nazi-victims-a-low-payout-rate.html [02 October 2025]</t>
  </si>
  <si>
    <t>Political Apologies and Reparations Archive:
Several French banks, including Société Générale, Crédit Lyonnais, Banque Paribas, and Crédit Commercial de France, settled their class action suit with French Holocaust survivors and heirs. Under the agreement, claims brought against French banks will be processed exclusively and independently by the Drai Commission, a panel of independent arbitrators established by the French government to investigate accusations of theft during the Nazi occupation of France.  
The French banks agreed to set aside $50 million for claimants able to prove the existence of their families’ stolen assets. The banks also agreed to a “no limit” settlement, which meant that there was no cap on the number of hard claims brought forward.  However, as of April 2004, only $1.7 million or 3.4 percent of the fund was distributed among victims and their families.  The settlement has undergone much criticism because all of the unclaimed money at the end of the compensation period will revert back to the banks.
Another fund worth $22.5 million was established to settle any claims for those who lacked documentation. The requirements to receive financial compensation from this fund were much simpler and easier to prove.  Each claimant needed only to sign an affidavit and provide proof of French residency during the war, but payout for such soft claims was a flat sum of $3,000. Any unclaimed money from this fund will go to the Foundation for the Memory of the Shoah, a historical and educational institution about the Holocaust. Many argue that any unclaimed funds used to settle the hard claims should be used in similar fashion.
6 July 2004: The banks set up two funds to compensate victims. Fund A contained $50 million for claimants with proof of their family's bank holdings. That money is to be replenished until all of the claimants are paid their fair share. Fund B contained $22.5 million for those who had no documentation of their losses. Upon signing an affidavit and providing proof of French residency during the war, a Fund B claimant receives $3,000. By the end of April, $15.4 million, or a little more than 68 percent of Fund B, had been distributed. Most people involved predict Fund B will eventually be depleted. If it is not, the remaining money in the fund will go to the Foundation for the Memory of the Shoah, a historical and educational institution headed by Simone Veil, a former president of the European Parliament and a survivor of Auschwitz. The situation with Fund A is different. Only $1.7 million, or 3.4 percent of the fund, had been distributed as of the end of April. All unclaimed money will revert to the banks when the Drai Commission, the government body that processes individual claims, ceases operation. That is likely to happen within the next five years. (The New York Times)
U.S. Department of State:
The United States Government and the Government of France signed an agreement on January 18, 2001 providing for the payment of compensation to Holocaust survivors and their heirs who have claims against French banks for deposits made during the Holocaust era. France requested the negotiations leading to the agreement in order to secure the dismissal of class action suits brought against French banks in U.S. courts.
The agreement provides for the establishment of two separate funds, one of $50 million to cover claims by individuals who are able to document the existence of an account, and a second one of $22.5 million to compensate individuals who are able to establish the probability of an account but are not able find specific documentation to support that claim. The agreement also provides compensation for individuals who were subjected to additional anti-Semitic persecution.</t>
  </si>
  <si>
    <t>NOTE ON CONVERSION: The total compensation disbursed ($1.7 million) is reported as an accumulated figure as of 2004. We assume this figure represents the total value of all payments over the entire period. For comparison purposes, we treat it as a 2004 value and convert it to our year of interest (2024).</t>
  </si>
  <si>
    <t>Société Générale, Crédit Lyonnais, Banque Paribas, Crédit Commercial de France, French banks, Holocaust, litigation, theft, Nazi, Nazi party, Jew, Jews, Jewish, Vichy, France, Germany, Barclays Bank, JP Morgan, Morgan Chase, settlement, class action, lawsuit, Drai, reparations, holocaust, banks, vichy, jews, bank, claimants, theft, jewish, nazi</t>
  </si>
  <si>
    <t>French Banks Pay Compensation to French Holocaust Survivors and Heirs (Fund B)</t>
  </si>
  <si>
    <t>French Holocaust survivors and their heirs (without documentation)</t>
  </si>
  <si>
    <t>NOTE ON CONVERSION: The total compensation disbursed ($15.4 million) is reported as an accumulated figure as of 2004. We assume this figure represents the total value of all payments over the entire period. For comparison purposes, we treat it as a 2004 value and convert it to our year of interest (2024).</t>
  </si>
  <si>
    <t>J.P. Morgan Pays Compensation to French Jews Holocaust Survivors</t>
  </si>
  <si>
    <t>J.P. Morgan &amp; Company (French branches)</t>
  </si>
  <si>
    <t>French Holocaust survivors and their heirs</t>
  </si>
  <si>
    <t>Political Apologies and Reparations Archive (2010.0017.01)</t>
  </si>
  <si>
    <t>http://www.nytimes.com/2003/11/19/nyregion/unclaimed-holocaust-reparations-to-endow-yeshiva-u-study-center.html</t>
  </si>
  <si>
    <t>www.nytimes.com: http://web.archive.org/web/20171229020539/http://www.nytimes.com/2003/11/19/nyregion/unclaimed-holocaust-reparations-to-endow-yeshiva-u-study-center.html [29 December 2017]</t>
  </si>
  <si>
    <t>Political Apologies and Reparations Archive:
J.P. Morgan, an American bank which had several branches operating in France during the Nazi occupation, decided to settle with the plaintiffs of a class action suit in the amount of $2.75 million. J.P. Morgan became the second bank after Barclays to break ranks with the other defendant banks in France and cut a deal with the group of sixteen elderly Holocaust survivors who brought the case forward.  However, only a fraction of this money was claimed by Holocaust victims and their descendants.  The remaining $2.25 million unclaimed from the settlement was used by the law school at Yeshiva University in New York City to establish a centre for Holocaust studies and human rights.
19 November 2003: The law school at Yeshiva University will use $2.25 million in assets unclaimed by Holocaust victims or their descendants to establish an endowment fund for a center for Holocaust studies and human rights. The law school, the Benjamin N. Cardozo School of Law, became the beneficiary of the funds after J. P. Morgan &amp; Company settled a class-action lawsuit in August involving Holocaust restitution claims. J. P. Morgan and other financial institutions had branches in France during World War II and were accused in the suit of confiscating Jewish depositors' assets after the Nazis conquered France. (The New York Times)</t>
  </si>
  <si>
    <t>French banks, Holocaust, litigation,theft, Nazi, Nazi party, Jew, Jews, Jewish, Vichy, German occupation, France,Germany, Barclays Bank, JP Morgan, Morgan Chase, Yeshiva University, Holocaust studies, settlement, class action, lawsuit, banks, jews, holocaust, reparations, bank, jewish, vichy, barclays, morgan, nazis</t>
  </si>
  <si>
    <t>AXA Insurance Settlement for Armenian Genocide Survivors</t>
  </si>
  <si>
    <t>AXA Insurance</t>
  </si>
  <si>
    <t>Survivors of the Armenian Genocide and their heirs</t>
  </si>
  <si>
    <t>Armenia</t>
  </si>
  <si>
    <t>ARM</t>
  </si>
  <si>
    <t>During the decline of the Ottoman Empire, from 1915 to 1917, the Young Turk government sponsored a genocide against ethnic Armenians. While Armenians resident in the Ottoman Empire lived in harmony with other ethnic groups until the late nineteenth century, they began to be persecuted by the sultanate during the latter half of that century. When the Young Turk government rose to power in 1908, it maintained the persecution which led to the death/forced relocation of more than one million Armenians. Survivors and their heirs have faced difficulties collecting the benefits of insurance policies taken out prior to 1914. Having been forced to flee on short notice, survivors often lack the appropriate documentation necessary to prove insurance claims.
(source: Political Apologies and Reparations Archive)</t>
  </si>
  <si>
    <t>Political Apologies and Reparations Archive (2010.0027.01)</t>
  </si>
  <si>
    <t>http://news.bbc.co.uk/2/hi/europe/4337462.stm,
https://nuhanovicfoundation.org/database/us-state-of-california-class-action-lawsuit-settlement-by-heirs-of-the-victims-of-the-armenian-genocide-vs-axa-life-insurance/</t>
  </si>
  <si>
    <t>news.bbc.co.uk: http://web.archive.org/web/20221224035003/http://news.bbc.co.uk/2/hi/europe/4337462.stm [24 December 2022]
nuhanovicfoundation.org: http://web.archive.org/web/20250615053201/https://nuhanovicfoundation.org/database/us-state-of-california-class-action-lawsuit-settlement-by-heirs-of-the-victims-of-the-armenian-genocide-vs-axa-life-insurance/ [15 June 2025]</t>
  </si>
  <si>
    <t>Political Apologies and Reparations Archive:
AXA Insurance, a French corporation, was one of many companies that sold life insurance policies to Armenians living in the Ottoman Empire prior to the genocide. This class action suit was the second of its kind, after New York Life settled its case in January 2004. The plaintiffs in both cases were represented by Yeghiayan and Associates, Geragos and Geragos, and Kabateck Brown Kellner. Under the terms of the settlement, AXA paid a lump sum of USD$17.5 million to the plaintiffs. $11 million was split amongst the heirs of policyholders, $3 million was awarded to Armenian charitable organizations and the rest went to lawyer's fees. Lawyer Mark Geragos, who represented the plaintiffs, remarked that the settlement represented a significant step towards Turkey and the United States officially acknowledging the Armenian genocide.
13 October 2005: The descendants of Armenians who died in mass killings by Ottoman Turks have agreed to settle a class-action lawsuit against French insurance giant Axa. The case, filed in California, accused Axa of failing to pay death benefits on policies bought by Armenians who died. Under the deal, the firm will pay $17m (£9.7m) to Armenian charitable groups. Armenians say 1.5m of their people were killed or deported under Ottoman Turkish rule in 1915. Turkey denies there was a systematic massacre. Under the terms of the settlement, announced in Los Angeles, Axa will donate at least $3m to selected French-based Armenian charities. Another $11m has been earmarked for the heirs of policyholders with subsidiaries of Axa that operated in the Ottoman Turkish Empire before 1915. (BBC News)</t>
  </si>
  <si>
    <t>genocide, Armenia, Armenian, AXA, insurance, litigation, Ottoman Empire, Ottoman, class action suit, lawsuit, Turkey, Turkish, insurance, armenians, armenian, reparations, genocide, turks, settlement, turk, lawsuit</t>
  </si>
  <si>
    <t>Compensation Over Taiwan’s Lafayette Frigate and Mirage Scandal</t>
  </si>
  <si>
    <t>Thales Group</t>
  </si>
  <si>
    <t>Government of Taiwan</t>
  </si>
  <si>
    <t>TWN</t>
  </si>
  <si>
    <t>In 1993, the body of a naval officer investigating the Lafayette frigate deal suspiciously washed ashore in the small town of Suao, on Taiwan's eastern coast. This incident triggered multiple investigations into the deal, revealing a widespread corruption network involving high-profile individuals. The scandal resulted in several suspicious deaths, including those of key negotiators and witnesses. The French company responsible for producing the Lafayette frigates had bribed Taiwanese Navy officials to secure the contract. Initially, Taiwan had planned to purchase 16 frigates from South Korea in 1988, but in 1991, the then-Premier Hau Pei-tsun changed course during a visit to France, opting to acquire six Lafayette-class frigates instead. The $2.8 billion deal, known as the “Bravo” contract, was signed in August 1991. French companies Thomson-CSF (now Thales) and DCNS (now Naval Group) were responsible for the shipbuilding. Additionally, in November 1992, Taiwan’s Air Force bolstered its military power by purchasing 60 Mirage 2000-5 fighter jets from Dassault Aviation, a French manufacturer, along with missiles and support equipment, amounting to $4.9 billion.
(source: https://corruption-tracker.org/case/taiwans-lafayette-frigate-affair)</t>
  </si>
  <si>
    <t>Taipei Times</t>
  </si>
  <si>
    <t>https://www.taipeitimes.com/News/front/archives/2010/05/05/2003472232</t>
  </si>
  <si>
    <t>www.taipeitimes.com: http://web.archive.org/web/20250616030551/https://www.taipeitimes.com/News/front/archives/2010/05/05/2003472232 [16 June 2025]</t>
  </si>
  <si>
    <t>5 May 2010: 
REPARATIONS French company Thales has been ordered to repay about US$861 million to make up for illegal commissions which helped the firm win the frigate deal.
The Ministry of National Defense (MND) yesterday confirmed reports that it had won the case it filed with the international commercial arbitration court in the scandal-plagued Lafayette frigate deal. The French company Thales has been ordered to repay Taiwan’s government around US$861 million. (Taipei Times)</t>
  </si>
  <si>
    <t>This case is included despite not meeting standard definitions of reparations, as at least one source explicitly refers to the payment as “reparations.” Its inclusion reflects a source-driven and victim-centred approach that also seeks to capture the elasticity of the term in public discourse.</t>
  </si>
  <si>
    <t>taiwan, frigate, lafayette, arbitration, frigates, repay, taipei, case, court, mnd</t>
  </si>
  <si>
    <t>France Reparations to Holocaust Victims Deported by SNFC</t>
  </si>
  <si>
    <t>Government of France</t>
  </si>
  <si>
    <t>Holocaust victims deported by a French rail company during World War II</t>
  </si>
  <si>
    <t>France and the US have agreed a compensation package for Holocaust victims deported by a French rail company during World War 2. Reparations will be paid to those transported by state rail company SNCF to Nazi concentration camps. The rail company moved 76,000 Jews to Nazi camps during the Holocaust. Only about 3,000 survived.
(source: https://www.bbc.com/news/world-europe-30351196)</t>
  </si>
  <si>
    <t>Government of the United States</t>
  </si>
  <si>
    <t>Reparations in the United States</t>
  </si>
  <si>
    <t>https://www.washingtonpost.com/local/trafficandcommuting/us-begins-paying-out-french-reparations-to-holocaust-survivors-and-their-heirs/2016/09/15/87b1de56-7abb-11e6-bd86-b7bbd53d2b5d_story.html,
https://www.bbc.com/news/world-europe-30351196,
https://www.npr.org/2019/02/07/692376994/holocaust-survivors-and-victims-families-receive-millions-in-reparations-from-fr,
https://www.lemonde.fr/ameriques/article/2014/12/05/etats-unis-paris-va-indemniser-les-victimes-de-la-shoah-transportees-par-la-sncf_4535530_3222.html,
https://edition.cnn.com/2014/12/05/world/europe/france-holocaust-payments/index.html,</t>
  </si>
  <si>
    <t>www.washingtonpost.com: http://web.archive.org/web/20240409073927/https://www.washingtonpost.com/local/trafficandcommuting/us-begins-paying-out-french-reparations-to-holocaust-survivors-and-their-heirs/2016/09/15/87b1de56-7abb-11e6-bd86-b7bbd53d2b5d_story.html [09 April 2024]
www.bbc.com: http://web.archive.org/web/20250830114202/https://www.bbc.com/news/world-europe-30351196 [30 August 2025]
www.npr.org: http://web.archive.org/web/20250818214345/https://www.npr.org/2019/02/07/692376994/holocaust-survivors-and-victims-families-receive-millions-in-reparations-from-fr [18 August 2025]
www.lemonde.fr: http://web.archive.org/web/20250222191234/https://www.lemonde.fr/ameriques/article/2014/12/05/etats-unis-paris-va-indemniser-les-victimes-de-la-shoah-transportees-par-la-sncf_4535530_3222.html [22 February 2025]
edition.cnn.com: http://web.archive.org/web/20221207085750/http://edition.cnn.com/2014/12/05/world/europe/france-holocaust-payments/index.html [07 December 2022]</t>
  </si>
  <si>
    <t>Reparations in the United States: 
2014: France: More than 700 claims have been filed under an agreement between U.S. and France in which French officials have agreed to pay out $60 million for the deportations carried out by SNCF, France’s railway system. In exchange, the U.S. government agreed to ask courts to dismiss any lawsuits against SNCF or the French government. ("U.S. Begins Paying Out Reparations from France to Holocaust Survivors and Their Heirs" by Katherine Shaver, Washington Post, September 15, 2016.)
5 December 2014: France and the US have agreed a compensation package for Holocaust victims deported by a French rail company during World War Two. The two sides announced a $60m (£40m) compensation fund, paid for by the French government, on Friday. Reparations will be paid to those transported by state rail company SNCF to Nazi concentration camps. US lawmakers have previously attempted to bar SNCF from rail contracts because of its actions in WW2. The rail company moved 76,000 Jews to Nazi camps during the Holocaust. Only about 3,000 survived. (BBC News)
2016: France: The State Department has paid or approved 90 claims for a total of $11 million in reparations by France to former WWII prisoners who were carried to Nazi Death Camps in French trains—the first French reparations paid to Holocaust survivors in the U.S. ("U.S. Begins Paying Out Reparations from France to Holocaust Survivors and Their Heirs" by Katherine Shaver, Washington Post, September 15, 2016.)
7 February 2019:
Around three-quarters of a century after the Holocaust ended with the extermination of six million Jews, some survivors, as well as victims' families and estates, are receiving reparations from France, in acknowledgment of the government's role in deporting them to Nazi death camps via French trains. Forty-nine people who made it out of the Holocaust alive are receiving around $400,000 each, according to former Ambassador Stuart Eizenstat, the State Department's expert adviser on Holocaust-era issues, who helped negotiate the agreement. He said 32 spouses of deportees who died will get up to $100,000, depending on how long their spouse lived. Heirs and estates of deportees or their spouses are also getting paid. The money is the second and last round of payments from $60 million France provided following a 2014 agreement in exchange for recipients relinquishing the right to sue. In all, Eizenstat said around 900 people have been approved. "There were 867 claims and we approved 386," Eizenstat said. Some were denied because the claimants were French nationals or citizens, ineligible under this agreement. Others were too distantly related to Holocaust victims. The money is the final amount to be paid under the agreement; roughly half had already been paid to survivors and families in 2016.
(NPR)</t>
  </si>
  <si>
    <t>NOTE ON CONVERSION: The total compensation disbursed ($60 million) is reported as an accumulated figure as of 2019. We assume this figure represents the total value of all payments over the entire period. For comparison purposes, we treat it as a 2019 value and convert it to our year of interest (2024).</t>
  </si>
  <si>
    <t>SNFC, France, Unted States, US, railway, holocaust, WW2, reparations, holocaust, deportations, french, deportees, sncf, compensation, payments, deporting</t>
  </si>
  <si>
    <t>SNFC Pays Reparations to Moroccan Chibanis</t>
  </si>
  <si>
    <t>SNFC (French rail company)</t>
  </si>
  <si>
    <t>Moroccan " Chibanis" rail workers</t>
  </si>
  <si>
    <t>Morocco</t>
  </si>
  <si>
    <t>MAR</t>
  </si>
  <si>
    <t>About 2,000 Chibanis were recruited in the 1960s and '70s as rail workers, but as a public company, the SNCF could technically only hire French people. (This is still the case today, though it is extended to European citizens.) But because the foreigners were useful, the company found a way around the rule, by hiring them as contract workers, often recruiting them directly from Morocco. Antoine Math, a researcher with the French Institute for Economic and Social Research (Ires) and an activist for foreigners’ rights in France, explains that these contracts did not have the same conditions as full-time SNCF staff. “These people, who sometimes worked 30 or 40 years, have been left with bad conditions: flat careers with no promotions; exclusion from the possibility of advancement or training; very low wages. And now, very bad pensions,” he said.
(source: https://www.rfi.fr/en/africa/20150921-court-rules-french-rail-company-sncf-discriminated-against-morocan-rail-workers)</t>
  </si>
  <si>
    <t>RFI</t>
  </si>
  <si>
    <t>https://www.rfi.fr/en/africa/20150921-court-rules-french-rail-company-sncf-discriminated-against-morocan-rail-workers</t>
  </si>
  <si>
    <t>www.rfi.fr: http://web.archive.org/web/20230609205738/https://www.rfi.fr/en/africa/20150921-court-rules-french-rail-company-sncf-discriminated-against-morocan-rail-workers [09 June 2023]</t>
  </si>
  <si>
    <t>21 September 2015: The French rail company, the SNCF, has been found guilty of discrimination, and has been ordered to pay over 150 million euros in damages to over 800 Moroccan rail workers. This decision is a “financial and moral reparation” for decades of wrongdoing, a defence lawyer told RFI. The workers, referred to as Chibanis, were recruited in the 1960s and ‘70s as contract workers, which meant they did not have the same benefits as full employees. (RFI)</t>
  </si>
  <si>
    <t>snfc, sncf, pensions, wages, contracts, reparations, french, staff, reparation, workers</t>
  </si>
  <si>
    <t>France Pays Reparations to Algerians and Their Families</t>
  </si>
  <si>
    <t>Harkis (Algerians Muslims who fought with France)</t>
  </si>
  <si>
    <t>The French began an invasion of Algeria in 1830 that lasted more than seventy years, culminating in Algerian integration into the French Empire. French rule in Algeria denied basic human rights to Muslim Algerians, resulting in social and economic decline across the country.In 1954, the Front de Liberation Nationale, an Algerian nationalist guerilla army, launched a full-scale war against the French colonialist government; shortly thereafter, the National Algerian Movement (MNA) joined the conflict, fighting both against the FLN and the French government. The three sides carried out individual campaigns of terror against Algerian civilians, and by 1962, when the conflict ended, hundreds of thousands were dead. Estimates range between 300,000 dead (figure given by the FLN) to 350,000 (figure given by the French) to 1.5 million (figure given by the present Algerian government), as well as the forced relocation of an agreed-upon 2 million Algerians.
(source: Political Apologies and Reparations Archive)</t>
  </si>
  <si>
    <t>1-Jan-1830</t>
  </si>
  <si>
    <t>Reparations payments are still ongoing, but data are as of 2024.
The programme was expanded in in 2025 to include more people for compensation.</t>
  </si>
  <si>
    <t>Political Apologies and Reparations Archive (2004.0115.03 - Updated)</t>
  </si>
  <si>
    <t>https://www.theguardian.com/world/2023/may/16/france-to-compensate-thousands-more-relatives-of-algerian-harki-fighters,
https://www.lemonde.fr/en/politics/article/2022/09/21/delicate-question-of-compensation-for-harkis-and-their-children_5997767_5.html,
https://www.harkis.gouv.fr/actualites/bilan-cumulatif-des-reparations-de-juin-2022-mai-2024</t>
  </si>
  <si>
    <t>www.theguardian.com:
https://web.archive.org/web/20250903140647/https://www.theguardian.com/world/2023/may/16/france-to-compensate-thousands-more-relatives-of-algerian-harki-fighters [03 September 2025]
www.lemonde.fr: http://web.archive.org/web/20240913182441/https://www.lemonde.fr/en/politics/article/2022/09/21/delicate-question-of-compensation-for-harkis-and-their-children_5997767_5.html [13 September 2024]
www.harkis.gouv.fr:
https://web.archive.org/web/20250909110705/https://www.harkis.gouv.fr/actualites/bilan-cumulatif-des-reparations-de-juin-2022-mai-2024 [09 September 2024]</t>
  </si>
  <si>
    <t xml:space="preserve">21 September 2022: A year ago, the French president asked for forgiveness from the Harkis. Since then, a law has provided for compensation. But, out of the 21,273 files submitted, only 2,577 have been approved. (Le Monde)
16 May 2023: In February 2022, the French government recognised the country’s responsibility for “the indignity of the hosting and living conditions on its territory” and the “exclusion, suffering and lasting trauma” that ensued. It passed a law giving reparations to those who had lived in 89 internment camps of up to €3,000 (£2,600) for those held for a year and an extra €1,000 for every subsequent year. At the time, about 50,000 Harkis were expected to be eligible for reparations at a total cost of €310m. (The Guardian)
20 May 2024:
Of the approximately 37,741 files received and in progress by the ONaCVG services, 16,464 files, including 808 gracious appeals, were studied by the members of the Harkis Commission.
The cumulative amount of the repair decision, with the consideration of the appeals, is:
€117,513,000, as of May 16, 2024.
Cumulative balance sheet of repairs from June 2022 to May 2024 (source ONaCVG):
Persons compensated: 13,691.
(Translated from: The Harkis)
</t>
  </si>
  <si>
    <t>Update as 2025:
Since the programme was launched in 2022, France has paid nearly $188 million to over 27,000 people.
(source: https://www.newarab.com/news/algeria-weighs-french-embassy-land-seizure-after-new-harkis-law)</t>
  </si>
  <si>
    <t>algerians, algeria, algerian, france, nationale, civilians, reparations, french, terror, nationalist</t>
  </si>
  <si>
    <t>Reparations Commission in Gambia (Victims’ Reparations Act)</t>
  </si>
  <si>
    <t>Government of The Gambia</t>
  </si>
  <si>
    <t>GMB</t>
  </si>
  <si>
    <t>Victims of former president Yahya Jammeh's dictatorship</t>
  </si>
  <si>
    <t>The 22-year dictatorship of former President Yahya Jammeh severely weakened the state institutions and the security apparatus. The regime was characterized by harassment, torture, murder of political figures, journalists, activists, and students, and significant sexual and gender-based violence against women and children.
(source: https://www.un.org/peacebuilding/content/gambia-story)</t>
  </si>
  <si>
    <t>According to Google, it became operational in 2025.</t>
  </si>
  <si>
    <t>GMD</t>
  </si>
  <si>
    <t>Justice Info</t>
  </si>
  <si>
    <t>https://www.justiceinfo.net/en/145402-jammeh-stolen-money-could-be-used-for-reparation.html</t>
  </si>
  <si>
    <t>www.justiceinfo.net: http://web.archive.org/web/20250622080107/https://www.justiceinfo.net/en/145402-jammeh-stolen-money-could-be-used-for-reparation.html [22 June 2025]</t>
  </si>
  <si>
    <t>16 May 2025: In March, the Gambia justice minister Dawda Jallow told the national assembly that 20 million dalasis [around 278,000 USD] were allocated in the 2025 budget to start the reparation process and that proceeds of sales from former president Yahya Jammeh’s property in Potomac, Maryland, in the United States, will be “repatriated” directly into a victims’ fund. [...] In November 2023, the Gambia national assembly passed a Victims’ Reparations Act, to establish a victims’ fund and a reparations commission that will look into the victims identified by the TRRC. During its mandate,the Gambia government made an initial payment of the equivalent of 50 million dalasis [700,000 USD] in October 8, 2019, for reparations with the pledge to make a second payment of the same amount when the first one was spent – but this was never done until the truth commission completed its work. The Gambia’s truth commission identified 1,009 victims. Following their assessment on reparations, according to the TRRC, 198 of those victims received 50,000 dalasis or less, whilst 757 victims were paid more than 50,000 dalasis [the equivalent of 1,000 USD at the time], including the families of the 54 disappeared West African migrants whose compensations were to be paid by the Gambia government through their respective governments. (Justice Info)</t>
  </si>
  <si>
    <t>A payment of 50,000,000.00 was made in 2019 by the government (the payor), before the official pledge, but it was not disbursed to the beneficiaries.</t>
  </si>
  <si>
    <t>reparations, reparation, gambia, victims, repatriated, governments, compensations, proceeds, government, dictatorship</t>
  </si>
  <si>
    <t>Germany Pays War Reparations for World War II (Paris Conference on Reparations, 1945)</t>
  </si>
  <si>
    <t>Government of Germany</t>
  </si>
  <si>
    <t>Germany</t>
  </si>
  <si>
    <t>DEU</t>
  </si>
  <si>
    <t>Multiple countries (Allied Powers in World War II)</t>
  </si>
  <si>
    <t>The reparations question for the Allied was decided at the Paris Conference on Reparations (21 December 1945). There were some smaller reparations and damages awarded because the brutality and destruction of the Nazi regime was vast. The Final Act of the Conference divided reparations into two categories: monetary restitution (Category A) and asset forfeitures (Category B). The eighteen signatories divided the total among themselves, which was based on a compilation of claims from each country. The main recipients of German reparations were the US, UK, and France.
(source: Hinrichsen S. When Nations Can’t Default: A History of War Reparations and Sovereign Debt. Cambridge University Press; 2023; p. 139)</t>
  </si>
  <si>
    <t>Eugene White (1999):
After World War II, reparations payments were imposed on the Axis powers. Cohen (1968) surveyed the size and timing of payments. The Federal Republic of Germany paid US$ 5,277 million in reparations, indemnities and restitutions, of which US$ 839 million was paid to Israel.
Pablo De Greiff (2006):
On September 30, 1965, according to different estimations, Germany had paid more than DM18 billion (US$4.5 billion).
Hinrichsen (2023):
After Germany’s defeat in 1945, there was a legitimate claim for reparations from an unjust war, as specified in the Hague Convention of 1907. Reparations were therefore demanded and agreed as part of the settlement at the Potsdam Conference in August 1945. [Pag.133]
The reparations question for the Allied was decided at the Paris Conference on Reparations (21 December 1945). There were some smaller reparations and damages awarded because the brutality and destruction of the Nazi regime was vast. The Final Act of the Conference
divided reparations into two categories: monetary restitution (Category A) and asset forfeitures (Category B). [Paqg.139]
Actual German reparations came in the form of explicit payments (reparations) from 1953 to around 1965. All payments amounted to 5.2 billion US dollars, which was around 3 per cent of 1960 German output (Cohen 1967, pp. 282–88). [Pag. 140]
Recipients of reparations from Germany: Albania, US, Australia, Belgium, Canada, Denmark, Egypt, France, UK, Greece, India, Luxembourg, Norway, New Zealand, Netherlands, Czechoslovakia, South Africa, Yugoslavia. [Table 11.1, Pag. 140]</t>
  </si>
  <si>
    <t>NOTE ON CONVERSION: The total compensation disbursed (4.5 billion US dollars) is reported as an accumulated figure as of 1965. We assume this figure represents the total value of all payments over the entire period. For comparison purposes, we treat it as a 1965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</si>
  <si>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Luxembourg Agreements (The 1952 German-Israeli Reparations Agreement) - Payments to the State of Israel</t>
  </si>
  <si>
    <t>State of Israel</t>
  </si>
  <si>
    <t>Israel</t>
  </si>
  <si>
    <t>ISR</t>
  </si>
  <si>
    <t>The Reparations Agreement between Israel and the Federal Republic of Germany ("Luxembourg Agreement") was signed on September 10, 1952, and entered in force on March 27, 1953. According to the Agreement, West Germany was to pay Israel for the costs of "resettling so great a number of uprooted and destitute Jewish refugees" after the war, and to compensate individual Jews, via the Conference on Jewish Material Claims Against Germany, for losses in Jewish livelihood and property resulting from Nazi persecution.
(source: https://en.wikipedia.org/wiki/Reparations_Agreement_between_Israel_and_the_Federal_Republic_of_Germany)
Signed by West Germany and the Claims Conference (and Israel in parallel), the agreements led to legislation for indemnification for the material damages to Jewish individuals and to the Jewish people caused by Germany during the Holocaust. The agreement was the first of many secured by the Claims Conference in order to obtain a small measure of justice for Jewish victims of Nazi persecution globally.
(source: https://www.claimscon.org/about/history/)</t>
  </si>
  <si>
    <t>The agreement established a framework for payments that evolved over time and continues to influence ongoing compensation and restitution for Holocaust survivors, though the initial agreement's timeframe for payments was 12 years.</t>
  </si>
  <si>
    <t>Claims Conference</t>
  </si>
  <si>
    <t>The Handbook of Reparations / edited by Pablo De Greiff (2006)</t>
  </si>
  <si>
    <t>https://www.jta.org/archive/germany-makes-final-report-on-israel-reparations-of-861250000,
https://www.jta.org/archive/west-germany-signs-822-million-dollar-reparations-pacts-with-israel-govt-and-jewish-material-claims,
https://www.lawfaremedia.org/article/when-forgiveness-is-impossible-how-atonement-works-as-policy,
https://www.claimscon.org/about/</t>
  </si>
  <si>
    <t>www.jta.org:
https://web.archive.org/web/20240808224857/https://www.jta.org/archive/germany-makes-final-report-on-israel-reparations-of-861250000 [08 August 2024]
www.jta.org: http://web.archive.org/web/20241207192017/https://www.jta.org/archive/west-germany-signs-822-million-dollar-reparations-pacts-with-israel-govt-and-jewish-material-claims [07 December 2024]
www.lawfaremedia.org: http://web.archive.org/web/20250812121659/https://www.lawfaremedia.org/article/when-forgiveness-is-impossible-how-atonement-works-as-policy [12 August 2025]
www.claimscon.org: http://web.archive.org/web/20250908181629/https://www.claimscon.org/about/ [08 September 2025]</t>
  </si>
  <si>
    <t>Reparations in the United States: 
1952: Germany: $822 million to Holocaust survivors: German Jewish Settlement. ("West Germany Signs 822 Million Dollar Reparations Pacts with Israel Govt. and Jewish Material Claims," JTA Daily News Bulletin, September 11, 1952.)
30 March 1966:
The West German Government took formal notice today of the completion of the West German-Israel reparations agreement signed at Luxembourg, in 1952, with publication by the Ministry of Economics of a statement of the payments made to the State of Israel under that pact, and to former German nationals also resettled in Israel under various West German restitution and compensation laws. The Government statement signaled completion of the reparations payments of three billion marks ($750,000,000) it had undertaken in the Luxembourg agreement. The Ministry reported payments to Israel in goods and services of 3,450,000,000 marks ($861,250,000). These payments, it said, had permitted resettlement of about 500,000 Jewish refugees in Israel. (Jewish Telegraphic Agency)
11 September 1952: The Federal German Republic today signed restitution and indemnification agreements with the State of Israel and the Conference on Jewish Material Claims Against Germany, under which Germany will pay $822,000,000 in reparations over a 12-year period. The agreements signed today provide that Germany will pay the sum of three-billion deutschemarks ($715,000,000) to Israel and an additional four hundred and fifty million marks ($107,000,000) to Israel for the benefit of the Conference on Jewish Material Claims Against Germany. All payments are to be made in goods and payment is to begin with the coming into effect of the agreement on its ratification by the two states. The agreement specifies that 200 million marks will be paid by March 31, 1953 and another 200 million marks during the financial year 1953-54. From April 1, 1954, the annual installments will be increased to 310 million marks. Germany, however, is entitled to reduce these payments to 250 million marks annually if it considers this necessary. The agreement is to run from 12 to 14 years. (JTA Daily News Bulletin)
The Handbook of Reparations / edited by Pablo De Greiff (2006):
To find a solution to this last problem, the agreement was divided into different
parts. The first part dealt with the sum that Germany agreed to pay to Israel: DM3
billion (US$882 million) between 1953 and 1965. The agreement also foresaw two
protocols. Protocol number one addressed the legislative acts concerning individ-
ual compensation that had to be ratified, within the framework of a series of federal
laws examined in more detail below. Protocol number two detailed the payment of
a total amount of DM450 million (US$107 million) to the Claims Conference. [Pag. 339]
27 August 2023:
In 1952, West Germany and Israel signed the Reparations Agreement between Israel and the Federal Republic of Germany, which became known as the Luxembourg Agreement. Prior to its conclusion, West German Chancellor Konrad Adenauer gave an official apology for “unspeakable crimes” that called for “moral and material indemnity.” The agreement committed West Germany to paying the state of Israel 3 billion deutschmarks (around $714 million at the time, equivalent to more than $8 billion today) over 14 years. The Luxembourg Agreement’s combination of an official apology and material compensation remains unique to this day. (Lawfare Media)
The Claims Conference:
The Conference on Jewish Material Claims Against Germany (Claims Conference), a nonprofit organization with offices in New York, Israel and Germany, secures material compensation for Holocaust survivors around the world. Founded in 1951 by representatives of 23 major international Jewish organizations, the Claims Conference negotiates for and disburses funds to individuals and organizations and seeks the return of Jewish property stolen during the Holocaust. As a result of negotiations with the Claims Conference since 1952, the German government has paid approximately $95 billion in indemnification to individuals for suffering and losses resulting from persecution by the Nazis.</t>
  </si>
  <si>
    <t>NOTE ON CONVERSION: The total compensation disbursed ($861,250,000) is reported as an accumulated figure as of 1966. We assume this figure represents the total value of all payments over the entire period. For comparison purposes, we treat it as a 1966 value and convert it to our year of interest (2024).
More on the Claims Conference for context:
Founded in 1951 by representatives of 23 major international Jewish organizations, the Claims Conference negotiates for and disburses funds to individuals and organizations and seeks the return of Jewish property stolen during the Holocaust. As a result of negotiations with the Claims Conference since 1952, the German government has paid approximately $95 billion in indemnification to individuals for suffering and losses resulting from persecution by the Nazis.
The agreement established a framework for payments that evolved over time and continues to influence ongoing compensation and restitution for Holocaust survivors.
The Luxembourg Agreements, concluded in 1952, created the basis for all subsequent compensations for Nazi persecution.
More information on timeline and payments here: https://grokipedia.com/page/Reparations_Agreement_between_Israel_and_the_Federal_Republic_of_Germany
and here:
https://he.claimscon.org/wp-content/uploads/2022/04/70th-anniversary-web-copy.pdf</t>
  </si>
  <si>
    <t>reparations_agreement_between_israel_and_the_federal_republic_of_germany, reparations, holocaust, agreements, jews, israel, luxembourg, jewish, compensation, settlement</t>
  </si>
  <si>
    <t>Luxembourg Agreements (The 1952 German-Israeli Reparations Agreement) - Payments to Holocaust Survivors (via the Claims Conference)</t>
  </si>
  <si>
    <t>Individual jews / Holocaust survivors via the Conference on Jewish Material Claims Against Germany (Claims Conference)</t>
  </si>
  <si>
    <t>State of Israel and Claims Conference</t>
  </si>
  <si>
    <t>https://www.jta.org/archive/west-germany-signs-822-million-dollar-reparations-pacts-with-israel-govt-and-jewish-material-claims,
https://www.lawfaremedia.org/article/when-forgiveness-is-impossible-how-atonement-works-as-policy,
https://www.claimscon.org/about/,
https://he.claimscon.org/wp-content/uploads/2022/04/70th-anniversary-web-copy.pdf</t>
  </si>
  <si>
    <t>www.jta.org: http://web.archive.org/web/20241207192017/https://www.jta.org/archive/west-germany-signs-822-million-dollar-reparations-pacts-with-israel-govt-and-jewish-material-claims [07 December 2024]
www.lawfaremedia.org: http://web.archive.org/web/20250812121659/https://www.lawfaremedia.org/article/when-forgiveness-is-impossible-how-atonement-works-as-policy [12 August 2025]
www.claimscon.org: http://web.archive.org/web/20250908181629/https://www.claimscon.org/about/ [08 September 2025]
he.claimscon.org:
https://web.archive.org/web/20250818140315/https://he.claimscon.org/wp-content/uploads/2022/04/70th-anniversary-web-copy.pdf [18 August 2025]</t>
  </si>
  <si>
    <t>Reparations in the United States: 
1952: Germany: $822 million to Holocaust survivors: German Jewish Settlement. ("West Germany Signs 822 Million Dollar Reparations Pacts with Israel Govt. and Jewish Material Claims," JTA Daily News Bulletin, September 11, 1952.)
11 September 1952: The Federal German Republic today signed restitution and indemnification agreements with the State of Israel and the Conference on Jewish Material Claims Against Germany, under which Germany will pay $822,000,000 in reparations over a 12-year period.
The agreements signed today provide that Germany will pay the sum of three-billion deutschemarks ($715,000,000) to Israel and an additional four hundred and fifty million marks ($107,000,000) to Israel for the benefit of the Conference on Jewish Material Claims Against Germany. All payments are to be made in goods and payment is to begin with the coming into effect of the agreement on its ratification by the two states. The agreement specifies that 200 million marks will be paid by March 31, 1953 and another 200 million marks during the financial year 1953-54. From April 1, 1954, the annual installments will be increased to 310 million marks. Germany, however, is entitled to reduce these payments to 250 million marks annually if it considers this necessary. The agreement is to run from 12 to 14 years. (JTA Daily News Bulletin)
The Handbook of Reparations / edited by Pablo De Greiff (2006):
To find a solution to this last problem, the agreement was divided into different
parts. The first part dealt with the sum that Germany agreed to pay to Israel: DM3
billion (US$882 million) between 1953 and 1965. The agreement also foresaw two
protocols. Protocol number one addressed the legislative acts concerning individ-
ual compensation that had to be ratified, within the framework of a series of federal
laws examined in more detail below. Protocol number two detailed the payment of
a total amount of DM450 million (US$107 million) to the Claims Conference. [Pag. 339]
The Claims Conference (2022):
Protocol II obliges West Germany to provide the Claims Conference with DM 450 million over a 12-year period for the relief, rehabilitation and resettlement of Jewish victims of the Nazis, according to the urgency of need as determined by the Claims Conference. The Claims Conference is recognized as the contractual partner of the FRG and the legitimate negotiator and representative of world Jewry. The Claims Conference had previously signed an agreement with the State of Israel stipulating that the DM 450 million pledged to the Claims Conference by Germany would be paid via Israel. Post-war Germany lacked the hard currency to make its Holocaust compensation payments, so it provided Israel with goods and services equal to
DM 3.45 billion. Israel converted some of the goods and services into money, out of which it then paid the Claims Conference the equivalent of DM 450 million.
[...] 1965: The Claims Conference concludes allocations of the DM 450 million it received from Germany.
27 August 2023:
In 1952, West Germany and Israel signed the Reparations Agreement between Israel and the Federal Republic of Germany, which became known as the Luxembourg Agreement. Prior to its conclusion, West German Chancellor Konrad Adenauer gave an official apology for “unspeakable crimes” that called for “moral and material indemnity.” The agreement committed West Germany to paying the state of Israel 3 billion deutschmarks (around $714 million at the time, equivalent to more than $8 billion today) over 14 years. The Luxembourg Agreement’s combination of an official apology and material compensation remains unique to this day. (Lawfare Media)
The Claims Conference:
The Conference on Jewish Material Claims Against Germany (Claims Conference), a nonprofit organization with offices in New York, Israel and Germany, secures material compensation for Holocaust survivors around the world. Founded in 1951 by representatives of 23 major international Jewish organizations, the Claims Conference negotiates for and disburses funds to individuals and organizations and seeks the return of Jewish property stolen during the Holocaust. As a result of negotiations with the Claims Conference since 1952, the German government has paid approximately $95 billion in indemnification to individuals for suffering and losses resulting from persecution by the Nazis.</t>
  </si>
  <si>
    <t>NOTE ON CONVERSION: The total compensation disbursed ($107,000,000) is reported as an accumulated figure as of 1965. We assume this figure represents the total value of all payments over the entire period. For comparison purposes, we treat it as a 1965 value and convert it to our year of interest (2024).
More on the Claims Conference for context:
Founded in 1951 by representatives of 23 major international Jewish organizations, the Claims Conference negotiates for and disburses funds to individuals and organizations and seeks the return of Jewish property stolen during the Holocaust. As a result of negotiations with the Claims Conference since 1952, the German government has paid approximately $95 billion in indemnification to individuals for suffering and losses resulting from persecution by the Nazis.
The agreement established a framework for payments that evolved over time and continues to influence ongoing compensation and restitution for Holocaust survivors.
The Luxembourg Agreements, concluded in 1952, created the basis for all subsequent compensations for Nazi persecution.
While these original payments were completed, ongoing compensation to individual survivors and descendants continues through German domestic compensation programs beyond the original treaty period — but those are technically separate from the 1952 state commitment.
More information on timeline and payments here: https://grokipedia.com/page/Reparations_Agreement_between_Israel_and_the_Federal_Republic_of_Germany
and here:
https://he.claimscon.org/wp-content/uploads/2022/04/70th-anniversary-web-copy.pdf</t>
  </si>
  <si>
    <t>The Grünenthal Foundation</t>
  </si>
  <si>
    <t>Grunenthal Group and German Government</t>
  </si>
  <si>
    <t>Thalidomide-affected People</t>
  </si>
  <si>
    <t>The German pharmaceutical company Grunenthal developed Thalidomide as a way to battle morning sickness for pregnant women in the 1950s. Thalidomide, or Thalomid asit was marketed, began use despite the fact that many governments did not approve of the drug. This drug immediately caused devastating birth defects in children whose mother took Thalidomide. Children affected were born with birth defects, such as shortened or missing limbs, immense vision and hearing problems, heart issues, and brain damage, which hindered them for the remainder of their lives.
(source: Political Apologies and Reparations Archive)</t>
  </si>
  <si>
    <t>In 1970, Grünenthal paid 100 million German marks ($50 million) and the German government paid an additional 100 million into a foundation to support thalidomide victims. Grünenthal made a one-time payment of another €50 million in 2009.</t>
  </si>
  <si>
    <t>Political Apologies and Reparations Archive (2012.0056.03 - Updated)</t>
  </si>
  <si>
    <t>https://www.grunenthal.com/en/responsibility/thalidomide,
https://www.dw.com/en/thalidomide-babies-birth-defects-caused-by-a-harmless-pill-60-years-ago/a-59952155</t>
  </si>
  <si>
    <t>www.grunenthal.com: http://web.archive.org/web/20250814075042/https://www.grunenthal.com/en/responsibility/thalidomide [14 August 2025]
www.dw.com
https://web.archive.org/web/20250810154207/https://www.dw.com/en/thalidomide-babies-birth-defects-caused-by-a-harmless-pill-60-years-ago/a-59952155 [10 Augiust 2025]</t>
  </si>
  <si>
    <t>The Grünenthal Foundation:
In 1972, the Contergan Foundation for Disabled People (Contergan Foundation) was established as a federal German foundation under public law. Since then, it has provided Thalidomide survivors in 38 countries with financial assistance including monthly pensions and individual payments. The Foundation is overseen by the Federal Ministry for Family Affairs, Senior Citizens, Women and Youth and acts independently from Grünenthal. To establish the Contergan Foundation, Grünenthal and the federal government each contributed 50 million euros (100 million German Marks at that time). In 2009, Grünenthal voluntarily paid an additional 50 million euros into the Contergan Foundation. 
27 November 2021:
Grünenthal paid 100 million German marks ($50 million) and the German government paid an additional 100 million into a foundation to support thalidomide victims. The terms of the foundation meant that victims lost the right to file lawsuits against Grünenthal. But by 1997, the money had all been spent. The German government has so far spent about €1.8 billion ($2.04 billion) on compensation so far, the Thalidomide Foundation told DW. Grünenthal made a one-time payment of another €50 million in 2009. According to the Thalidomide Foundation, there are still more than 2,200 affected people living in Germany who receive pensions and special annual payments. Payments are also made to more than 280 affected persons in 42 countries around the world: from Egypt and Australia to Belgium, Brazil, Ireland, Mexico, Syria, Thailand, and the United States. (DW)</t>
  </si>
  <si>
    <t>NOTE ON CONVERSION: The total compensation disbursed ($2.04 billion) is reported as an accumulated figure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Amount Pledged is: 100 million euros (or 200 millions DM).</t>
  </si>
  <si>
    <t>thalidomide, grünenthal, grunenthal, thalomid, pharmaceutical, foundation, pensions, disabled, federal, contergan</t>
  </si>
  <si>
    <t>Article 2 Fund (Administered by the Claims Conference)</t>
  </si>
  <si>
    <t>Article 2 Qualifiers (among Holocaust survivors)</t>
  </si>
  <si>
    <t>The Claims Conference secured the Article 2 Fund agreement in 1992, to ensure that unified Germany would pay monthly pensions to Holocaust survivors who were in camps, ghettos and hiding.
(source: https://www.claimscon.org/about/history/)</t>
  </si>
  <si>
    <t>Political Apologies and Reparations Archive (2006.0077.01)</t>
  </si>
  <si>
    <t>https://www.claimscon.org/our-work/compensation/background/article2-article2/article2-history/</t>
  </si>
  <si>
    <t>www.claimscon.org: http://web.archive.org/web/20250316071845/https://www.claimscon.org/our-work/compensation/background/article2-article2/article2-history/ [16 March 2025]</t>
  </si>
  <si>
    <t>Claims Conference:
The Claims Conference has approved over 100,000 Holocaust survivors for payment from this fund and has paid a total of approximately $4.9 billion.</t>
  </si>
  <si>
    <t>The reported payment amount does not specify the year to which the figure refers; however, since the Claims Conference website is regularly updated, we assume it reflects values as of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</si>
  <si>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Nazi, Germany, Hitler, Jews, anti-Semitism, fascism, Holocaust, Adenauer, Brandt, Romania, Holocaust denial, Ceausescu, Iliescu, Antonescuholocaust, reparations, funds, jews, fund, adolf, nazi, victims, article, claims</t>
  </si>
  <si>
    <t>Central and Eastern European Fund (Administered by the Claims Conference)</t>
  </si>
  <si>
    <t>Holocaust survivors in Central and Eastern Europe and the former Soviet Union</t>
  </si>
  <si>
    <t>In 1998, the Claims Conference secured the establishment of a parallel fund for Holocaust survivors living in former communist countries of Eastern Europe and the former Soviet Union, The Central and Eastern European Fund. 
(source: https://www.claimscon.org/about/history/)</t>
  </si>
  <si>
    <t>Political Apologies and Reparations Archive (2006.0078.01)</t>
  </si>
  <si>
    <t>https://www.claimscon.org/our-work/compensation/background/ceef/history/</t>
  </si>
  <si>
    <t>www.claimscon.org: http://web.archive.org/web/20241218093957/https://www.claimscon.org/our-work/compensation/background/ceef/history/ [18 December 2024]</t>
  </si>
  <si>
    <t>Claims Conference:
The Claims Conference has approved over 33,000 Holocaust survivors for payment from this fund and has paid a total of approximately $948 million.</t>
  </si>
  <si>
    <t>Nazi,Germany, Hitler, Jews, anti-Semitism, fascism, Holocaust, Adenauer, Brandt, Romania, Holocaust denial, Ceausescu, Iliescu, Antonescu</t>
  </si>
  <si>
    <t>Remembrance, Responsibility and Future Foundation (EVZ Foundation) (Administered by the Claims Conference)</t>
  </si>
  <si>
    <t>German Government, German Industries, and Private Donors</t>
  </si>
  <si>
    <t>Victims of the exploitation of forced labor during World War II</t>
  </si>
  <si>
    <t>During World War II, the German Reich and German companies exploited massive numbers of slave and forced labourers and deprived individuals of their private property, with victims mainly but not exclusively coming from Eastern European countries. In the late 1990s a wave of class action lawsuits were filed in US courts against the Government of Germany and German
companies to obtain financial compensation for former slave and forced labourers and certain other victims of National Socialist (Nazi) injustice. As a result, the German Parliament passed the German Foundation Act establishing the German Foundation “Remembrance, Responsibility and
Future”, whose main purpose was to establish a compensation programme for slave and forced labourers of the National Socialist regime. The Foundation was capitalized by the Federal Republic of Germany and by German companies with DM 10 billion (€5.1 billion).
(source: https://www.iom.int/sites/g/files/tmzbdl2616/files/2018-07/German-Forced-Labour-Compensation-Programme-GFLCP_0.pdf)
Between 1933 and 1945, an estimated 6 million Jews and other Europeans were murdered by officials of Adolf Hitler's Nazi government in Germany, and millions more were displaced or forced to work as slave labourers in German factories owned by companies such as IBM and Siemens.
(source: Political Apologies and Reparations Archive, 2006.0041.01)
On December 19, 1999, the German government and participating German corporations agreed to contribute 10 billion marks (valued at $5.2 billion US) into a fund called “Remembrance, Responsibility and Future” to compensate slave labourers exploited during the Second World War in Germany.  Roughly half of the funds came from the German government, while the other half came from private companies, since both private companies and the German government benefited from slave labour during the war.   
(source: Political Apologies and Reparations Archive, 2010.0011.01)</t>
  </si>
  <si>
    <t>Forced labor and slavery</t>
  </si>
  <si>
    <t>The program ended in 2007.</t>
  </si>
  <si>
    <t>The EVZ Foundation</t>
  </si>
  <si>
    <t>http://news.bbc.co.uk/2/hi/europe/565116.stm,
http://www.stiftung-evz.de/eng/about-us/foundation_law/,
https://www.stiftung-evz.de/en/who-we-are/history/law/,
https://www.stiftung-evz.de/en/who-we-are/history/founding-history/,
https://www.stiftung-evz.de/assets/4_Service/Infothek/Publikationen/EVZ_Monografien_Sammelbände_The_German_Compensation_Program_for_Forced_Labor.pdf,
https://en.wikipedia.org/wiki/Foundation_Remembrance,_Responsibility_and_Future</t>
  </si>
  <si>
    <t>news.bbc.co.uk:
https://web.archive.org/web/20251002150250/http://news.bbc.co.uk/2/hi/europe/565116.stm [02 October 2025]
www.stiftung-evz.de: http://web.archive.org/web/20121126163350/http://www.stiftung-evz.de:80/eng/about-us/foundation_law/ [26 November 2012]
www.stiftung-evz.de: http://web.archive.org/web/20250429155935/https://www.stiftung-evz.de/en/who-we-are/history/law/ [29 April 2025]
www.stiftung-evz.de: http://web.archive.org/web/20250811210707/https://www.stiftung-evz.de/en/who-we-are/history/founding-history/ [11 August 2025]
www.stiftung-evz.de: http://web.archive.org/web/20250915133130/https://www.stiftung-evz.de/assets/4_Service/Infothek/Publikationen/EVZ_Monografien_Sammelb%C3%A4nde_The_German_Compensation_Program_for_Forced_Labor.pdf [15 September 2025]
en.wikipedia.org:
https://web.archive.org/web/20250919010605/https://en.wikipedia.org/wiki/Foundation_Remembrance,_Responsibility_and_Future [19 September 2025]</t>
  </si>
  <si>
    <t>Political Apologies and Reparations Archive (2006.0041.01):
US and German negotiators have agreed on a compensation fund worth $5.2 billion (USD) for Nazi slave labourers.
Political Apologies and Reparations Archive (2010.0011.01):
On December 19, 1999, the German government and participating German corporations agreed to contribute 10 billion marks (valued at $5.2 billion US) into a fund called Remembrance, Responsibility and Future to compensate slave labourers exploited during the Second World War in Germany. Roughly half of the funds came from the German government, while the other half came from private companies, since both private companies and the German government benefited from slave labour during the war.
The Transitional Justice Database:
The Remembrance, Responsibility and Future Foundation is created, jointly with Germany industry, with the purpose of making financial compensation available to those who were victims of the exploitation of forced labor during World War II. Between 2001 and 2007 a total of EUR 4.4 billion was paid out to more than 1.66 million people in almost 100 countries. Beginning in 2008, the Foundation becomes a permanent foundation for providing grants.
14 December 1999: US and German negotiators have agreed on a compensation fund worth DM10bn ($5.2bn) for Nazi slave labourers. The breakthrough in the lengthy negotiations came after the German Government agreed to raise its offer, adding to the DM5bn ($2.6bn) already pledged by industry to compensate those forced to work as slaves under Hitler's regime. (BBC News)
The EVZ Foundation:
On August 2, 2000, with the support of all political groups in the German Bundestag, the Law on the Creation of a Foundation Remembrance, Responsibility and Future was passed. It marks a moral and legal turning point: The law provided for individual humanitarian payments to be made to former forced labourers and other victims of National Socialism. The Foundation capital amounting to DM 10.1 billion (EUR 5.2 billion) was provided by the foundation initiative of the German industry and the Federal Government in equal amounts. The amounts paid out by the EVZ Foundation went to recipients in 98 countries around the world. The payments were made in cooperation with seven international partner organizations that processed the applications. By 2006, a total of EUR 4.4 billion had been paid out to more than 1.66 million former forced labourers, and around EUR 270 million to other victim groups.</t>
  </si>
  <si>
    <t>NOTE ON CONVERSION: The total compensation disbursed (EUR 4.4 billion) is reported as an accumulated figure as of 2007. We assume this figure represents the total value of all payments over the entire period. For comparison purposes, we treat it as a 2007 value and convert it to our year of interest (2024).</t>
  </si>
  <si>
    <t>WWII, WW2, World War II, World War 2, Second World War, Nazi Germany, Germany, Nazi, Hitler, IBM, Siemens, slave labour, slave labor, slave labourers, slave laborers, slaves, slavery, forced labour, forced labor, forced labourers, forced laborers, reparations, remembrance, nazi, compensation, labourers, jews, adolf, hitler, humanitarian, labour</t>
  </si>
  <si>
    <t>Fund for Victims of Medical Experiments and Other Injuries (Part of the EVZ Foundation and Administered by the Claims Conference)</t>
  </si>
  <si>
    <t>Victims of medical experiments during World War II</t>
  </si>
  <si>
    <t>During World War II, many German doctors conducted experiments on concentration camp prisoners without their consent. The United States Holocaust Memorial Museum describes three types of experiments: first, those to help Axis military personnel survive (e.g., aviation experiments with high altitudes and low-pressure chambers); second, pharmaceuticaland treatment experiments to help Germany military and occupation personnel survive (e.g., immunizations for malaria, typhus, tuberculosis, etc.); and third, experiments to advance Nazi theories about race (e.g. to determine which races withstood certain diseases). Many German doctors also helped with the Nazis' forced sterilization and euthanasia programs formentally ill persons and others deemed 'unworthy of life.' 
(source: Political Apologies and Reparations Archive)</t>
  </si>
  <si>
    <t>Political Apologies and Reparations Archive (2012.0034.01 - Updated)</t>
  </si>
  <si>
    <t>https://www.claimscon.org/about/history/closed-programs/medical-experiments/</t>
  </si>
  <si>
    <t>www.claimscon.org: http://web.archive.org/web/20250105023416/https://www.claimscon.org/about/history/closed-programs/medical-experiments/ [05 January 2025]</t>
  </si>
  <si>
    <t>1 January 2007:
In 2005, the Claims Conference concluded payments from the Fund for Victims of Medical Experiments and Other Injuries. The Fund was part of the German Foundation “Remembrance, Responsibility and the Future” and was administered by the Claims Conference for Jewish claimants (aside from those in the Czech Republic, Poland, and the former Soviet Union). In 2004, the Claims Conference had paid 2,488 Jewish victims of Nazi medical experiments each €4,243 (approximately $5,400), for a total of approximately €10.6 million (approximately $13 million). In early 2005, second payments of €2,450 (approximately $3,200) were made to 2,432 survivors, for a total of €6 million (approximately $7.7 million). The Claims Conference also approved 123 heirs of victims for payment under this program. (Claims Conference)</t>
  </si>
  <si>
    <t>NOTE ON CONVERSION: The total compensation disbursed (€16.6 million) is reported as an accumulated figure as of 2005. We assume this figure represents the total value of all payments over the entire period. For comparison purposes, we treat it as a 2005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</si>
  <si>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World War 2, World War II, WW2, WWII, experiments, Nazi experiments, medical experiments, Nazi medical experiments, German doctors, concentration camp experiments, Nazi race theories, holocaust, nazis, experiments, nazi, immunizations, experimentsto, victims, treatment, euthanasia, remembrance</t>
  </si>
  <si>
    <t>Ghetto Labour Compensation Fund (BADV)</t>
  </si>
  <si>
    <t>Holocaust victims who carried out work “without force” during their internment in a Nazi-era ghetto</t>
  </si>
  <si>
    <t>In 2007 the German government established a compensation fund to recognize Holocaust victims who carried out work “without force” during their internment in a Nazi-era ghetto. The fund’s one-time payment of €2,000 was created to acknowledge ghetto survivors who had otherwise been rejected for German Social Security payments (known as the Ghetto Pension under the ZRBG law) and it came as a response to intense international pressure spearheaded by the Claims Conference.
(source: https://www.claimscon.org/our-work/compensation/germany-payments/ghetto-fund/)</t>
  </si>
  <si>
    <t>https://www.dw.com/en/berlin-to-compensate-former-ghetto-workers/a-2789930,
https://guides.dss.gov.au/social-security-guide/4/3/6/30,
https://www.claimscon.org/our-work/compensation/germany-payments/ghetto-fund/</t>
  </si>
  <si>
    <t>www.dw.com: http://web.archive.org/web/20220812203802/https://www.dw.com/en/berlin-to-compensate-former-ghetto-workers/a-2789930 [12 August 2022]
guides.dss.gov.au: http://web.archive.org/web/20250613123120/https://guides.dss.gov.au/social-security-guide/4/3/6/30 [13 June 2025]
www.claimscon.org: http://web.archive.org/web/20250316070723/https://www.claimscon.org/our-work/compensation/germany-payments/ghetto-fund/ [16 March 2025]</t>
  </si>
  <si>
    <t>The Transitional Justice Data Base:
The German government announced it would pay compensation to some 50,000 workers in Nazi Germany's Jewish ghettos who previously failed to qualify for payouts from a fund for former slave laborers.
20 September 2007:
Government spokesman Ulrich Wilhelm said on Wednesday, Sept 19, that Chancellor Angela Merkel's cabinet had approved a Finance Ministry plan to award one-off payments of 2,000 euros ($2,789) to those who have not yet received compensation from the Holocaust Memorial Fund. [...] "The payment agreed today is not compensation for being interned in ghettos ... it is a humanitarian gesture," Wilhelm told reporters in Berlin, stressing that it was aimed at people who did not receive compensation from a separate settlement created in 2000 that had paid out a total of 4.4 billion euros to survivors of the Nazis' forced labor programs. (DW)
Claims Conference:
The German Government announced on 19 September 2007 the establishment of a new fund to pay symbolic compensation for 'voluntary' work in Holocaust-era ghettos.
The fund will issue one-time payments of 2,000 Euro to Holocaust survivors who performed voluntary work in ghettos subject to criteria of the German Government</t>
  </si>
  <si>
    <t>The Total Amount Pledged was estimated by multiplying the estimated number of people eligible for compensation (50,000), times the amount of one-off payment agreed on (2,000 euros).</t>
  </si>
  <si>
    <t>holocaust, compensation, merkel, payments, humanitarian, payouts, pay, victims, nazi, nazis</t>
  </si>
  <si>
    <t>Compensation to Families of the Victims of Neo-Nazi Killings</t>
  </si>
  <si>
    <t>Families of victims of Neo-Nazi Killings (mainly Turks)</t>
  </si>
  <si>
    <t>A neo-Nazi terrorist cell murdered eight Turkish men, a Greek man, and a German police woman between 2000 and 2007. Germany police had pursued suspicions of foreign crime circles or family disputes, often suspecting the victims' families of complicity. Authorities now acknowledge that the investigation was mishandled.
(source: Political Apologies and Reparations Archive)</t>
  </si>
  <si>
    <t>Political Apologies and Reparations Archive (2012.0010.01)</t>
  </si>
  <si>
    <t>http://www.nytimes.com/2012/02/24/world/europe/merkel-apologizes-for-police-handling-of-neo-nazi-killings.html</t>
  </si>
  <si>
    <t>www.nytimes.com: http://web.archive.org/web/20220929150539/https://www.nytimes.com/2012/02/24/world/europe/merkel-apologizes-for-police-handling-of-neo-nazi-killings.html [29 September 2022]</t>
  </si>
  <si>
    <t>Political Apologies and Reparations Archive:
Apologizing at a memorial in Germany, Chancellor Angela Merkel said: Most of you were abandoned in yourtime of need ... Some relatives were themselves for years suspected of wrongdoing. That is particularly oppressive. For this, I ask for your forgiveness. That is particularly oppressive.  For this, I ask for your forgiveness.”  The German government has also offered 10,000 euros or approximately $13,000 U.S. dollars in compensation to the family of each victim. 
23 February 2012: 
The German government has offered each family compensation of at least 10,000 euros, or about $13,000, using a fund to pay victims of neo-Nazi attacks. Ismail Yozgat, whose son, Halit, was killed in 2006, rejected the offer, asking that the street where his son last lived be renamed in his memory and “that the murderers will all be caught, that every supporter and helper be brought before a court of law.” (The New York Times)</t>
  </si>
  <si>
    <t>reparations, nazi, victims, compensation, forgiveness, merkel, german, murderers, euros, killings, döner murders, neo-Nazi terrorist cell, murder investigation, Merkel</t>
  </si>
  <si>
    <t>Compensation to Gay Men Convincted in Germany Under Paragraph 175</t>
  </si>
  <si>
    <t xml:space="preserve">Gay Men Convicted under Paragraph 175 </t>
  </si>
  <si>
    <t>Between 1933 and 1945, an estimated six million Jews were murdered by officials of Adolf Hitler's Nazi government in Germany, and millions more were displaced; between three and five million Poles, Roma, Sinti, and others were also killed. Among the other victims of the Holocaust were gays and lesbians living in German-occupied territory. Prior to the rise to power in Germany of Adolf Hitler and the Nazi party, homosexuals in Germany enjoyed a greater degree of acceptance and freedom than anywhere else in Europe. With the Nazi rise to power in 1933, however, this changed and homosexuals, particularly gay men, became a target of repression. Nazi ideology posited homosexuality as a threat to civilization and the aim of Hitler's government was to remove the threat completely. As part of the repression organizations advocating homosexual rights were banned, scholarly works concerning homosexuality were burned, and homosexuality became a criminal act. People, particularly men, suspected of homosexuality were arrested and tried. It is estimated that upwards of 100,000 arrests were made and approximately 50,000 men were convicted. Of those convicted somewhere between 5,000 and 15,000 were sent to concentration camps, where an unascertained number died. In the years following the Second World War, as memorials to victims of the Holocaust were erected, nothing was done concerning the persecution of homosexuals. In 2005 the German Government apologized to homosexuals for the persecution.
(source: Political Apologies and Reparations Archive)
Paragraph 175 was first enacted following the unification of Germany under King Wilhelm I in 1871, but the Third Reich became the law’s strictest enforcer when Adolf Hitler took power in 1933. The criminal code condemned the “unnatural sex act committed between persons of male sex” and deemed homosexuality as abhorrent as bestiality. Both sex between men and sex with animals were “punishable by imprisonment” and “the loss of civil rights,” the statute said.
(source: https://www.them.us/story/germany-compensates-lgbtq-people-persecuted-under-nazi-era-anti-gay-law)</t>
  </si>
  <si>
    <t>Political Apologies and Reparations Archive (2004.0097.01 - Updated)</t>
  </si>
  <si>
    <t>https://www.bbc.com/news/world-europe-39350105,
https://www.bbc.com/news/world-europe-40380064,
https://www.them.us/story/germany-compensates-lgbtq-people-persecuted-under-nazi-era-anti-gay-law,
https://www.independent.co.uk/news/world/europe/germany-nazi-homosexuality-law-compensation-b1919795.html</t>
  </si>
  <si>
    <t>www.bbc.com: http://web.archive.org/web/20250401001413/https://www.bbc.com/news/world-europe-39350105 [01 April 2025]
www.bbc.com: http://web.archive.org/web/20250601163302/https://www.bbc.com/news/world-europe-40380064 [01 June 2025]
www.them.us:
https://web.archive.org/web/20230603021710/https://www.them.us/story/germany-compensates-lgbtq-people-persecuted-under-nazi-era-anti-gay-law [03 June 2023]
www.independent.co.uk: http://web.archive.org/web/20240416151528/https://www.independent.co.uk/news/world/europe/germany-nazi-homosexuality-law-compensation-b1919795.html [16 April 2024]</t>
  </si>
  <si>
    <t>22 March 2017: After pressure from activists, Maas announced that his ministry would begin drafting a rehabilitation law in the middle of last year, and 30 million euros were earmarked for victims' compensation in late 2016. (dw.com)
22 March 2017: The cabinet decided on Wednesday to back a bill annulling the sentences and handing compensation to all those affected. If the law is passed, every man convicted who is still alive will receive a €3,000 (£2,600; $3,240) lump sum plus a further €1,500 for each year spent in jail. Only 5,000 men are thought to be eligible for compensation as most have since died. (BBC News)
23 June 2017: Germany's parliament has voted to quash the convictions of tens of thousands of gay men criminalised under notorious historical anti-homosexual laws. An estimated 5,000 surviving victims will receive €3,000 (£2,630; $3,350) in compensation along with €1,500 per year spent in jail. (BBC News)
14 September 2021: Almost 250 people have been compensated by German authorities for investigations or prosecutions under a Nazi-era law that criminalised homosexuality and continued to be enforced after the Second World War. Germany’s Federal Office of Justice said on Monday (13 September) that 317 people had applied for compensation and it had paid out compensation in 249 cases, by the end of August. So far, €860,000 (just over £732,000) has been paid out to claimants. Currently, 14 applications are still being processed, whilst 18 were rejected, and 36 withdrawn, the office said. (Independent)
15 September 2021: Germany announced this week that it had provided compensation to nearly 250 people who faced persecution under a Nazi-era law that criminalized homosexuality between men. The Office of Justice reported that 317 individuals have applied for compensation under a law offering payouts to victims of Paragraph 175, which criminalized sodomy until its full repeal 27 years ago. An estimated 249 people have been approved for remuneration totaling over 800,000 Euros (or more than $1 million), as the Associated Press reports. So far, 18 applications have been rejected, 36 have been withdrawn, and 14 are still being processed.
Payouts are made based on the level of pain and suffering caused, according to the AP. Victims are entitled to 3,000 Euros per conviction, 500 euros for each time they were investigated, 1,500 euros for every year they sat in custody awaiting trial, and 1,500 Euros per year of jail time served. There is also the possibility of receiving a payment of 1,500 Euros for other types of harm caused by the law, such as negative effects on health or employment. (them.us)</t>
  </si>
  <si>
    <t>NOTE ON CONVERSION: The total compensation disbursed ( €860,000) is reported as an accumulated figure as of 2021. We assume this figure represents the total value of all payments over the entire period. For comparison purposes, we treat it as a 2021 value and convert it to our year of interest (2024).</t>
  </si>
  <si>
    <t>Germany, Nazi, gays, gay, lesbians, lesbian, homosexual, Hitler, Holocaust, homosexuality, homosexuals, repression, adolf, reich, nazi, homosexual, persecution, hitler</t>
  </si>
  <si>
    <t>Germany Pays Compensation to Chile Commune Victims</t>
  </si>
  <si>
    <t>Victims of Colonia Dignidad, a notorious and abusive commune in southern Chile</t>
  </si>
  <si>
    <t>The Colonia Dignidad settlement was founded in the 1960s by Paul Schäfer, a lay preacher who was fleeing from sexual abuse accusations in Germany. It is sited some 350 kilometers (217 miles) from the Chilean capital, Santiago de Chile. Schäfer said he wanted to establish a colony where his followers could lead "an early Christian lifestyle in the Promised Land." However, instead, Schäfer ran the colony like a dictatorship. Schäfer oversaw torture, forced labor and sexual abuse of children from the founding of the colony in the 1960s up into the 1990s. During the Chilean military dictatorship, government opponents were also tortured and murdered.
(source: https://www.dw.com/en/colonia-dignidad-sect-victims-to-receive-compensation/a-48771755)</t>
  </si>
  <si>
    <t>https://www.bbc.com/news/world-latin-america-48318295,
https://www.rfi.fr/en/contenu/20190517-germany-pay-11000-each-chile-nazi-sect-victims</t>
  </si>
  <si>
    <t>18 May 2019: Germany will pay compensation of up to €10,000 (£8,700; $11,000) to victims of a notorious and abusive commune in southern Chile. Colonia Dignidad was founded by former Nazi soldier Paul Schäfer in 1961. The commune, which was located 350km (220 miles) south of Santiago, was run as a secretive cult and dozens of children were sexually abused there. Hundreds of German and Chilean survivors will now be eligible for compensation. The decision to pay the victims was made by a government commission in Berlin on Friday. A fund of €3.5m will be set aside to do so. (BBC News)
17 May 2019: Germany said Friday it would pay compensation of up to 10,000 euros ($11,000) each to victims of the former Nazi paedophile sect "Colonia Dignidad" in Chile. [...] Eligible for the payments will be some 240 German and Chilean survivors, including about 80 who now live in Germany, from a fund valued at an initial 3.5 million euros until 2024. Some will also receive pension-style payments. (RFI)</t>
  </si>
  <si>
    <t>chile, chilean, santiago, nazi, tortured, germany, victims, compensation, torture, commune</t>
  </si>
  <si>
    <t>Germany Pays Compensation to Romanian Holocaust Survivors</t>
  </si>
  <si>
    <t>Romanian Holocaust survivors living in Israel</t>
  </si>
  <si>
    <t>Romania</t>
  </si>
  <si>
    <t>ROU</t>
  </si>
  <si>
    <t>Some 8,000 Romanian Jewish Holocaust survivors living in Israel will officially be recognized by Germany and receive a monthly compensation of up to $225, the German government said. […] The survivors in question are Jews who lived in 20 cities around Romania, including Iași, Galați, Piatra Neamț, Constanța, Ștefănești and Bacău, and were either directly or indirectly impacted by Romanian dictator Ion Antonescu’s collaboration with the Nazi regime or by the Nazis themselves following Antonescu’s removal from power, Israel Hayom reported.
(source: https://www.timesofisrael.com/germany-to-compensate-8000-romanian-holocaust-survivors-living-in-israel/)</t>
  </si>
  <si>
    <t>The Times of Israel</t>
  </si>
  <si>
    <t>https://www.timesofisrael.com/germany-to-compensate-8000-romanian-holocaust-survivors-living-in-israel/</t>
  </si>
  <si>
    <t>www.timesofisrael.com: http://web.archive.org/web/20250809004515/https://www.timesofisrael.com/germany-to-compensate-8000-romanian-holocaust-survivors-living-in-israel/ [09 August 2025]</t>
  </si>
  <si>
    <t>21 July 2019: Some 8,000 Romanian Jewish Holocaust survivors living in Israel will officially be recognized by Germany and receive a monthly compensation of up to $225, the German government said. The statement Thursday by the German government also said the move will include retroactive payments to cover the last 20 years. Every survivor is set to receive a total of anywhere between $27,000 to $54,300 in addition to the monthly compensation. The move is expected to cost Germany about $420 million in reparations. (The Times of Israel)</t>
  </si>
  <si>
    <t>holocaust, reparations, romanian, compensation, jewish, israel, payments, germany, pays, survivors</t>
  </si>
  <si>
    <t>Volkswagen Pays Reparations to Brazilian Former Employees</t>
  </si>
  <si>
    <t>Volkswagen</t>
  </si>
  <si>
    <t>Former workers persecuted and tortured by the military regime (with the involvement of Volkswagen)</t>
  </si>
  <si>
    <t>During the military dictatorship in Brazil (1964-1985), Volkswagen denounced several trade unionists and communist militants who were then arrested and tortured by security agents. Following an out-of-court agreement between victims and the German car maker, the Brazilian Attorney General’s Office has ordered the payment reparations to victims.
(source: https://www.justiceinfo.net/en/45592-brazil-reparation-time-volkswagen.html)</t>
  </si>
  <si>
    <t>https://www.theguardian.com/world/2020/sep/24/volkswagen-brazil-ex-employees-persecuted-military-dictatorship-compensation,
https://www.bbc.com/news/world-latin-america-54280473,
https://www.justiceinfo.net/en/45592-brazil-reparation-time-volkswagen.html</t>
  </si>
  <si>
    <t>www.theguardian.com:
https://web.archive.org/web/20241209140119/https://www.theguardian.com/world/2020/sep/24/volkswagen-brazil-ex-employees-persecuted-military-dictatorship-compensation [09 December 2024]
www.bbc.com:
https://web.archive.org/web/20250404161121/https://www.bbc.com/news/world-latin-america-54280473 [04 April 2025]
www.justiceinfo.net: http://web.archive.org/web/20250902105438/https://www.justiceinfo.net/en/45592-brazil-reparation-time-volkswagen.html [02 September 2025]</t>
  </si>
  <si>
    <t>24 September 2020: 
The German carmaker Volkswagen has agreed to pay millions in compensation to former employees in Brazil who were persecuted during the country’s military dictatorship. A Brazilian government-appointed investigation found that Volkswagen was one of several corporations that secretly collaborated with the 1964-85 military government to identify suspected “subversives” and trade unionists. The compensation payments announced on Thursday have been agreed between the company and federal, state and labour law prosecutors. (The Guardian)
24 September 2020: 
German carmaker Volkswagen (VW) says it will pay $6.4m (£5m) in compensation to former workers at a Brazilian factory who sued the company for collaborating with the country's military during the 1964-1985 dictatorship. (BBC News)
6 October 2020:
During the military dictatorship in Brazil (1964-1985), Volkswagen denounced several trade unionists and communist militants who were then arrested and tortured by security agents. Following an out-of-court agreement between victims and the German car maker, the Brazilian Attorney General’s Office has ordered the payment reparations to victims. [...] After three years of negotiations, the Heinrich Plagge Association obtained reparations of 36.3 million reais (about 5.5 million euros), about half of which will be paid to the association itself and another part will be used to build a monument in memory of the victims. (Justice Info)</t>
  </si>
  <si>
    <t>volkswagen, vw, compensation, reparations, brazilian, brazil, pays, pay, sued, victims</t>
  </si>
  <si>
    <t>Compensation to Gay Soldiers Discriminated in the Military</t>
  </si>
  <si>
    <t>LGBTQ+ military personnel (West &amp; East Germany) discriminated pre-2000</t>
  </si>
  <si>
    <t>A law rehabilitating gay soldiers who suffered discrimination came into force two years ago, and so far, about 400,000 euros ($438,000) has been paid in symbolic compensation, the ministry said. The law was passed in 2021 after a study commissioned by the defense ministry and presented in 2020 documented “systematic discrimination” in the Bundeswehr — the military of West Germany and since 1990 of reunited Germany — from 1955 until the beginning of the 21st century. While the German military stopped its policy of discrimination against gay soldiers in 2000, it took more than two decades to pass the law offering them compensation. The law also offers compensation for gay soldiers who served in East Germany’s National People’s Army until Germany’s unification in 1990.
(SOURCE: https://www.nbcnews.com/nbc-out/out-news/178-gay-german-soldiers-apply-compensation-discrimination-rcna98838)</t>
  </si>
  <si>
    <t>Political Apologies and Reparations Archive (2005.0115.01 - Updated)</t>
  </si>
  <si>
    <t>NBC News</t>
  </si>
  <si>
    <t>https://www.nbcnews.com/nbc-out/out-news/178-gay-german-soldiers-apply-compensation-discrimination-rcna98838</t>
  </si>
  <si>
    <t>www.nbcnews.com: http://web.archive.org/web/20231024013407/https://www.nbcnews.com/nbc-out/out-news/178-gay-german-soldiers-apply-compensation-discrimination-rcna98838 [24 October 2023]</t>
  </si>
  <si>
    <t>8 August 2023: The German defense ministry said Tuesday that it has received 178 applications for compensation from gay service people who experienced discrimination in the military in the past. A law rehabilitating gay soldiers who suffered discrimination came into force two years ago, and so far, about 400,000 euros ($438,000) has been paid in symbolic compensation, the ministry said. The law was passed in 2021 after a study commissioned by the defense ministry and presented in 2020 documented “systematic discrimination” in the Bundeswehr — the military of West Germany and since 1990 of reunited Germany — from 1955 until the beginning of the 21st century. (NBC News)</t>
  </si>
  <si>
    <t>NOTE ON CONVERSION: The total compensation disbursed (400,000 euros) is reported as an accumulated figure as of 2023. We assume this figure represents the total value of all payments over the entire period. For comparison purposes, we treat it as a 2023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</si>
  <si>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Germany, Nazi, gays, gay, lesbians, lesbian, homosexual, homosexuals, Hitler, Holocaust, bundeswehr, discrimination, discriminated, compensation, lgbtq, soldiers, germany, military, german, personnel</t>
  </si>
  <si>
    <t>Germany Pays Compensation to Namibia Over Herero-Nama Genocide (Joint Declaration by the FRG and the Republic of Namibia)</t>
  </si>
  <si>
    <t>Government of Namibia</t>
  </si>
  <si>
    <t>Namibia</t>
  </si>
  <si>
    <t>NAM</t>
  </si>
  <si>
    <t>In the early twentieth century, the Herero people of modern-day Namibia (which was, at the time, German South-West Africa) were the victims of a series of massacres that nearly eliminated them as a group. Between 1904 and 1907, an estimated 65,000 Herero were killed by the German colonial state, which approximated eighty percent of the total population. In 1904, German General Lothar von Trotha issued a declaration stating The Herero are no longer German subjects ... [and] must leave the country. If they do not leave ... every Herero, armed or unarmed ... will be shot dead within the German borders. The declaration went on to note that the statement applied equally to men, women, and children. Following the declaration, groups of Herero resisted, but the majority of them were killed by the Germans. Survivors of the initial massacres, primarily women and children, were placed in concentration and forced labour camps.For many years, the German government rejected claims for apologies and reparations; as recently as 1998, then-President Roman Herzog expressed regret but refused to explicitly apologise, and rejected reparations claims. On the 100th anniversary of the massacres, in 2004, Development Aid Minister Heidemarie Wieczorak-Zeul stated We Germans accept our historic and moral responsibility and the guilt incurred by Germans at that time.
(source: Political Apologies and Reparations Archive)</t>
  </si>
  <si>
    <t>Payments will be done over 30 years.</t>
  </si>
  <si>
    <t>Political Apologies and Reparations Archive (2004.0114.02 - Updated)</t>
  </si>
  <si>
    <t>https://www.theguardian.com/world/2021/may/28/germany-agrees-to-pay-namibia-11bn-over-historical-herero-nama-genocide,
https://northafricapost.com/87448-namibia-marks-first-genocide-remembrance-day-amid-growing-calls-for-reparations.html</t>
  </si>
  <si>
    <t>www.theguardian.com:
https://web.archive.org/web/20250922122615/https://www.theguardian.com/world/2021/may/28/germany-agrees-to-pay-namibia-11bn-over-historical-herero-nama-genocide [22 September 2025]
northafricapost.com:
https://web.archive.org/web/20250731134350/https://northafricapost.com/87448-namibia-marks-first-genocide-remembrance-day-amid-growing-calls-for-reparations.html [31 July 2025]</t>
  </si>
  <si>
    <t>28 May 2021: Germany has to agreed to pay Namibia €1.1bn (£940m) as it officially recognised the Herero-Nama genocide at the start of the 20th century, in what Angela Merkel’s government says amounts to a gesture of reconciliation but not legally binding reparations. On Thursday, official circles in Berlin confirmed reports in Namibian media that after nine rounds of negotiations the two sides had settled on the text of a joint declaration and a sum of €1.1bn, which will be paid separately to existing aid programmes over 30 years. (The Guardian)
23 December 2023:
In May 2021, three years after the German government formally apologised for the massacres, the country announced a framework to address the tragedy. The scheme would see Namibia get 1.1 billion euros ($1.2bn) in “development aid”, with 50 million euros ($54m) set aside for research, remembrance and reconciliation projects, with the rest marked for the development of affected descendants’ communities. (Al Jazeera)
29 May 2025:
Despite Germany’s 2021 recognition of the genocide and a €1.1 billion development aid pledge over 30 years, no binding reparations agreement has been signed. (The North Africa Post.)</t>
  </si>
  <si>
    <t>They do not use the term "reparations" or "compensation" - But it was included as a reparation payment case in: Adam B. Lerner &amp; Pauline Heinrichs (09 Sep 2024): The paradox of international reparations, Review of International Political Economy, DOI:
10.1080/09692290.2024.2399034
More on the case here: https://www.rosalux.de/en/news/id/45028/apology-and-reparations</t>
  </si>
  <si>
    <t>Germany, Namibia, namibian, genocide, germans, victims, herero, survivors, reparations, africa, massacres</t>
  </si>
  <si>
    <t>Germany Offers One of the Largest Holocaust Reparations Packages and a Special Fund for Ukrainians (Negotiated by the Claims Conference)</t>
  </si>
  <si>
    <t>Jewish Holocaust survivors and  survivors who remain in war-torn Ukraine</t>
  </si>
  <si>
    <t>Germany agreed to one of its largest financial reparations packages ever for the world’s remaining Jewish Holocaust survivors [...] — including a 12 million euro ($12 million) emergency fund for 8,500 survivors who remain in war-torn Ukraine. The entire package is worth a total of $1.2 billion and will be disbursed next year,  mostly to help cover health care costs of an aging and dwindling population of survivors. It will also for the first time fund Holocaust remembrance education, according to the Conference on Jewish Material Claims, the negotiating body for reparations.
(source: https://www.nytimes.com/2022/09/15/world/europe/germany-holocaust-reparations-ukraine.html)</t>
  </si>
  <si>
    <t>https://www.nytimes.com/2022/09/15/world/europe/germany-holocaust-reparations-ukraine.html</t>
  </si>
  <si>
    <t>www.nytimes.com: http://web.archive.org/web/20250316230750/https://www.nytimes.com/2022/09/15/world/europe/germany-holocaust-reparations-ukraine.html [16 March 2025]</t>
  </si>
  <si>
    <t>15 September 2022: Germany agreed to one of its largest financial reparations packages ever for the world’s remaining Jewish Holocaust survivors on Thursday — including a 12 million euro ($12 million) emergency fund for 8,500 survivors who remain in war-torn Ukraine. The entire package is worth a total of $1.2 billion and will be disbursed next year,  mostly to help cover health care costs of an aging and dwindling population of survivors. It will also for the first time fund Holocaust remembrance education, according to the Conference on  Jewish Material Claims, the negotiating body for reparations. (The New York Times)</t>
  </si>
  <si>
    <t>reparations, holocaust, fund, euro, remembrance, jewish, costs, million, ukrainians, disbursed</t>
  </si>
  <si>
    <t>Germany Makes Additional Payments to Holocaust Survivors (Negotiated by the Claims Conference)</t>
  </si>
  <si>
    <t>The German government will pay more than $1.4 billion next year to Holocaust survivors, in the latest compensation for atrocities and persecution inflicted by the Nazis. Nearly $890 million will go toward home care services — an increasingly vital aspect of the reparation effort, as the Nazis' victims advance in age, nearly 80 years after the Holocaust ended. The payments stem from annual negotiations between Germany's Federal Ministry of Finance and the Conference on Jewish Material Claims Against Germany, an organization representing Jewish Holocaust survivors also known as the Claims Conference. The funds are meant to help survivors live in dignity, decades after they were persecuted and lost loved ones and property.
(source: https://www.npr.org/2023/06/15/1182428154/germany-holocaust-survivors-payment-1-4-billion-nazi-victims)</t>
  </si>
  <si>
    <t>NPR</t>
  </si>
  <si>
    <t>https://www.claimscon.org/2023/06/holocaust-survivors-will-continue-to-receive-additional-one-time-payments-from-the-german-government-until-2027-as-a-result-of-claims-conference-negotiations/,
https://www.npr.org/2023/06/15/1182428154/germany-holocaust-survivors-payment-1-4-billion-nazi-victims</t>
  </si>
  <si>
    <t>www.claimscon.org: http://web.archive.org/web/20250925074716/https://www.claimscon.org/2023/06/holocaust-survivors-will-continue-to-receive-additional-one-time-payments-from-the-german-government-until-2027-as-a-result-of-claims-conference-negotiations/ [25 September 2025]
www.npr.org: http://web.archive.org/web/20250926103950/https://www.npr.org/2023/06/15/1182428154/germany-holocaust-survivors-payment-1-4-billion-nazi-victims [26 September 2025]</t>
  </si>
  <si>
    <t>15 June 2023: Today, the Conference on Jewish Material Claims Against Germany (Claims Conference), announced the outcomes of their negotiations with the German Federal Ministry of Finance on behalf of Holocaust survivors living globally resulting in approximately $1.4 billion in direct compensation and social welfare services for survivors. Outcomes of these negotiations, include nearly $105.2 million in additional funding for home care programs to address survivors’ increased needs. Additionally, a one-time payment per year to recipients of the Hardship Fund will continue to be paid until 2027. This is impacting more than 128,000 Holocaust survivors globally.
15 June 2023: The German government will pay more than $1.4 billion next year to Holocaust survivors, in the latest compensation for atrocities and persecution inflicted by the Nazis. Nearly $890 million will go toward home care services — an increasingly vital aspect of the reparation effort, as the Nazis' victims advance in age, nearly 80 years after the Holocaust ended.  (NPR)</t>
  </si>
  <si>
    <t>holocaust, reparation, funding, payments, nazis, victims, compensation, pay, welfare, survivors</t>
  </si>
  <si>
    <t>Germany Pays Israeli Holocaust Survivors Amid Hamas War (Negotiated and Administered by the Claims Conference)</t>
  </si>
  <si>
    <t>Holocaust survivors in Israel</t>
  </si>
  <si>
    <t>Germany will provide a one-time payment of $236 (€220) to Holocaust survivors, to help them cope with the impacts of the Hamas-led October 7 attacks in southern Israel. Berlin will compensate 113,000 Holocaust survivors in Israel in the form of $27 million (€25 million), according to the German finance ministry. “Many Holocaust survivors were hit particularly hard by the Hamas attacks, whether through the loss of their homes, support systems in the form of care,” a German finance ministry spokeswoman said. The additional funds were aimed at helping the Holocaust survivors ”as quickly as possible (…) in this frightening and hopeless war situation,” the spokeswoman added. The Hamas-led murderous rampage into southern Israel was the deadliest terror attack in Israel’s history, killing at least 1,200 people and abducting more than 250 others. Israeli attacks on Gaza have since killed at least 33,634 Palestinians and injured another 76,214 people, according to the Ministry of Health there. Human Rights Watch and Oxfam last month accused Israel of carrying out “indiscriminate and disproportionate attacks in violation of international law.” Each of the 113,000 Jewish survivors in Israel will receive the $236 as a one-off payment, according to the nonprofit Conference on Jewish Material Claims Against Germany (Claims Conference) – a Jewish umbrella organization that seeks damages for Holocaust survivors and which worked with the German government on the scheme.
(source: https://edition.cnn.com/2024/04/12/europe/israeli-holocaust-germany-payout-october-7-intl/index.html)</t>
  </si>
  <si>
    <t>CNN World News</t>
  </si>
  <si>
    <t>https://edition.cnn.com/2024/04/12/europe/israeli-holocaust-germany-payout-october-7-intl/index.html</t>
  </si>
  <si>
    <t>edition.cnn.com: http://web.archive.org/web/20250125012934/https://edition.cnn.com/2024/04/12/europe/israeli-holocaust-germany-payout-october-7-intl/index.html [25 January 2025]</t>
  </si>
  <si>
    <t>12 April 2024:
Germany will provide a one-time payment of $236 (€220) to Holocaust survivors, to help them cope with the impacts of the Hamas-led October 7 attacks in southern Israel. Berlin will compensate 113,000 Holocaust survivors in Israel in the form of $27 million (€25 million), according to the German finance ministry. [...] Each of the 113,000 Jewish survivors in Israel will receive the $236 as a one-off payment, according to the nonprofit Conference on Jewish Material Claims Against Germany (Claims Conference) – a Jewish umbrella organization that seeks damages for Holocaust survivors and which worked with the German government on the scheme. The payments are being distributed in Israel in cooperation with the Claims Conference and the Holocaust Survivors Rights Authority of the Israeli government, the German finance ministry said. (CNN World News)</t>
  </si>
  <si>
    <t>holocaust, israeli, jewish, hamas, israel, payments, pays, payment, damages, survivors</t>
  </si>
  <si>
    <t>The "Reparation and Rehabilitation Fund" in Ghana</t>
  </si>
  <si>
    <t>Government of Ghana</t>
  </si>
  <si>
    <t>Ghana</t>
  </si>
  <si>
    <t>GHA</t>
  </si>
  <si>
    <t>Victims of human rights violations and abuses during the unconstitutional regimes in Ghana</t>
  </si>
  <si>
    <t>Following the military coup against Kwame Nkrumah's socialist government on 24 February 1966, Ghana was plunged into a series of escalating military and government conflicts. Thirteen years later, on 4 June 1979, the Armed Forces Revolutionary Council, a group of military officers, overthrew the government of Lieutenant General Frederick William Kwasi Akuffo, known as the Second Supreme Military Council. Throughout the summer of 1979, the AFRC: executed eight senior army officers, three of whom were former heads of state; conducted secret trials of military officers, government officials, and private individuals; and attempted to establish political dominance through Ghana. On 24 September 1979, the AFRC willingly stepped aside in favour of Hilla Limann, who came to power through a democratic election that also established separate government bodies and an independent judiciary. Limann's elected government lasted slightly more than two years before being deposed by another military junta.
(source: Political Apologies and Reparations Archive)</t>
  </si>
  <si>
    <t>http://www.ghanaweb.com/GhanaHomePage/NewsArchive/printnews.php?ID=79901,
http://www.modernghana.com/news/76361/1/government-to-establish-reparation-fund.html,
https://www.thenewhumanitarian.org/report/61353/ghana-reparations-victims-human-rights-abuses
https://atjhub.csvr.org.za/ghana-national-reconciliation-commission-2002-2004/</t>
  </si>
  <si>
    <t>Political Apologies and Reparations Archive: Ghana's Minister of Justice and Attorney General Mr. Ayikoi Otoo announced that the government will be creating a Reparation and Rehabilitation Fund before the end of the year; money from the fund will compensate victims of human rights violations and abuses that occurred during unconstitutional regimes in the country.
14 January 2003: A Comprehensive reparation program including apologies, a memorial, and monetary compensation was recommended. The amount paid to victims was to be based on type of violations suffered. Funding sources were also recommended. The commission suggested reparations for approximately 3,000 victims of repression under Rawlings’ rule. (United States Institute of Peace)
22 April 2005: Government is to establish and make operational a Reparation and Rehabilitation Fund before the end of this year, Mr Ayikoi Otoo, Minister of Justice and Attorney General, said on Friday. The fund would be used to compensate victims of human rights violations and abuses during the unconstitutional regimes in the country. (Ghana Web / Modern Ghana)
17 October 2006:
The administration of President John Kufuor has begun paying reparations to about 2,000 Ghanaians who suffered human rights abuses under former governments. Individual payments, which began on Monday, range from about US $217 to US $3,300 depending on the extent of abuse or violation, according to the attorney general’s office. (The New Humanitarian)
The US $1.5 million in payments were recommended by the National Reconciliation Commission (NRC), which was formed five years ago to address human rights violations committed under various governments since Ghana gained independence from Britain in 1957.
1 November 2023: The one recommendation the NPP seemingly prioritised was creating the Reparation and Rehabilitation Fund. After the final report was finished, it took multiple years to secure the funds and create the structures necessary to make the payments recommended by the commission (Valji, 2006). Ultimately, Ghana’s government allocated USD 1.5 million to compensate over 2,500 victims through the Reparation and Rehabilitation Fund (Hayner, 2010, p. 57). While the reparations programme was completed, it did not appear to involve civil society organisations or directly work with victims in order to develop implementation plans. (African Transitional Justice Hub)</t>
  </si>
  <si>
    <t>Some payments were disbursed starting in 2006, but there was no available information on the full amount paid to the beneficiaries.</t>
  </si>
  <si>
    <t>Ghana, Armed Forces Revolutionary Council, AFRC, Nkrumah, Akuffo, Limann, Ayikoi Otoo, deposed, regimes, nkrumah, reparation, reparations, junta, military, kwame, officers</t>
  </si>
  <si>
    <t xml:space="preserve">The Guam World War II Reconciliation Act of 2021 (Public Law 36-62) </t>
  </si>
  <si>
    <t>Government of Guam</t>
  </si>
  <si>
    <t>Guam</t>
  </si>
  <si>
    <t>GUM</t>
  </si>
  <si>
    <t>Survivors and descendants of the Japanese occupation in Guam</t>
  </si>
  <si>
    <t>The island of Guam, an unincorporated territory of the United States, was seized by Japan during World War II. Following liberation, the US navy mobilized available resources to rebuild the country. After the war was over, the United States congress initiated the Guam Meritorious Claims Act of 1945 to provide relief for those who suffered under the Japanese occupation. The Guam War Claims Review Commission was established in 2002 to review the 'parity' of awards to Guam with awards to other, similarly affected, US citizens.
(source: Political Apologies and Reparations Archive)
The Leon Guerrero-Tenorio Administration, committed to championing war reparations, has awarded $4.13 million to World War II victims and survivors of compensable Guam decedents. The Guam War Claims Processing Center recompensed $4,131,000 to eligible claimants representing 428 applications adjudicated since the program opened on April 1, 2022. The Guam War Claims Adjudication Committee held its final adjudication meeting on July 26, 2023, at the Guam Museum to finalize the remaining claims and any appeals submitted. The local program closed its application acceptance period on March 3, 2023.
(source: https://doa.guam.gov/wp-doa-content/uploads/2023/08/NEWS_-4.13M-in-War-Reparations-Awarded-1.pdf)</t>
  </si>
  <si>
    <t>Political Apologies and Reparations Archive (2005.0324.01 - As background information)</t>
  </si>
  <si>
    <t>https://doa.guam.gov/wp-doa-content/uploads/2023/08/NEWS_-4.13M-in-War-Reparations-Awarded-1.pdf</t>
  </si>
  <si>
    <t>doa.guam.gov: http://web.archive.org/web/20240709063915/https://doa.guam.gov/wp-doa-content/uploads/2023/08/NEWS_-4.13M-in-War-Reparations-Awarded-1.pdf [09 July 2024]</t>
  </si>
  <si>
    <t>2 August 2023: The Leon Guerrero-Tenorio Administration, committed to championing war reparations, has awarded $4.13 million to World War II victims and survivors of compensable Guam decedents. The Guam War Claims Processing Center recompensed $4,131,000 to eligible claimants representing 428 applications adjudicated since the program opened on April 1, 2022. (Government of Guam)</t>
  </si>
  <si>
    <t>The Guam World War II Loyalty Recognition Act (2016) established a federal legal framework for recognizing and compensating Guam WWII victims through a U.S. claims process. The Guam World War II Reconciliation Act (2021) builds on this framework by creating a domestic mechanism to compensate individuals who would have been eligible under the 2016 Act but were excluded due to the federal filing deadline, including victims who had died prior to the claims period. The 2021 Act adopts the same eligibility definitions and compensable harms as the 2016 federal law, while expanding coverage to previously unaddressed claimants. (See entry: USA-GUM-2016-001)
NOTE ON CONVERSION: The total compensation disbursed ($4,131,000) is reported as an accumulated figure as of 2023. We assume this figure represents the total value of all payments over the entire period. For comparison purposes, we treat it as a 2023 value and convert it to our year of interest (2024).</t>
  </si>
  <si>
    <t>World War II, World War 2, WWII, WW2, Guam, United States, US, America, Japan, Occupation, Military, Clinton, CIA, guam, reparations, claimants, 2022, 2023, 1945, japan, 2021, territory, states</t>
  </si>
  <si>
    <t>National Reparations Program (PNR) in Guatemala</t>
  </si>
  <si>
    <t>Government of Guatemala</t>
  </si>
  <si>
    <t>Guatemala</t>
  </si>
  <si>
    <t>GTM</t>
  </si>
  <si>
    <t>Victims of Human Rights violations in Guatemala during the internal armed conflict that ended on December 29, 1996</t>
  </si>
  <si>
    <t>Article 1. Creation of the Programme. The National Reparation Programme is hereby
established, which in the course of the present Government Agreement may be referred to
indistinctly as the Reparation Programme or the PNR, the specific purpose of which shall be
the individual and/or collective reparation of civilian victims of human rights violations and
crimes against humanity committed during the internal armed conflict. The PNR will have a
validity of no less than thirteen years with the possibility of being extended when the
corresponding evaluation is carried out.
(source: https://reparations.qub.ac.uk/assets/uploads/Programa-Nacional-de-Resarcimiento-EN.pdf)</t>
  </si>
  <si>
    <t>GTQ</t>
  </si>
  <si>
    <t>Reparations, Responsibility &amp; Victimhood in Transitional Societies</t>
  </si>
  <si>
    <t>https://reparations.qub.ac.uk/assets/uploads/Programa-Nacional-de-Resarcimiento-EN.pdf,
https://reparations.qub.ac.uk/assets/uploads/Guatemalan-Report-ENG-LR.pdf,
https://www.impunitywatch.org/publications/guatemala-impact-of-national-reparation-program-report-spanish/,
https://www.impunitywatch.org/wp-content/uploads/2023/12/20-Years-of-the-PNR-Impact-of-the-National-Reparation-Program-for-the-victims-of-the-armed-conflict-in-Guatemala-Impunity-Watch-Dec2023.pdf</t>
  </si>
  <si>
    <t>reparations.qub.ac.uk: http://web.archive.org/web/20240416072227/https://reparations.qub.ac.uk/assets/uploads/Programa-Nacional-de-Resarcimiento-EN.pdf [16 April 2024]
reparations.qub.ac.uk: http://web.archive.org/web/20220404030231/https://reparations.qub.ac.uk/assets/uploads/Guatemalan-Report-ENG-LR.pdf [04 April 2022]
www.impunitywatch.org:
https://web.archive.org/web/20251003071809/https://www.impunitywatch.org/publications/guatemala-impact-of-national-reparation-program-report-spanish/ [03 October 2025]
www.impunitywatch.org:
https://web.archive.org/web/20251002151908/https://www.impunitywatch.org/wp-content/uploads/2023/12/20-Years-of-the-PNR-Impact-of-the-National-Reparation-Program-for-the-victims-of-the-armed-conflict-in-Guatemala-Impunity-Watch-Dec2023.pdf [02 October 2025]</t>
  </si>
  <si>
    <t>Transitional Justice Evaluation Tools:
The recommended yearly budget for the PNR is about USD$40 million/year, but it averages at about USD$3.3 million/year for its operating budget. No total reparations awarded data is publicly available. 
Peace Accords Matrix (PAM):
2003: The Government created the National Reparations Commission, which was intended to be the main implementing body for the delivery of compensation to victims of the armed conflict.
2004: The Guatemalan government provided funding for the National Reparations Program and appointed Rosalina Tuyuc, an indigenous leader, to oversee the Program. Compensation for victims of past human rights abuses had still not begun, however.
2005: The Government restructured the National Reparations Program. It was being funded at a rate of 300 million quetzelas (about 37.5 million US dollars) per year for ten years, in keeping with the recommendations from the Clarification Commission.
2006: After President Alvaro Colom took office in January 2008, the Government made significant progress in delivering compensation to families of those killed during the civil war. Approximately 3,000 persons received reparations between January 2007 and May 2009, with payments ranging from $1,500 to $2,500 (USD). However, some 64,000 requests were still pending.
Reparations, Responsibility &amp; Victimhood in Transitional Societies (August 2019):
The PNR was created to “provide individual and collective reparation to civilian victims of human rights violations and crimes against humanity committed during the internal armed conflict. Initially, it was created for a period of 10 years and in 2013 it was extended for a further 10 years. In Guatemala there is no national register of victims and therefore there is no certainty about the total number of victims of the internal armed conflict. The estimates of the CEH Report are generally used as a reference, estimating 200,000 deaths and disappearances and 1.5 million displaced persons. Regarding the budget, according to the reparation policy, the PNR should receive 300 million quetzales (around US$40 million) annually, however, this has never been fulfilled and with the passage of time the PNR budget is reduced more and more. For example, in 2017 the PNR received a budget of 28 million quetzales (US$4 million) and only disbursed 14 million (US$2 million), of which 10 million were invested in operations and only 4 million in reparations for victims. According to official data, between 2005 and 2015 the PNR has provided reparations to 32,802 victims of the internal armed conflict.  In any case, this number is low in relation to the 200,000 victims indicated in the CEH Report. The data reveal that during the first years of the installation of the NRP (2003-2005) virtually no reparations was offered because the program was being installed and the reparations policy was being defined. The first reparation measures began to be offered during the government of President Oscar Berger (2004-2008), but increased considerably during the government of President Álvaro Colom (2008-2012), and began to decrease during the government of Otto Pérez Molina (2012-2015) and the government of Jimmy Morales (2016-2018).
12 December 2023: The Program has not fully met its objectives, and so far, it has only given some measures to 33,094 victims of the total of 200,000 victims estimated by the Commission for Historical Clarification (CEH). (Impunity Watch)</t>
  </si>
  <si>
    <t>NOTE ON CONVERSION: The total compensation disbursed (Q983,475,803.44) is reported as an accumulated figure as of 2023. We assume this figure represents the total value of all payments over the entire period. For comparison purposes, we treat it as a 2023 value and convert it to our year of interest (2024).
Source of total amount pledged: 300,000,000 quetzales (the reccomended yearly budget), times every year of active payments made, from 2003 to 2023.
Source of total amount paid: "20 Years of the PNR: Impact of the National Reparation Program for victims of the armed conflict in Guatemala", p.19. (Impunity Watch)</t>
  </si>
  <si>
    <t>reparations, reparation, guatemala, guatemalan, reconciliation, compensation, funding, pnr, usd, morales</t>
  </si>
  <si>
    <t>Plan de Sanchez Massacre v. Guatemala</t>
  </si>
  <si>
    <t>Victims of Plan de Sanchez massacre and their next-of-kin</t>
  </si>
  <si>
    <t>In Guatemala in 1960, a group of junior army officers rebelled against the military junta of General Ydígoras Fuentes. From that point onward until 1996, Guatemala was in a state of near-constant conflict, resulting in the deaths of thousands of civilians at the hands of leftist guerrillas and rightist paramilitary death squads, as well as the military governments and their civilian defense patrols. Maya indigenous communities were particularly targeted by the state. On 18 July 1982, 268 people in the Maya village of Plan de Sanchez, in the Rabinal municipality of Baja Verapaz province, were massacred by a contingent of soldiers and paramilitary personnel looking for local men who were in hiding because they did not want to serve in the paramilitary force. Some of the villagers were tortured or burned alive, and many of the women were raped. In October 1996, shortly before the government and the guerrilla coalition signed the Peace Accords, the Center for Legal Action in Human Rights (CALDH) filed a case with the Inter-American Commission on Human Rights on behalf of the Plan de Sanchez victims. After repeated attempts by the Guatemalan state to have the case declared inadmissible, the commission in 2002 passed on the case to the Inter-American Court of Human Rights.
(source: Political Apologies and Reparations Archive)</t>
  </si>
  <si>
    <t>"All the measures — including compensation, reimbursement of costs, public acknowledgment of responsibility, translation and publication of the judgment, and actions to preserve collective memory — must be implemented within one year."</t>
  </si>
  <si>
    <t>Inter-American Court of Human Rights</t>
  </si>
  <si>
    <t>9 Industry, Innovation and Infrastructure</t>
  </si>
  <si>
    <t xml:space="preserve">Political Apologies and Reparations Archive (2010.0026.01)
</t>
  </si>
  <si>
    <t>Dill, Kathleen. 2009. Reparations and the Illusive Meaning of Justice in Guatemala. In Waging War, Making Peace: Reparations and Human Rights, edited by Barbara Rose Johnston and Susan Slyomovics, pp. 182-204. Walnut Creek, CA: Left Coast Press.</t>
  </si>
  <si>
    <t>http://www.corteidh.or.cr/docs/casos/articulos/seriec_116_ing.pdf</t>
  </si>
  <si>
    <t>www.corteidh.or.cr: http://web.archive.org/web/20250613130905/https://www.corteidh.or.cr/docs/casos/articulos/seriec_116_ing.pdf [13 June 2025]</t>
  </si>
  <si>
    <t>Political Apologies and Reparations Archive:
On 19 November 2004, the Inter-American Court of Human Rights found the Guatemalan state guilty of the Plan de Sanchez massacre. The court ruled that the state should pay surviving victims and the deceased's next-of-kin just under $12.8 million for damages suffered. It also called on the government to investigate and bring to justice the planners and perpetrators of the massacre. In addition, the state was instructed to publicly pay tribute to the victims and to organize a public event to acknowledge its culpability. As a form of collective reparations, the government was further ordered to make improvements to the infrastructure of the affected communities.
Waging War, Making Peace: Reparations and Human Rights (Dill, 2009):
On November 19, 2004, the Inter-American Court of Human Rights ruled that the Guatemalan state was guilty of perpetrating the July 18, 1982 massacre of 268 men, women, and children in the village of Plan de Sánchez, Rabinal, Baja Verapaz, Guatemala. The court ordered the state to provide collective social restitution to the community as well as pecuniary damages of US$1,585,000 and nonpecuniary damages of $11,204,530, for a total of $12,789,530 to the 272 surviving victims and next-of-kin. The ruling was an enormous achievement for the community activists from Plan de Sánchez, the lawyers from the Center for Legal Action in Human Rights (CALDH), and the many other Guatemalan and international activists who have contributed their support over the years. Their success in holding the state responsible for damages sustained during Guatemala’s “scorched earth” counterrevolutionary campaign is a momentous one.</t>
  </si>
  <si>
    <t>NOTE ON CONVERSION: The payment data were converted using the start year of the payment period as the reference year.
For a more detailed background on the court’s ruling, please see:
Dill, Kathleen. 2009. Reparations and the Illusive Meaning of Justice in Guatemala. In Waging War, Making Peace: Reparations and Human Rights, edited by Barbara Rose Johnston and Susan Slyomovics, pp. 182-204. Walnut Creek, CA: Left Coast Press.</t>
  </si>
  <si>
    <t>Guatemala, Guatemalan, Maya, Plan de Sanchez, Rabinal, Baja Verapaz, Inter-American Court of Human Rights, Inter-American Commission on Human Rights, Center for Legal Action in Human Rights, CALDH, sánchez, sanchez, massacre, perpetrators, civilians, massacred</t>
  </si>
  <si>
    <t>Reparations for the World Bank-Funded Chixoy Dam Massacre</t>
  </si>
  <si>
    <t>Local indigenous communities</t>
  </si>
  <si>
    <t>In October [2014] the Guatemalan government agreed to pay an estimated $155 million in reparations over fifteen years to local indigenous communities who suffered human rights abuses and displacement as a result of the construction of the Chixoy dam in the 1980s. The World Bank and Inter-American Development Bank (IDB) financed the dam and continued to do so despite evidence of atrocities, including murder, torture and rape. Nearly 400 people were killed and several thousand forcibly evicted as a result of the project.
(source: https://www.brettonwoodsproject.org/2014/11/guatemala-pay-reparations-world-bank-funded-chixoy-dam/)</t>
  </si>
  <si>
    <t>Reparations are to be paid over 15 years.</t>
  </si>
  <si>
    <t>https://www.brettonwoodsproject.org/2014/11/guatemala-pay-reparations-world-bank-funded-chixoy-dam/,
https://www.internationalrivers.org/news/blog-chixoy-reparations-at-last-checks-are-in/</t>
  </si>
  <si>
    <t>www.brettonwoodsproject.org: http://web.archive.org/web/20250118011026/https://www.brettonwoodsproject.org/2014/11/guatemala-pay-reparations-world-bank-funded-chixoy-dam/ [18 January 2025]
www.internationalrivers.org:
https://web.archive.org/web/20250514235758/https://www.internationalrivers.org/news/blog-chixoy-reparations-at-last-checks-are-in/ [14 May 2025]</t>
  </si>
  <si>
    <t>11 November 2014: In October the Guatemalan government agreed to pay an estimated $155 million in reparations over fifteen years to local indigenous communities who suffered human rights abuses and displacement as a result of the construction of the Chixoy dam in the 1980s. The World Bank and Inter-American Development Bank (IDB) financed the dam and continued to do so despite evidence of atrocities, including murder, torture and rape. Nearly 400 people were killed and several thousand forcibly evicted as a result of the project. (Bretton Woods Project)
20 October 2015:
On October 15, Juan Alfonso Cifuentes Soria, the new Vice-President of Guatemala, delivered checks in total of $11,205 to 120 families from Pacux and Río Negro, who were among those most impacted by construction of the dam. The first check went to Teodora Chen, a massacre survivor. The next batch of checks will go to 206 families in Chicruz. In total, 33 communities will be paid individual compensation of $22,183,077.30. (International Rivers)</t>
  </si>
  <si>
    <t>Some payments were disbursed starting in 2015, but there was no available information on the full amount paid to the beneficiaries.</t>
  </si>
  <si>
    <t>reparations, guatemala, guatemalan, pays, funded, pay, financed, dam, atrocities, bank</t>
  </si>
  <si>
    <t>Compensation for Victims of Guinea's 2009 Stadium Massacre</t>
  </si>
  <si>
    <t>Moussa Dadis Camara (former guinean president) and six other leaders</t>
  </si>
  <si>
    <t>Guinea</t>
  </si>
  <si>
    <t>GIN</t>
  </si>
  <si>
    <t>Victims of the 28 September 2009 massacre in Guinea</t>
  </si>
  <si>
    <t>The 2009 Guinean protests were an opposition rally in Conakry, Guinea on 28 September 2009, with about 50,000 participants demonstrating against the junta government that came to power after the 2008 Guinean coup d'état in December. The protest march was fueled by the indication of junta leader Captain Moussa Dadis Camara that he would break his pledge to not run in the next presidential vote, due in January 2010. The government had already banned any form of protests until 2 October. When the demonstrators gathered in a large stadium, the security forces opened fire on them. At least 157 demonstrators were killed, 1,253 were injured, and 30—including Cellou Dalein Diallo, the leader of the opposition Union of Democratic Forces of Guinea (UDFG)—were arrested and taken away in lorries.
(source: https://en.wikipedia.org/wiki/2009_Guinean_protests)</t>
  </si>
  <si>
    <t>A court order issued in 2024 mandated reparations to be paid by the convicted perpetrators. In 2025, the Government of Guinea announced that it would assume responsibility for covering the compensation payments.</t>
  </si>
  <si>
    <t>https://www.washingtonpost.com/world/2024/07/31/guinea-camara-trial-stadium-massacre/,
https://www.justiceinfo.net/en/143481-guinea-the-state-commits-to-compensating-victims.html</t>
  </si>
  <si>
    <t>www.washingtonpost.com: http://web.archive.org/web/20240731172718/https://www.washingtonpost.com/world/2024/07/31/guinea-camara-trial-stadium-massacre/ [31 July 2024]
www.justiceinfo.net:
http://web.archive.org/web/20250902105337/https://www.justiceinfo.net/en/143481-guinea-the-state-commits-to-compensating-victims.html [02 September 2025]</t>
  </si>
  <si>
    <t>31 July 2024: A Guinean court ruled Wednesday that the country’s former president and six other leaders had committed crimes against humanity in connection with a massacre and mass rape carried out 15 years ago by security forces. Former president Moussa Dadis Camara was found guilty based on his “command responsibility,” sentenced to 20 years in prison and ordered to pay reparations. [...] More than 150 civilians were killed and more than 100 women raped by forces who then tried to cover it up, according to a United Nations commission and accounts collected by Human Rights Watch. Lawyers for the victims had asked for life sentences for seven of the 11 defendants, including Camara, and reparations for the psychological and physical harm done to victims. Camara and nine other defendants sat next to each other in court Wednesday, their faces largely implacable as a judge spent several hours reading the charges and verdict in the case. The 11th defendant, Col. Claude Pivi, who was minister for presidential security, escaped from a detention facility in November 2023 and remains at large. Among those convicted in addition to Camara was Lieutenant Aboubacar Diakité, the former head of the presidential guard, who was sentenced to 10 years in prison. The judge ordered those convicted to pay victims and their families, in total, the equivalent of nearly $400,000. (The Washington Post)
27 March 2025: The news read last night on national television took victims by surprise: nearly eight months after the court verdict, Guinea’s government announced it would cover compensation for the victims of the 28 September 2009 massacre. On 31 July 2024, the Dixinn court sentenced eight defendants to jail and ordered them to pay substantial reparations, ranging from €20,000 to €160,000 per victim. (Justice Info)</t>
  </si>
  <si>
    <t>guinean, guinea, victims, detainees, atrocities, massacre, casualties, defendants, tortured, civilians</t>
  </si>
  <si>
    <t>Velasquez Rodriguez Case</t>
  </si>
  <si>
    <t>Government of Honduras</t>
  </si>
  <si>
    <t>Honduras</t>
  </si>
  <si>
    <t>HND</t>
  </si>
  <si>
    <t>Next of kin of Angel Manfredo Velásquez-Rodríguez</t>
  </si>
  <si>
    <t>Angel Manfredo Velásquez Rodríguez was a student at the Universidad Nacional Autónoma de Honduras during the Policarpo Paz García administration. He was involved in student activism against the government. On September 12, 1981, between 4:30 and 5:00 PM, Velásquez Rodríguez was abducted in Tegucigalpa. Eyewitnesses to the abduction said several armed men pushed him into a car with tinted windows and without a license plate. Velásquez Rodríguez was never seen or heard from again, and the Honduran government denied any knowledge of his whereabouts. In 1988, the IACHR determined that Honduras was liable for the disappearance of Velásquez Rodríguez. The Court reasoned that the state violated its duties under the American Convention on Human Rights by not conducting an effective investigation into the circumstances surrounding Velásquez Rodríguez's disappearance. Honduras fully complied with the order to pay restitution to Velásquez Rodríguez's family, and the case was closed on September 10, 1996.
(source: https://en.wikipedia.org/wiki/Velásquez_Rodríguez_v._Honduras)</t>
  </si>
  <si>
    <t>HNL</t>
  </si>
  <si>
    <t>https://nuhanovicfoundation.org/database/inter-american-court-of-human-rights-velasquez-rodriguez-case/,
https://www.corteidh.or.cr/docs/casos/articulos/seriec_04_ing.pdf,
https://www.refworld.org/jurisprudence/caselaw/iacrthr/1996/en/46500,
https://en.wikipedia.org/wiki/Velásquez_Rodríguez_v._Honduras</t>
  </si>
  <si>
    <t>nuhanovicfoundation.org: http://web.archive.org/web/20250803175904/https://nuhanovicfoundation.org/database/inter-american-court-of-human-rights-velasquez-rodriguez-case/ [03 August 2025]
www.corteidh.or.cr:
https://web.archive.org/web/20250918073815/https://www.corteidh.or.cr/docs/casos/articulos/seriec_04_ing.pdf [18 September 2025]
www.refworld.org: http://web.archive.org/web/20241107103853/https://www.refworld.org/jurisprudence/caselaw/iacrthr/1996/en/46500 [07 November 2024]
en.wikipedia.org:
https://web.archive.org/web/20250115110432/https://en.wikipedia.org/wiki/Vel%C3%A1squez_Rodr%C3%ADguez_v._Honduras [15 January 2025]</t>
  </si>
  <si>
    <t>Inter-American Court of Human Rights (IACrtHR):
The judgment on compensatory damages delivered by the Inter-American Court of Human Rights (hereinafter "the Inter-American Court" or "the Court") on July 21, 1989 in the Velásquez Rodríguez Case, in which it established at seven hundred and fifty thousand lempiras the compensatory damages that the State of Honduras (hereinafter "Honduras") must pay to the next of kin of Mr. Angel Manfredo Velásquez-Rodríguez and decided that the Court would supervise "execution of payment of [this] compensation ... and that only after it was settled [would] the case be closed."
Wikipedia:
Velásquez Rodríguez v. Honduras is a landmark case that was decided by the Inter-American Court of Human Rights (IACHR) in 1988. [...] 
In 1988, the IACHR determined that Honduras was liable for the disappearance of Velásquez Rodríguez. The Court reasoned that the state violated its duties under the American Convention on Human Rights by not conducting an effective investigation into the circumstances surrounding Velásquez Rodríguez's disappearance. Honduras fully complied with the order to pay restitution to Velásquez Rodríguez's family, and the case was closed on September 10, 1996.</t>
  </si>
  <si>
    <t>The Total Paid amount in USD is unknown as there are no historical exchange rate available in the IMF Dataset about lempiras (HNL) from 1990 to 1999.</t>
  </si>
  <si>
    <t>velásquez, velasquez, honduras, rodriguez, rodríguez, honduran, abduction, abducted, restitution, disappearance</t>
  </si>
  <si>
    <t>Reparations to Vicky Hernández in Honduras</t>
  </si>
  <si>
    <t>Vicky Hernández's family</t>
  </si>
  <si>
    <t>In a landmark ruling for transgender rights, the Honduras government has been found responsible for the 2009 murder of the trans woman and activist Vicky Hernández. The ruling, at the Costa Rican-based Inter-American court of human rights, was published on the 12th anniversary of Hernández’s death, and marks the first time the highest regional human rights court has held a state accountable for failing to prevent, investigate and prosecute the death of a trans person. [...] Hernández, a 26-year-old trans woman, activist and sex worker from San Pedro Sula in northern Honduras, was killed by a single gunshot to her head, a crime for which no one was ever charged.
(source: https://www.theguardian.com/global-development/2021/jun/29/honduran-state-responsible-for-trans-womans-court)</t>
  </si>
  <si>
    <t>https://www.bbc.com/news/world-latin-america-57650995</t>
  </si>
  <si>
    <t>www.bbc.com: http://web.archive.org/web/20250925085551/https://www.bbc.com/news/world-latin-america-57650995 [25 September 2025]</t>
  </si>
  <si>
    <t>29 June 2021: The court has ordered Honduras, which has the world’s highest rate of murders of trans people, to pay reparations to Hernández’s family and implement a sweeping range of measures designed to protect trans people, including anti-discrimination training for security forces and state collection of data on violence against LGBTQ+ people. (The Guardian)
29 June 2021: In its decision, the Inter-American Court of Human Rights ordered the Honduran government to continue its investigation, offer diversity training to security forces, and track violence against LGBT people in the country. It said that $30,000 (£21,650) must also be paid to Ms Hernández's family and that a scholarship fund for trans women be set up in her name. (BBC News)</t>
  </si>
  <si>
    <t>honduras, honduran, hernández, transgender, lgbtq, rican, discrimination, reparations, lgbt, pedro</t>
  </si>
  <si>
    <t>Hungary War Reparations (Treaty of Paris of 1947)</t>
  </si>
  <si>
    <t>Government of Hungary</t>
  </si>
  <si>
    <t>Hungary</t>
  </si>
  <si>
    <t>HUN</t>
  </si>
  <si>
    <t xml:space="preserve">Soviet Union, Czechslovakia and Yugoslavia </t>
  </si>
  <si>
    <t>Under the Treaty of Paris of 1947, Hungary was required to pay $200 million to the Soviet Union, and $100m to Czechslovakia and Yugoslavia.
(source: https://www.cnbc.com/2015/03/18/who-still-owes-what-for-the-two-world-wars.html)</t>
  </si>
  <si>
    <t>Hinrichsen S. When Nations Can’t Default: A History of War Reparations and Sovereign Debt. Cambridge University Press; 2023;
Wikipedia</t>
  </si>
  <si>
    <t>https://www.cnbc.com/2015/03/18/who-still-owes-what-for-the-two-world-wars.html</t>
  </si>
  <si>
    <t>www.cnbc.com:
https://web.archive.org/web/20250730035759/https://www.cnbc.com/2015/03/18/who-still-owes-what-for-the-two-world-wars.html [30 July 2025]</t>
  </si>
  <si>
    <t>Hinrichsen (2023): The amounts for Romania, Hungary, and Finland were 300 million US dollars from each, while Bulgaria had to pay 70 million US dollars. The payments were meant to be paid in kind (i.e., in non-monetary goods) but because all countries but Finland and Italy fell under the Soviet umbrella, reparations were later officially cancelled for Hungary, Romania, and Bulgaria (Nevakivi 1996, pp. 95–97). [Pag. 133]
19 March 2015:
Under a peace treaty, Hungary was required to pay $200 million to the Soviet Union, and $100m to Czechslovakia and Yugoslavia.
(CNBC)</t>
  </si>
  <si>
    <t>Reparations were later officially cancelled (Hinrichsen 2023).</t>
  </si>
  <si>
    <t>Reparations to Hungarian Holocaust Survivors (Partly Administered by the Claims Conference)</t>
  </si>
  <si>
    <t>Holocaust survivors of Hungarian origin</t>
  </si>
  <si>
    <t>In 2007, the Hungarian government pledged $21 million to be distributed over the course of five years to assist Holocaust survivors in Hungary and abroad. 
(source: https://www.claimscon.org/2013/07/hungary-releases-millions/)</t>
  </si>
  <si>
    <t>Reparations payments were meant to be distributed over five years. Sources report that payments were suspended between 2010 and 2012, and then resumed in 2013.</t>
  </si>
  <si>
    <t>Jewish Heritage of Hungary Public Endowment (MAZSOK) and the Claims Conference</t>
  </si>
  <si>
    <t>https://www.claimscon.org/2013/07/hungary-releases-millions/,
https://www.jta.org/2013/07/08/global/hungary-to-resume-reparations-payments-through-claims-conference</t>
  </si>
  <si>
    <t>www.claimscon.org: http://web.archive.org/web/20250619164506/https://www.claimscon.org/2013/07/hungary-releases-millions/ [19 June 2025]
www.jta.org:
https://web.archive.org/web/20250621105137/https://www.jta.org/2013/07/08/global/hungary-to-resume-reparations-payments-through-claims-conference [21 June 2025]</t>
  </si>
  <si>
    <t>Claims Conference: The Claims Conference is pleased to announce that the government of Hungary, after protracted and difficult talks over the course of several years, has agreed to release $5.6 million in previously committed funds for social welfare services for needy Holocaust survivors of Hungarian origin living outside of Hungary.
[...] In 2007, the Hungarian government pledged $21 million to be distributed over the course of five years to assist Holocaust survivors in Hungary and abroad. The Jewish Heritage of Hungary Public Endowment (MAZSOK) – a restitution foundation in Hungary composed of local Hungarian Jews, government officials and the World Jewish Organization (WJRO) — was tasked with administering one-third of the funds to survivors currently living in Hungary, while two-thirds of the funds were transferred to the Claims Conference to fund social welfare services for needy survivors living outside of Hungary.
But in 2010, a new government came to power in Hungary, and the transfer of funds to the Claims Conference in the final two years of a five-year commitment was suddenly suspended in 2012, leaving survivors deprived of the assistance they had come to expect and which they so desperately need. The $21 million represents an advance payment on a hoped-for larger agreement to provide compensation for the heirless and unclaimed formerly Jewish-owned assets confiscated by the Nazis during the Holocaust and/or subsequently nationalized by the Communist regime after the war.
8 July 2013:
The Hungarian government ended a yearlong freeze of money transfers to Holocaust survivors through the Claims Conference. The decision to resume paying reparations to Hungarian Holocaust survivors living outside the country was announced Saturday by Janos Lazar, Hungarian Prime Minister Viktor Orban’s chief of staff. Lazar said $5.6 million would be transferred to the Jewish Heritage of Hungary Public Endowment, or Mazsok, and be ready to be distributed by Tuesday. (Jewish Telegraphic Agency)</t>
  </si>
  <si>
    <t>holocaust, hungary, hungarian, restitution, compensation, million, welfare, payment, fund, unclaimed</t>
  </si>
  <si>
    <t>Compensation for Sikh Victims of 1984 Riots</t>
  </si>
  <si>
    <t>Government of India</t>
  </si>
  <si>
    <t>Sikh Victims of 1984 Riots</t>
  </si>
  <si>
    <t>In early November 1984, anti-Sikh riots in New Delhi and other parts of India claimed the lives of thousands of innocent men, women, and children. The rioters were organized by local members of the Congress Party in reaction to the assassination of Prime Minister Indira Gandhi by her two Sikh bodyguards on 31 October 1984. In June of that year, Gandhi had ordered a military campaign against Sant Jarnail Singh Bhindranwale, a Sikh extremist who, with a few hundred armed followers, had occupied the Golden Temple in Amritsar, Punjab. The attack on the temple, considered by Sikhs to be their holiest place of worship, created widespread resentment against the government among Sikhs in India and abroad.
(source: Political Apologies and Reparations Archive)</t>
  </si>
  <si>
    <t>INR</t>
  </si>
  <si>
    <t>Political Apologies and Reparations Archive (2009.0075.01 - Updated)</t>
  </si>
  <si>
    <t>The Economic Times</t>
  </si>
  <si>
    <t>https://sansad.in/getFile/loksabhaquestions/annex/176/AU2952.pdf?source=pqals,
https://economictimes.indiatimes.com/news/politics-and-nation/rs-5-lakh-relief-each-to-kin-of-1984-riot-victims-government/articleshow/45548377.cms?from=mdr</t>
  </si>
  <si>
    <t>sansad.in: http://web.archive.org/web/20240422201913/https://sansad.in/getFile/loksabhaquestions/annex/176/AU2952.pdf?source=pqals [22 April 2024]
economictimes.indiatimes.com: http://web.archive.org/web/20201101191411/https://economictimes.indiatimes.com/news/politics-and-nation/rs-5-lakh-relief-each-to-kin-of-1984-riot-victims-government/articleshow/45548377.cms?from=mdr [01 November 2020]</t>
  </si>
  <si>
    <t>Government of India:
The Union Government introduced a rehabilitation package to provide relief to victims of 1984 Anti-Sikh Riots. The scheme contained ex-gratia payment of Rs. 3.5 lakh for each death case and Rs. 1.25 lakh in case of injuries. The scheme also contained a provision for State Governments to grant pension to widows and old aged parents of death victims at the uniform rate of Rs. 2500/- per month, for whole life. The expenditure on payment of pension was to be borne by the State Government. In 2014, the Government of India introduced a scheme for grant of enhanced relief of Rs. 5 lakh per deceased person, who died during 1984 Anti-Sikh Riots. In Union Budget-2021-22, a provision of Rs. 4.5 crore has been made for payment of enhanced compensation to the next of kin of deceased of 1984 Anti-Sikh Riots.
17 December 2014: NEW DELHI: An additional relief of Rs five lakh each to the kin of victims of the 1984 anti-Sikh riots has been approved by the government, the Rajya Sabha was informed today. "Government has approved the grant of enhanced relief of Rs five lakh per deceased person, who died during 1984 anti-Sikh riots," Minister of State for Home Haribhai Parathibhai Chaudhary said replying to a written question. Of the 3,325 victims, 2,733 were killed in Delhi alone while rest of the victims were from Uttar Pradesh, Haryana, Madhya Pradesh, Maharashtra and other states. The anti-Sikhs riots were triggered following the assassination of the then Prime Minister Indira Gandhi by her Sikh bodyguards on October 31, 1984. In 2006, the UPA government led by Prime Minister Manmohan Singh had announced a package of Rs 717 crore which included monetary compensation of Rs 3.5 lakh to the kin of each killed in the riots besides financial assistance to the injured and those who had lost their property.Out of this only, Rs 517 crore had been spent and the remaining Rs 200 crore could not be distributed because of dispute over claimants. (The Economic Times)</t>
  </si>
  <si>
    <t>In Indian numbering system, 1 crore equals ten million.
NOTE ON CONVERSION: The total compensation disbursed (Rs 517 crore) is reported as an accumulated figure as of 2014. We assume this figure represents the total value of all payments over the entire period. For comparison purposes, we treat it as a 2014 value and convert it to our year of interest (2024).
The total amount paid is as of 2014, but more compensation has been paid after then.</t>
  </si>
  <si>
    <t>Sikh, Sikhs, Amritsar, Punjab, India, Indian, New Delhi, Golden Temple, temple, Indira Gandhi, Gandhi, Congress, blood, blood donation, Bhindranwale, indira, singh, rajya, bhindranwale, punjab, sabha, temple</t>
  </si>
  <si>
    <t>India-Assam Agreement</t>
  </si>
  <si>
    <t>Government of Assam (India)</t>
  </si>
  <si>
    <t>Each of the next of kin of persons who lost their lives in agitations related to Autonomous State demand and have not yet been compensated in any manner</t>
  </si>
  <si>
    <t>Agitations related to Autonomous State demand in India.</t>
  </si>
  <si>
    <t>Peace Agreements Database (ID: 2391)</t>
  </si>
  <si>
    <t>Karbi Anglong Agreement</t>
  </si>
  <si>
    <t>Unacademy</t>
  </si>
  <si>
    <t>https://unacademy.com/content/upsc/study-material/national-security/karbi-anglong-agreement/</t>
  </si>
  <si>
    <t>unacademy.com: http://web.archive.org/web/20240524074022/https://unacademy.com/content/upsc/study-material/national-security/karbi-anglong-agreement/ [24 May 2024]</t>
  </si>
  <si>
    <t>Peace Agreements Database (PA-X):
Page 5, 4: Rehabilitation of armed cadres, 4.7. The Government of Assam will provide financial compensation at Rs. 5 lakhs to each of the next of kin of persons who lost their lives in agitations related to Autonomous State demand and have not yet been compensated in any manner.
Unacademy:
The Central Government will provide financial compensation of Rs 5 Lakhs for two families of the Karbi people who lost their lives in the protest related to autonomous state demand. The chief minister of Assam, Himanta Biswa Sarma, considered this a historical movement and commented, “Now lower Assam has been turned into a peaceful area. Now we will sign an agreement with the Karbi Anglong group, which is also a historic moment.” The chief minister of Assam also ensures that the government of Assam will be taking every step to ensure the successful execution of this agreement.</t>
  </si>
  <si>
    <t>In Indian numbering system, “Rs 5 Lakhs” refers to 500,000 Indian Rupees (INR) (as 1 lakh is 100,000).</t>
  </si>
  <si>
    <t>assam, compensation, lakhs, minister, karbi, compensated, agreements, biswa, agreement, india</t>
  </si>
  <si>
    <t>The Helsinki Memorandum of Understanding between the Government of the Republic of Indonesia and the Free Aceh Movement</t>
  </si>
  <si>
    <t>Government of Indonesia</t>
  </si>
  <si>
    <t>Indonesia</t>
  </si>
  <si>
    <t>IDN</t>
  </si>
  <si>
    <t>Former combatants, political prisoners, and “civilians who suffered a demonstrable loss”</t>
  </si>
  <si>
    <t>The Aceh conflict between the armed pro-independence movement Free Aceh Movement (GAM) and the Indonesian government dated back to 1976, and peaked during military operations from 1989 until a peace deal was signed in 2005. It took a devastating toll on the population in Aceh, a region on the northern part of Indonesia’s Sumatra Island. [...] Many of the violations and abuses committed by both sides in the context of the non-international armed conflict may amount to war crimes. Many of the violations directed by Indonesia’s forces and their auxiliaries against civilians as part of the policy of suppressing the independence movement appear to have formed part of a widespread or systematic attack and may amount to crimes against humanity. [...] On 15 August 2005, the 2005 Helsinki Peace Agreement was signed by the Indonesian government and the armed pro-independence movement, the Free Aceh Movement (Gerakan Aceh Merdeka, GAM) to end the 29 year conflict in Indonesia’s most westerly province.
 (source: https://www.amnesty.nl/actueel/indonesia-12-years-on-victims-of-aceh-conflict-still-waiting-for-truth-justice-and-full-reparation)</t>
  </si>
  <si>
    <t>https://www.amnesty.nl/actueel/indonesia-12-years-on-victims-of-aceh-conflict-still-waiting-for-truth-justice-and-full-reparation,
https://peaceaccords.nd.edu/provision/reintegration-mou-between-the-government-of-the-republic-of-indonesia-and-the-free-aceh-movement,
http://news.bbc.co.uk/2/hi/asia-pacific/4690293.stm,
https://www.c-r.org,
https://www.crisisgroup.org/sites/default/files/b44-aceh-so-far-so-good.pdf</t>
  </si>
  <si>
    <t>www.amnesty.nl: http://web.archive.org/web/20200319044555/https://www.amnesty.nl/actueel/indonesia-12-years-on-victims-of-aceh-conflict-still-waiting-for-truth-justice-and-full-reparation [19 March 2020]
peaceaccords.nd.edu:
https://web.archive.org/web/20251003073812/https://peaceaccords.nd.edu/provision/reintegration-mou-between-the-government-of-the-republic-of-indonesia-and-the-free-aceh-movement [03 October 2025]
news.bbc.co.uk: http://web.archive.org/web/20250816154909/http://news.bbc.co.uk/2/hi/asia-pacific/4690293.stm [16 August 2025]
www.c-r.org: http://web.archive.org/web/20250925160158/https://www.c-r.org/ [25 September 2025]
www.crisisgroup.org: http://web.archive.org/web/20240613221541/https://www.crisisgroup.org/sites/default/files/b44-aceh-so-far-so-good.pdf [13 June 2024]</t>
  </si>
  <si>
    <t>According to the Transitional Justice Evaluation Tools, the coest estimate is: USD 225,900,000.00
International Center for Transitional Justice: The Helsinki MoU contains many transitional justice elements, including: [...] A reintegration program for former combatants, political prisoners, and “civilians who suffered a demonstrable loss”
Peace Accords Matrix: As per the MoU, along with prisoners and victims, 3,000 GAM combatants were expected to go through a reintegration program. The reintegration program for combatants was not established. As provided, the AMM was established in September 2005. Among other responsibilities, the AMM monitored the reintegration process. The AMM established the multiparty mechanism, the Commission on Security Arrangements (COSA), to deal with issues related to the peace process. In the COSA meeting in October, GAM and the government reached an agreement on the disbursement of payments to GAM regional commanders, who in turn would distribute the money. According to a report, the government made two rounds of payments to GAM for the short-term reintegration of GAM combatants. The long-term reintegration would involve access to suitable farmland.
17 July 2005: Indonesian Communications Minister Sofyan Djalil made the announcement in the Finnish capital Helsinki where the talks are being held. The government and Aceh rebels are due to sign the peace accord, which aims to end the insurgency, on 15 August. But confusing messages have been given by the government in Jakarta, says our correspondent there, Rachel Harvey. It is not clear if Jakarta has agreed to allow rebels to form their own political parties - a sticking point. The talks began after the tsunami that killed at least 120,000 people in Aceh. A deal will facilitate the delivery of international reconstruction aid to the province, which was the worst hit by December's tsunami. About 15,000 people have died in the conflict between government and rebels. (BBC News)
September 2008: The 2005 Memorandum of Understanding between the Government of Indonesia (GoI) and the Free Aceh Movement (GAM) includes clauses on reintegration. These focus on three key groups: GAM ex-combatants and supporters; amnestied political prisoners; and civilians affected by the conflict. The GoI provided €68 million for reintegration. (Concilation Resources)
13 December 2015: Based on payments to 3,000 demobilised guerrillas, the initial safety net payments amount to a total commitment of Rp. 18 billion ($1,800,000); overall, the government has allocated Rp. 200 billion in 2005 ($20 million) and Rp. 600 billion in 2006 ($60 million) for both reintegration and broader assistance to conflict victims. (International Crisis Group)</t>
  </si>
  <si>
    <t>reintegration, amnesty, guerrillas, indonesia, prisoners, indonesian, combatants, civilians, cosa, insurgency</t>
  </si>
  <si>
    <t>Indonesia Pays Compensation to ex-East Timor Families</t>
  </si>
  <si>
    <t>Ex-East Timor families residents in East Java</t>
  </si>
  <si>
    <t>TLS</t>
  </si>
  <si>
    <t>Following the decolonization of what was then known as Portuguese Timor in 1974, Indonesian forces under the command of then-President Haji Mohamed Suharto and with the tacit approval of the United States government under then-President Gerald Ford, invaded and conquered Timor-Leste (also known as East Timor). Indonesia occupied Timor-Leste for 27 years, maintaining power through the use of violence and intimidation; following a 1999 United Nations-supervised referendum, in which the people of Timor-Leste voted overwhelmingly in favour of self-rule, an open civil conflict broke out. From the beginning of the invasion until the end of the civil conflict in Timor-Leste, an estimated 100,000 to 250,000 people died, of a population of approximately 600,000; thousands of others were subjected to, among numerous other human rights violations, torture, forced migration, and sexual abuse.  Timor-Leste was first recognized as an independent state by Portugal on 20 May 2002, and joined the UN on 27 September 2002.
(source: Political Apologies and Reparations Archive)</t>
  </si>
  <si>
    <t>IDR</t>
  </si>
  <si>
    <t>Political Apologies and Reparations Archive (2005.0056.01 - Updated)</t>
  </si>
  <si>
    <t>ANTARA News</t>
  </si>
  <si>
    <t>https://en.antaranews.com/news/106876/indonesian-minister-hands-over-compensation-to-ex-east-timor-families</t>
  </si>
  <si>
    <t>en.antaranews.com: http://web.archive.org/web/20220706083140/https://en.antaranews.com/news/106876/indonesian-minister-hands-over-compensation-to-ex-east-timor-families [06 July 2022]</t>
  </si>
  <si>
    <t>24 September 2016: The Indonesian Minister of Social Affairs Khofifah Indar Parawansa handed over the compensation amount to 24 families of former of East Timorese but currently residents of Kediri, East Java. [...] Compensation of Rp 10 million is allocated for each family, and is provided through a direct assistance mechanism in accordance with Article 2 paragraph (2, 3) of presidential regulation. [...] In East Java alone, the Social Affairs Minister said Rp30.8 billion worth of funds would be distributed among the formerly East Timorese people living in 38 districts.
(ANTARA News)</t>
  </si>
  <si>
    <t>East Timor, Timor-Leste, United Nations, UN, Indonesia, Suharto, Ford, Kissinger, CIA, Wahid, timor, timorese, indonesia, indonesian, portugal, portuguese, decolonization, kediri, mohamed, referendum</t>
  </si>
  <si>
    <t>Iran Pays Compensation to Families over Downed Ukraine Jet</t>
  </si>
  <si>
    <t>Government of Iran</t>
  </si>
  <si>
    <t>Families of those killed when Iran shot down a Ukrainian airliner</t>
  </si>
  <si>
    <t>Ukraine International Airlines flight PS752 was shot down shortly after take-off from Tehran on January 8, 2020, killing all 176 people aboard, most of them Iranians and Canadians, including many dual nationals. Three days later, the Iranian armed forces admitted to downing the Kyiv-bound plane “by mistake.”
(source: https://www.timesofisrael.com/iran-says-it-has-begun-paying-compensation-to-families-over-downed-ukraine-jet/)</t>
  </si>
  <si>
    <t>https://www.aljazeera.com/news/2020/12/30/iran-sets-150000-compensation-for-ukrainian-airlines-victims,
https://www.timesofisrael.com/iran-says-it-has-begun-paying-compensation-to-families-over-downed-ukraine-jet/</t>
  </si>
  <si>
    <t>www.aljazeera.com: http://web.archive.org/web/20250213201534/https://www.aljazeera.com/news/2020/12/30/iran-sets-150000-compensation-for-ukrainian-airlines-victims [13 February 2025]
www.timesofisrael.com: http://web.archive.org/web/20250116061235/https://www.timesofisrael.com/iran-says-it-has-begun-paying-compensation-to-families-over-downed-ukraine-jet/ [16 January 2025]</t>
  </si>
  <si>
    <t>30 December 2020: Iran’s government has pledged to pay $150,000 to each of the families of the victims of a Ukrainian Airlines flight that was downed by missiles over Tehran almost a year ago. President Hassan Rouhani’s cabinet approved the sum, or its equivalent in euros, in a meeting on Wednesday, according to a statement published by the presidential office’s department of legal affairs. (Al Jazeera)
7 January 2022: Iran has begun paying compensation to families of those killed when it shot down a Ukrainian airliner two years ago, authorities said on Friday. “The transport ministry has made transfers to a certain number of (victims’) families,” the foreign ministry said in a statement marking the anniversary of the tragedy. Ukraine International Airlines flight PS752 was shot down shortly after take-off from Tehran on January 8, 2020, killing all 176 people aboard, most of them Iranians and Canadians, including many dual nationals. (The Times of Israel)</t>
  </si>
  <si>
    <t>The total pledged amount was calculated by multiplying the individual compensation of $150,000 by the number of victims (176).
Since 2022, some payments have been made but there are no available data on the total amoun paid.</t>
  </si>
  <si>
    <t>iranians, tehran, iran, ukrainian, ukraine, airlines, compensation, missiles, victims, airliner</t>
  </si>
  <si>
    <t>Iraq Pays Gulf War Reparations (UN Resolution 687)</t>
  </si>
  <si>
    <t>Government of Iraq</t>
  </si>
  <si>
    <t>Iraq</t>
  </si>
  <si>
    <t>IRQ</t>
  </si>
  <si>
    <t>Individuals, corporations, governments, and international organizations who suffered of losses and damage as a direct result of Iraq’s invasion and occupation of Kuwait in 1990-1991 (43 states among 1.5 million claimants)</t>
  </si>
  <si>
    <t>In 1990, Iraq, under then-President Saddam Hussein, invaded and occupied Kuwait. In response, the United Nations Security Council sanctioned the use of force by an international coalition of 34 states and led by the United States to protect Kuwait from the Iraqi invasion. In 1991, Iraq was driven out of Kuwait during Operation Desert Storm.
(source: Political Apologies and Reparations Archive)</t>
  </si>
  <si>
    <t>1991: The United Nations Compensation Commission (UNCC) was created to process claims and pay compensation for losses and damage suffered as a direct result of Iraq’s unlawful invasion and occupation of Kuwait in 1990-1991. A fund to pay compensation was also created.
2005: The Commission concluded claims-processing.
2022: On 13th January 2022, all compensation has been paid in full.</t>
  </si>
  <si>
    <t>The United Nations (United Nations Compensation Commission)</t>
  </si>
  <si>
    <t>https://uncc.ch,
https://news.un.org/en/story/2022/02/1111632,
https://www.un.org/depts/unmovic/documents/687.pdf,
https://www.theguardian.com/world/2004/oct/16/iraq.comment</t>
  </si>
  <si>
    <t>uncc.ch: http://web.archive.org/web/20250329182633/https://www.uncc.ch/ [29 March 2025]
news.un.org:
https://web.archive.org/web/20250928230654/https://news.un.org/en/story/2022/02/1111632 [28 September 2025]
www.un.org: http://web.archive.org/web/20250701053410/https://www.un.org/Depts/unmovic/documents/687.pdf [01 July 2025]
www.theguardian.com:
https://web.archive.org/web/20250213074614/https://www.theguardian.com/world/2004/oct/16/iraq.comment [13 February 2025]</t>
  </si>
  <si>
    <t>The United Nations Compensation Commission:
The United Nations Compensation Commission (UNCC) was located at the Palais des Nations within the United Nations Office in Geneva, Switzerland. It was created in 1991 as a subsidiary organ of the United Nations Security Council(link is external) under Security Council resolution 687 (1991) to process claims and pay compensation for losses and damage suffered as a direct result of Iraq’s unlawful invasion and occupation of Kuwait in 1990-1991. About 2.7 million claims, with an asserted value of $352.5 billion, were filed with the Commission. The Commission concluded claims-processing in 2005, and the total compensation awarded was $52.4 billion to approximately 1.5 million successful claimants. Funds to pay compensation were drawn from the United Nations Compensation Fund which received a percentage of the proceeds generated by the export sales of Iraqi petroleum and petroleum products. 
9 February 2022: Around 1.5 million successful claims were awarded, out of a total of around 2.7 million lodged with the Commission. If all the claims had been found legitimate, that would have meant a total pay-out of $352.5 billion. With the final payment made on 13 January, all compensation has now been paid in full, the UN Office at Geneva said in a press release. [...] The $52.4 billion that has gone to successful plaintiffs, was paid out from the UN Compensation Fund, which received a percentage of the proceeds generated over the years by the export sales of Iraqi petroleum and petroleum products. This percentage, originally set at 30 per cent, was reduced over time under various Security Council resolutions and Governing Council decisions. (UN News)
Peace Agreements Database (PA-X): 
Page 7, 16. Reaffirms that Iraq, without prejudice to the debts and obligations of Iraq arising prior to 2 August 1990, which will be addressed through the normal mechanisms, is liable under international law for any direct loss, damage, including environmental damage and the depletion of natural resources; or injury to foreign Governments, nationals and corporations, as a result of Iraq's unlawful invasion and occupation of Kuwait; ...18. Decides also to create a fund to pay compensation for claims that fall within paragraph 16 above and to establish a Commission that will administer the fund; 19. Directs the Secretary-General to develop and present to the Security Council for decision, no later than thirty days following the adoption of the present resolution, recommendations for the fund to meet the requirement for the payment of claims established in accordance with paragraph 18 above and for a programme to implement the decisions in paragraphs 16, 17 and 18 above, including: administration of the fund; mechanisms for determining the appropriate level of Iraq's contribution to the fund based on a percentage of the value of the exports of petroleum and petroleum products from Iraq not to exceed a figure to be suggested to the Council by the Secretary-General, taking into account the requirements of the people of Iraq, Iraq's payment capacity as assessed in conjunction with the international financial institutions taking into consideration external debt service, and the needs of the Iraqi economy; arrangements for ensuring that payments are made to the fund; the process by which funds will be allocated and claims paid; appropriate procedures for evaluating losses, listing claims and verifying their validity and resolving disputed claims in respect of Iraq's liability as specified in paragraph 16 above; and the composition of the Commission designated above;
Political Apologies and Reparations Archive (2005.0031.01):
The United Nations has approved US$265 million in compensation for victims of Iraq's 1990 invasion of Kuwait. The UN is overseeing the compensation of victims, and the majority of the money will go to the families of those who died in Iraqi detention. Approximately 602 families have made such claims. The claims will be paid out of Iraqi oil sales money.
From the PDF Source: The United Nations panel overseeing compensation for victims of Iraq's 1990 invasion of Kuwait has approved new awards worth US$265 million ([euro]198 million), mostly to families of people who died in Iraqi detention, officials said Thursday. Joe Sills, spokesman for the U.N. Compensation Commission, told reporters the panel approved a total US$161 million ([euro]120 million) in claims from families of 602 people who died in Iraqi custody, as well as two people injured by land mines. Before Saddam Hussein's ouster in 2003, Iraq refused to confirm the deaths of many prisoners seized during the conflict. "These 602 families have lived for years with the hope that their loved ones were alive," said Sills, adding that sums to be paid out would include compensation for more than a decade of mental anguish. Most of the families are Kuwaiti, said Mojtaba Kazazi, chief of the commission secretariat. But Kuwaiti authorities also filed claims on behalf of around 30 families of citizens of Saudi Arabia, Syria, Iran, Jordan and India, he said. The panel has now approved claims worth a total of US$52.1 billion ([euro]38.9 billion). Money to pay the claims comes from Iraqi oil sales. Payments, however, are running well behind approvals for compensation claims. The overall amount released for individuals, companies and governments is now US$19 billion ([euro]14 billion), the commission said. However, said Sills, the commission has decided to speed up payments to the families of the deceased detainees. Each of the 602 families will get an initial payment of at least US$100,000 ([euro]74,700) by April, he said.
Political Apologies and Reparations Archive (2006.0092.01):
October 2004: Next week, something will happen that will unmask the upside-down morality of the invasion and occupation of Iraq. On October 21, Iraq will pay $200-million in war reparations to some of the richest countries and corporations in the world. [...] Here is a small sample of who has been getting "reparation" awards from Iraq: Halliburton ($18-million), Bechtel ($7-million), Mobil ($2.3-million), Shell ($1.6-million), Nestle ($2.6-million), Pepsi ($3.8-million), Philip Morris ($1.3-million), Sheraton ($11-million), Kentucky Fried Chicken ($321-thousand) and Toys R Us ($189,449). In the vast majority of cases, these corporations did not claim that Saddam's forces damaged their property in Kuwait—only that they "lost profits" or, in the case of American Express, experienced a "decline in business," because of the invasion and occupation of Kuwait. One of the biggest winners has been Texaco, which was awarded $505-million in 1999 According to a UNCC spokesperson, only 12 per cent of that reparation award has been paid, which means hundreds of millions more will have to come out of the coffers of post-Saddam Iraq. (Common Dreams News Center / The Guardian)</t>
  </si>
  <si>
    <t>Iraq, Kuwait, United Nations, UN, UN Compensation Commission, UNCC, United Nations Compensation Commission, United States, US, America, Saddam Hussein, Bush, Desert Storm, Operation Desert Storm, kuwaiti, iraqi, compensation, gulf, saudi</t>
  </si>
  <si>
    <t>Compensation for Victims of War Operations, Military Mistakes and Terrorist Operations (Law No. 20)</t>
  </si>
  <si>
    <t>Citizens who have been affected by war operations, military mistakes and terrorist acts in Iraq</t>
  </si>
  <si>
    <t>On 1 October 2009, Iraq passed Law No. 20 Compensating the Victims of Military Operations, Military Mistakes and Terrorist Actions. Its Article 1 stipulates that all citizens (‘natural persons’) who have been affected by war operations, military mistakes and terrorist acts in Iraq are entitled to compensation. It also provides support to the victims’ families. The law applies retroactively to incidents occurring on or after 20 March 2003, the date of the American invasion of Iraq. The law identifies five categories eligible for reparation: martyrdom or being missing; full or partial disability; injuries/casualties and conditions requiring short-term treatment; damages to property (including vehicles, houses, agricultural lands, stores and inventory, and companies); and damages affecting employment and study. For the first three categories, the law provides for reparation that can have the form of a one-time grant, a monthly pension or a plot of residential land, to be awarded directly to the victim or to the family of the victim (in the case of martyrdom or loss).
(source: https://nuhanovicfoundation.org/database/2009-iraqi-law-no-20-on-compensating-victims-of-military-operations-military-mistakes-and-terrorist-actions/)</t>
  </si>
  <si>
    <t>Reparations payments are still ongoing but last data on payments are as of 2013.</t>
  </si>
  <si>
    <t>IQD</t>
  </si>
  <si>
    <t>Law on Compensation of Victims of War Operations, Military Mistakes and Terrorist Operations</t>
  </si>
  <si>
    <t>Center for Civilians in Conflict (CIVIC)</t>
  </si>
  <si>
    <t>https://nuhanovicfoundation.org/database/2009-iraqi-law-no-20-on-compensating-victims-of-military-operations-military-mistakes-and-terrorist-actions/#:~:text=On%201%20October%202009%2C%20Iraq,Iraq%20are%20entitled%20to%20compensation.,
https://civiliansinconflict.org/publications/policy/we-hope-but-we-are-hopeless-policy-brief/,
https://civiliansinconflict.org/wp-content/uploads/2018/12/CIVIC_COMPENSATION_ExecSummary_FINALweb.pdf</t>
  </si>
  <si>
    <t>nuhanovicfoundation.org: http://web.archive.org/web/20250712070217/https://nuhanovicfoundation.org/database/2009-iraqi-law-no-20-on-compensating-victims-of-military-operations-military-mistakes-and-terrorist-actions/ [12 July 2025]
civiliansinconflict.org: http://web.archive.org/web/20240618205833/https://civiliansinconflict.org/publications/policy/we-hope-but-we-are-hopeless-policy-brief/ [18 June 2024]
civiliansinconflict.org: http://web.archive.org/web/20250913202955/https://civiliansinconflict.org/wp-content/uploads/2018/12/CIVIC_COMPENSATION_ExecSummary_FINALweb.pdf [13 September 2025]</t>
  </si>
  <si>
    <t>According to the Transitional Justice Evaluation Tools, the cost estimate is: 420 billion IQD (over US$355 million).
28 November 2018, CIVIC:
None of the respondents – including representatives of the central committee and Martyr’s Foundation – provided CIVIC with information about the amounts allocated or paid and CIVIC was unable to find such amounts on official GOI websites or in a copy of the 2017 GOI budget. The most recent media report found on these figures was issued in 2013. According to this report, the government had paid 370 billion Iraqi dinars for compensation under law 20/57 as of January 2013. Al-Monitor. April 17, 2013. “Iraq pays $300 million to Terror Victims,” http://www.almonitor.com/pulse/originals/2013/04/iraq-terrorism-compensation-victims.html#ixzz4GkGpb2ri.</t>
  </si>
  <si>
    <t>NOTE ON CONVERSION: The total compensation disbursed (370 billion Iraqi dinars) is reported as an accumulated figure as of 2013. We assume this figure represents the total value of all payments over the entire period. For comparison purposes, we treat it as a 2013 value and convert it to our year of interest (2024).</t>
  </si>
  <si>
    <t>reparations, compensation, iraqi, iraq, million, billion, victims, terrorism, cost, pays</t>
  </si>
  <si>
    <t>The Remembrance Commission and Fund  (the Remembrance Commission and Scheme of Acknowledgement, Remembrance, and Assistance for Victims in this Jurisdiction of the Conflict in Northern Ireland)</t>
  </si>
  <si>
    <t>Government of Ireland</t>
  </si>
  <si>
    <t>Ireland</t>
  </si>
  <si>
    <t>IRL</t>
  </si>
  <si>
    <t xml:space="preserve">Victims of the Northern Ireland conflict and their families </t>
  </si>
  <si>
    <t>Between the late 1960s and the late 1990s, a violent struggle engulfed Northern Ireland. Shootings, bombings, and assassinations were commonplace. People—divided along religious and political lines—battled over the future of the region. The conflict centered around whether Northern Ireland would remain part of the United Kingdom or split away to reunite with the Republic of Ireland. More than 3,500 people died during those decades of conflict known as the Troubles. And though the period largely ended with a peace deal in 1998, many of Northern Ireland’s Catholics and Protestants continue to live mostly separate lives.
(source: https://education.cfr.org/learn/reading/understanding-northern-irelands-troubles)
The Remembrance Commission and Fund were established by the Irish Government to
give assistance to those who were injured, or to the surviving families of those killed , in
this jurisdiction or who were normally resident here at that time, in an incident relating
to the conflict in Northern Ireland.
(source: https://reparations.qub.ac.uk/assets/uploads/RembCommOverview.pdf)</t>
  </si>
  <si>
    <t>The Commission was initially established for a period of three years, over which period the Government committed to allocating €9m to it (the Remembrance Fund). The Commission’s term of appointment was extended for a further year in October 2006, and again in October 2007. The Commission’s term of appointment formally came to an end on 31 October 2008.</t>
  </si>
  <si>
    <t>Transitional Justice Evaluation Tools (ID: 99)</t>
  </si>
  <si>
    <t>https://www.gov.ie/en/organisation-information/25ee5-remembrance-commission/,
https://reparations.qub.ac.uk/assets/uploads/RembCommOverview.pdf</t>
  </si>
  <si>
    <t>www.gov.ie: http://web.archive.org/web/20241224140854/https://www.gov.ie/en/organisation-information/25ee5-remembrance-commission/ [24 December 2024]
reparations.qub.ac.uk: http://web.archive.org/web/20240519200148/https://reparations.qub.ac.uk/assets/uploads/RembCommOverview.pdf [19 May 2024]</t>
  </si>
  <si>
    <t>Government of Ireland (Remembrance Commission) - Last updated on 3 February 2022:
The Remembrance Commission was established in 2003 to administer a scheme of assistance and remembrance for victims of the Northern Ireland conflict, and their families, in this jurisdiction. The Commission was initially established for a period of three years, over which period the Government committed to allocating €9m to it (the Remembrance Fund). The Commission’s term of appointment was extended for a further year in October 2006, and again in October 2007. The Commission has disbursed over €6.5m to victims and their families in this time. The Commission’s term of appointment formally came to an end on 31 October 2008.
The Remembrance Commission:
The Remembrance Commission and Fund were established by the Irish Government to give assistance to those who were injured, or to the surviving families of those killed, in this jurisdiction or who were normally resident here at that time, in an incident relating to the conflict in Northern Ireland. The Commission has responsibility for the administration of the “Scheme of Acknowledgement, Remembrance and Assistance for Victims in this Jurisdiction of the Conflict in Northern Ireland”.
July 2022:
After the Good Friday Agreement the Irish government established the Remembrance Commission which included displacement as an eligible ground of €15,000 for those displaced ‘from’ Northern Ireland during the Troubles and ‘wish to return to your original jurisdiction’, with a lower amount for Republic of Ireland residents who were displaced due to the violence and wish to return. (Reparations, Responsibility &amp; Victimhood in Transitional Societies)</t>
  </si>
  <si>
    <t>NOTE ON CONVERSION: The total compensation disbursed (€6.5m) is reported as an accumulated figure as of 2007. We assume this figure represents the total value of all payments over the entire period. For comparison purposes, we treat it as a 2007 value and convert it to our year of interest (2024).</t>
  </si>
  <si>
    <t>remembrance, irelands, ireland, protestants, reparations, irish, victims, reunite, conflict, catholics</t>
  </si>
  <si>
    <t>Compensation to Survivors of Magdalene Laundries</t>
  </si>
  <si>
    <t>Survivors of the Magdalene Laundries</t>
  </si>
  <si>
    <t>Magdalene laundries in Ireland were run from 1922-1996 by the Catholic Church. Young girls and women who were pregnant outside of marriage, deemed likely to become pregnant outside of marriage, troubled, or believed to be inconsistent with society by the Catholic Church and/or Irish state were sent to the laundries for reformation and to provide unpaid labour. Approximately 10,000 Irish women were incarcerated in these places. The laundries utilized the slave labour of the incarcerated women to do laundry while the women received no compensation for their work. The living conditions in the Laundries were physicallyand mentally degrading, abusive, and caused physical and mental trauma for the women incarcerated. The Magdalene Laundries were run by Catholic nuns for church profit.
(source: Political Apologies and Reparations Archive)</t>
  </si>
  <si>
    <t>Political Apologies and Reparations Archive (2013.0001.02 - Updated)</t>
  </si>
  <si>
    <t xml:space="preserve">https://www.reuters.com/article/world/ireland-agrees-compensation-for-magdalene-laundries-survivors-idUSBRE95P185/,
https://www.irishtimes.com/news/social-affairs/religion-and-beliefs/nuns-who-ran-magdalene-laundries-have-not-contributed-to-redress-for-women-1.4816666
</t>
  </si>
  <si>
    <t>26 June 2013: The Irish government has agreed to pay up 58 million euros ($75 million) to hundreds of women forced to work at the Catholic Church's notorious Magdalene Laundries after a report found that a quarter of them were sent there by the Irish state. [...] Under the compensation scheme, several hundred surviving inmates will receive up to 100,000 euros ($130,000) each, depending on how long they spent in the laundries, with a total cost to the state of between 34.5 million and 58 million euros. (Reuters)
2 March 2022: A total of €32.8million has so far been paid by the State in awards under a redress scheme created in December 2013 which has given awards since of up to €100,000 to 814 survivors. (The Irish Times)</t>
  </si>
  <si>
    <t>NOTE ON CONVERSION: The total compensation disbursed (€32.8million) is reported as an accumulated figure as of 2022. We assume this figure represents the total value of all payments over the entire period. For comparison purposes, we treat it as a 2022 value and convert it to our year of interest (2024).</t>
  </si>
  <si>
    <t>magdalene, laundries, nuns, laundrieswere, laundry, ireland, catholic, irish, unpaid, labour</t>
  </si>
  <si>
    <t>Reparations to Survivors of Mother-and-baby Homes</t>
  </si>
  <si>
    <t>Survivors of mother-and-baby homes</t>
  </si>
  <si>
    <t>Throughout the mid-1900s, ‘mother and baby homes’ emerged across Ireland to provide refuge for unwed mothers and their babies who were left without adequate support or family. Predominantly ran through church orders and funded by the Irish government, these institutions aimed to support women in a patriarchal environment laden with misogyny and discrimination (Specia, 2021). Women admitted to the homes ranged from 12 to 40 years old, with 80% between the age of 18 and 29 (DCEDIY, 2021). In total, the most recent Commission investigation has revealed that nearly 60,000 unmarried mothers and the same number of children have existed within homes across the country – including a further projection of an additional 25,000 unmarried mothers in homes not subject to investigation (DCEDIY, 2021). Though ‘mother and baby homes’ were not exclusively an Irish phenomenon, the country’s Catholic compass and stigmatisation of unmarried pregnancies drove an exceptionally high proportion of vulnerable Irish women into the homes (DCEDIY, 2021).  Between 1935-1945, nearly half of all ‘illegitimate’ (born out of wedlock) child deaths in Ireland occurred in mother and baby homes – despite only a quarter of ‘illegitimate’ children inhabiting these spaces (DCEDIY, 2021). Thankfully, this number has progressively dropped with each passing decade. The high volume of mothers and babies present in the homes was reflective of the fact that adoption only became legal in 1953, gradually providing a preferable, humane option for vulnerable mothers and children (DCECIY, 2021).
(source: https://www.humanium.org/en/a-shameful-chapter-of-irish-history-mother-and-baby-homes/)</t>
  </si>
  <si>
    <t>https://www.theguardian.com/world/2021/nov/16/irish-government-agrees-800m-package-for-mother-and-baby-home-survivors,
https://www.churchtimes.co.uk/articles/2024/5-january/news/world/irish-government-acts-to-hasten-reparation-payments-to-survivors-of-mother-and-baby-homes</t>
  </si>
  <si>
    <t>www.theguardian.com:
https://web.archive.org/web/20250805032227/https://www.theguardian.com/world/2021/nov/16/irish-government-agrees-800m-package-for-mother-and-baby-home-survivors [05 August 2025]
www.churchtimes.co.uk: http://web.archive.org/web/20250814012133/https://www.churchtimes.co.uk/articles/2024/5-january/news/world/irish-government-acts-to-hasten-reparation-payments-to-survivors-of-mother-and-baby-homes [14 August 2025]
www.irishtimes.com:
https://web.archive.org/web/20250415141125/https://www.irishtimes.com/politics/2024/08/07/hundreds-of-mother-and-baby-home-survivors-receive-first-redress-payments/ [15 April 2025]</t>
  </si>
  <si>
    <t>16 November 2021: Ireland has confronted one of the most painful chapters in its history and agreed an €800m compensation package to thousands of unmarried mothers shunned by society and hidden away in church-run mother and baby homes. The redress scheme was agreed by the government cabinet on Tuesday and will offer up to €65,000 each to survivors of a practice, widely condemned as a shameful and cruel, that spanned almost 80 years of the country’s 100-year history. (The Guardian)
5 January 2024: The €800-million redress scheme was announced by the Irish government in 2021; it is estimated that 34,000 former residents will be entitled to compensation. The scheme followed a five-year investigation into the homes, in which women who became pregnant outside marriage were sent, many under duress, to avoid what was then seen as scandal (News, 15 January 2021). (Church Times)
7 August 2024: More than 450 survivors of mother and baby institutions have been given payments as part of a new redress scheme which opened for applications in March. Under the scheme, the roll-out of which was delayed a number of times, more than €7 million has been paid out so far, with the average payment standing at approximately €15,500. (The Irish Times)</t>
  </si>
  <si>
    <t>NOTE ON CONVERSION: The total compensation disbursed (€7 million) is reported as an accumulated figure as of 2024. We assume this figure represents the total value of all payments over the entire period. For comparison purposes, we treat it as a 2024 value and convert it to our year of interest (2024).</t>
  </si>
  <si>
    <t>ireland, irish, adoption, pregnancies, unmarried, mothers, homes, babies, pregnant, illegitimate</t>
  </si>
  <si>
    <t>Israel Pays Reparations to the United Nations over Count Bernadotte's Death</t>
  </si>
  <si>
    <t>Government of Israel</t>
  </si>
  <si>
    <t>United Nations</t>
  </si>
  <si>
    <t>International or multilateral organisation</t>
  </si>
  <si>
    <t>Count Folke Bernadotte, a Swedish diplomat, was chosen by the United Nations Security Council as a mediator for the Arab-Israeli conflict during 1947-48. Bernadotte was assassinated in 1948, in Jerusalem by the Jewish Zionist terrorist group Lehi.
(source: Political Apologies and Reparations Archive)</t>
  </si>
  <si>
    <t>Political Apologies and Reparations Archive (2005.0188.01 - Updated)</t>
  </si>
  <si>
    <t>https://www.nytimes.com/1950/05/26/archives/israel-to-apologize-in-bernadotte-death-honored-for-service-to.html,
https://www.un.org/unispal/document/auto-insert-178849/</t>
  </si>
  <si>
    <t>www.nytimes.com:
https://web.archive.org/web/20210103092430/https://www.nytimes.com/1950/05/26/archives/israel-to-apologize-in-bernadotte-death-honored-for-service-to.html [03 January 2021]
www.un.org:
https://web.archive.org/web/20231214231829/https://www.un.org/unispal/document/auto-insert-178849/ [14 December 2023]</t>
  </si>
  <si>
    <t>26 May 1950: The Government of Israel has agreed to make a formal apology to the United Nations for the murder of Count Folke Bernadotte, the Palestine mediator who was killed in Jerusalem in September, 1948, it was announced tonight. Israel has also agreed to pay $54,628.00 as reparation to the world organisation and to intensify its search for the assassins. (The New York Times)
Assassination of Count Bernadotte – UN claim for damages from Israel – Letter from Israel (LETTER DATED 14 JUNE 1950):
Having regard to all the circumstances, the Government of Israel has decided, without admitting the validity of all the legal contentions put forward on behalf of the United Nations, to take the action which you requested in your letter. You will find enclosed a remittance of United States $54,628.00 as reparation for the monetary damage borne by the United Nations in connexion with the death of Count Bernadotte. (United Nations)</t>
  </si>
  <si>
    <t>Israel, Palestine, Folke Bernadotte, Bernadotte, United Nations, Arab-Israeli War, Lehi, Stern Gang, Yitzhak Shamir, Natan Yellin-Mor, Yisrael Eldad, Andre Serot, bernadotte, israeli, zionist, reparations, assassinated, reparation, 1948, israel, palestine, jewish</t>
  </si>
  <si>
    <t>Israel Pays Reparations to Uprooted Jewish Settlers</t>
  </si>
  <si>
    <t>Jewish Settlers (West Bank and Gaza Strip)</t>
  </si>
  <si>
    <t>Israel’s disengagement from Gaza in 2005, unilateral withdrawal of all Israeli security forces and settlements from the Gaza Strip in August–September 2005.
(source: https://www.britannica.com/event/Israels-disengagement-from-Gaza)
In 1967 Egypt and other Arab states attacked Israel. In what became known as the six-day war, Israel defeated its attackers and occupied territories now known as the West Bank and the Gaza Strip. During the period of Israeli occupation, which lasted until 1994, and subsequently, a number of Jewish settlements were established in the Gaza Strip, contrary to official agreements between Israel, Egypt and other Arab states. In 2005 Israel withdrew all Jewish settlers from the Gaza Strip, paying them compensation for their houses and other possessions.
(source: Political Apologies and Reparations Archive)</t>
  </si>
  <si>
    <t>Political Apologies and Reparations Archive (2005.0157.01)</t>
  </si>
  <si>
    <t>https://www.aljazeera.com/news/2005/2/16/israel-clears-compensation-for-settlers,
http://nl.newsbank.com/nl-search/we/Archives?p_multi=JG|&amp;p_product=JG&amp;p_theme=realcities2&amp;p_action=search&amp;p_maxdocs=200&amp;s_site=fortwayne&amp;s_trackval=FW&amp;p_text_search-0=israeli%20AND%20parliament%20AND%20oks%20AND%20reparations&amp;s_dispstring=israeli%20parlia (NOT WORKING)</t>
  </si>
  <si>
    <t>Political Apologies and Reparations Archive:
Israel's parliament has agreed to pay reparations to Jewish settlers who will be uprooted when Israel pulls out of the Gaza Strip and part of the West Bank; over 9,000 Jews will receive financial compensation.
16 February 2005: Israel’s parliament has approved payments for settlers to be evacuated from Gaza, clearing a key hurdle for Prime Minister Ariel Sharon’s plan to withdraw from parts of the Occupied Territories. The legislation provides for a total of 3.8 billion shekels, or $870 million, in compensation. Payments per family would range from $200,000 to $500,000, depending on size of assets. (Aljazeera)
17 February 2005: Israel's parliament agreed Wednesday to pay nearly $900 million in compensation to 9,000 Jewish settlers who will be uprooted when Israel pulls out of the Gaza Strip and part of the West Bank. The package, part of a bill authorizing Prime Minister Ariel Sharon's pullout plan, will result in payments of hundreds of thousands of dollars to each settler family forced to leave. (NewsBank)</t>
  </si>
  <si>
    <t>The following source URL is no longer accessible: http://nl.newsbank.com/nl-search/we/Archives?p_multi=JG|&amp;p_product=JG&amp;p_theme=realcities2&amp;p_action=search&amp;p_maxdocs=200&amp;s_site=fortwayne&amp;s_trackval=FW&amp;p_text_search-0=israeli%20AND%20parliament%20AND%20oks%20AND%20reparations&amp;s_dispstring=israeli%20parlia. A snapshot of the original content is available through the Political Apologies and Reparations Archive (2005.0157.01). See attached snapshots.</t>
  </si>
  <si>
    <t>Israel, Palestine, PLO, West Bank, Gaza Strip, Jewish settlers, settlers, Ariel , gaza, reparations, israeli, israels, israel, settlements, payments, jews, jewish, settlers</t>
  </si>
  <si>
    <t>Compensation Awarded for Killing in Qalandriya</t>
  </si>
  <si>
    <t>Family of a Palestinian man shot in the street while walking home in a residential area of the occupied West bank</t>
  </si>
  <si>
    <t>PSE</t>
  </si>
  <si>
    <t>At around noon, on April 15, 2002, a Palestinian resident of the Qalandiya Refugee Camp left the mosque after prayers. As he walked along the street, an Israeli soldier fired a single shot at him, the bullet entered through his back and exited through the chest. The soldier then got into a military vehicle and drove off. The man was rushed to the Arab Care Hospital in Ramallah, where he was pronounced dead. The deceased had been the sole provider of his family; he left behind four small children, his wife, and parents.
(source: https://hamoked.org/document.php?dID=Updates1169)
This commentary documents the progress of a civil claim brought by the family of a Palestinian man shot in the street while walking home in a residential area of the occupied West bank. He was a resident of the Refugee camp in Qualandiya, a small village located between Jerusalem and Ramallah. On behalf of the family, the Hamoked Centre for the Defence of the Individual requested the The Military Advocate General (MAG) to conduct an investigation into the killing. 18 months later the MAG informed the family that the incident did not warrant an investigation.  The family filed a claim with the Israeli State Attourney, asserting Israel’s vicarious liability for the death and seeking compensation for their loss and suffering and for hardship, as the dead man had been the only breadwinner in the family. The State Attourney’s Office denied the facts alleged in the claim but asserted at the same time that the “act of State” doctrine would absolve the State of any liability in the event of such a killing by Israeli Military. It has taken the family a full decade of painstaking persistence and waiting to obtain compensation from the State of Israel. In January 2012, the court endorsed the parties’ settlement agreement, whereby the state would compensate the deceased’s family in the sum of ILS 400,000.  The case is illustrative of the struggle that Palestinians repeatedly face when seeking justice through the Israeli legal system.
(source: https://nuhanovicfoundation.org/database/israel-compensation-awarded-for-killing-in-qalandriya/)</t>
  </si>
  <si>
    <t>ILS</t>
  </si>
  <si>
    <t>Hamoked (Center for the Defence of the Individual)</t>
  </si>
  <si>
    <t>https://nuhanovicfoundation.org/database/israel-compensation-awarded-for-killing-in-qalandriya/,
https://hamoked.org/document.php?dID=Updates1169</t>
  </si>
  <si>
    <t>nuhanovicfoundation.org: http://web.archive.org/web/20250712061123/https://nuhanovicfoundation.org/database/israel-compensation-awarded-for-killing-in-qalandriya/ [12 July 2025]
hamoked.org:
https://web.archive.org/web/20250514131745/https://hamoked.org/document.php?dID=Updates1169 [14 May 2025]</t>
  </si>
  <si>
    <t>The Nuhanovic Foundation:
It has taken the family a full decade of painstaking persistence and waiting to obtain compensation from the State of Israel. In January 2012, the court endorsed the parties’ settlement agreement, whereby the state would compensate the deceased’s family in the sum of ILS 400,000.  The case is illustrative of the struggle that Palestinians repeatedly face when seeking justice through the Israeli legal system. Since 2011 Israel has signalled a new military investigation policy, however improvements in the process and outcomes to date are not encouraging – see our 2014 entry on cases postdating Israel’s new investigation policy.
10 January 2012:
At around noon, on April 15, 2002, a Palestinian resident of the Qalandiya Refugee Camp left the mosque after prayers. As he walked along the street, an Israeli soldier fired a single shot at him, the bullet entered through his back and exited through the chest. The soldier then got into a military vehicle and drove off. The man was rushed to the Arab Care Hospital in Ramallah, where he was pronounced dead. The deceased had been the sole provider of his family; he left behind four small children, his wife, and parents. [...] On January 4, 2012, just under a decade after the man was killed, the court endorsed the parties' settlement agreement, whereby the state would compensate the deceased's family in the sum of ILS 400,000. (Hamoked)</t>
  </si>
  <si>
    <t>palestinian, palestinians, israeli, israel, qalandriya, qualandiya, jerusalem, alleged, compensation, nuhanovic</t>
  </si>
  <si>
    <t>Compensation Awarded for the Illegal Outpost of Amona</t>
  </si>
  <si>
    <t>Palestinians from the villages of Silwad, Ein Yabrud and Taybeh (in the West bank)</t>
  </si>
  <si>
    <t>The case concerns a large area of privately owned Palestinian land which was invaded, fenced in and built upon over many years until it comprised some dozens of buildings, forming the small outpost settlement of Amona. The building erased the formerly agricultural character of the land. The owners were deprived not only of their land but also of its food crops and associated income.
(source: https://nuhanovicfoundation.org/database/israel-jerusalem-magistrates-court-compensation-awarded-for-the-illegal-outpost-of-amona/)</t>
  </si>
  <si>
    <t>NIS</t>
  </si>
  <si>
    <t>Israel Jerusalem Magistrates Court</t>
  </si>
  <si>
    <t xml:space="preserve">https://nuhanovicfoundation.org/database/israel-jerusalem-magistrates-court-compensation-awarded-for-the-illegal-outpost-of-amona/
</t>
  </si>
  <si>
    <t>nuhanovicfoundation.org: http://web.archive.org/web/20250803180746/https://nuhanovicfoundation.org/database/israel-jerusalem-magistrates-court-compensation-awarded-for-the-illegal-outpost-of-amona/ [03 August 2025]</t>
  </si>
  <si>
    <t xml:space="preserve">The Nuhanovic Foundation:
Via the links below you can read about the exceptional case of a successful compensation claim brought by a group of Palestinians from the villages of Silwad, Ein Yabrud and Taybeh (in the West bank), before the Jerusalem Magistrates Court in June 2014.
[...] While it should be noted that by the time of the settlement most of the buildings in the illegal outpost had still not been evacuated, the settlement reached in June nevertheless marks a breakthrough. According to the settlement, the State will pay NIS 300,000 to the six plaintiffs for loss of livelihood (out of dozens of land owners with potential claims over the land). If by the end of 2015 the structures standing on the plaintiffs’ land are not totally evacuated, the State will pay the plaintiffs another total of NIS 48,000. The landowners are considering using the compensation money to establish a legal aid fund for Palestinians whose land was taken over by Israelis.
24 June 2014: Israel will compensate Palestinians whose lands were seized by Israeli settlers to build an outpost at the center of years of legal wrangling. The plaintiffs had sought compensation for financial damages caused to them by Israel’s continued reluctance to evacuate settlers from the Amona outpost, which prevented them from farming their land. In the deal signed at the Jerusalem Magistrate’s Court on Tuesday, the state acknowledged that the plaintiffs had rights over the lands in question and that settlers had erected buildings there without permits, the Ynet news site reported. It also agreed to pay the plaintiffs NIS 350,000 ($102,000) in damages. (The Times of Israel)
</t>
  </si>
  <si>
    <t>settlement, palestinian, palestinians, damages, compensation, israelis, israeli, landowners, jerusalem, plaintiffs</t>
  </si>
  <si>
    <t>Israel Pays Turkey Compensation for Assault on Aid Ship Off Gaza Coast</t>
  </si>
  <si>
    <t>Families of the victims of the 2010 assault on the ship carrying humanitarian aid to the besieged people in Gaza</t>
  </si>
  <si>
    <t>TUR</t>
  </si>
  <si>
    <t>Israeli commandos in 2010 stormed a Gaza-bound Turkish aid vessel Mavi Marmara while it was in international waters, Turkey said, killing nine activists on board and injuring 30.
Turkey demanded an official apology from Israel, compensation for the families of those killed and the lifting of Israel’s Gaza blockade. Three years ago, Israeli Prime Minister Benjamin Netanyahu expressed regret over the incident to Recep Tayyip Erdoğan, then Turkey’s prime minister and now the country’s president.
(source: https://www.politico.eu/article/israel-to-pay-turkey-compensation-for-assualt-on-aid-ship-off-gaza-coast-mavi-marmara/)</t>
  </si>
  <si>
    <t>https://www.politico.eu/article/israel-to-pay-turkey-compensation-for-assualt-on-aid-ship-off-gaza-coast-mavi-marmara/,
https://www.aa.com.tr/en/middle-east/israel-pays-turkey-20m-compensation-over-mavi-marmara/655892</t>
  </si>
  <si>
    <t>www.politico.eu: http://web.archive.org/web/20250519093016/https://www.politico.eu/article/israel-to-pay-turkey-compensation-for-assualt-on-aid-ship-off-gaza-coast-mavi-marmara/ [19 May 2025]
www.aa.com.tr:
https://web.archive.org/web/20231028111658/https://www.aa.com.tr/en/middle-east/israel-pays-turkey-20m-compensation-over-mavi-marmara/655892 [28 October 2023]</t>
  </si>
  <si>
    <t>20 August 2016: Turkey and Israel further normalized relations on Saturday after Turkish parliament approved a deal for Israel to pay compensation for victims of the 2010 assault on the ship carrying humanitarian aid to the besieged people in Gaza, state media reported. The Anadolu news agency said the Turkish parliament has late Friday approved a bill that instructs Israel to pay $20 million to the families as part of a normalization agreement between the two countries struck last month after a six-year freeze in relations. (Politico)
30 September 2016:
Israel on Friday paid Turkey $20 million in compensation over the 2010 Mavi Marmara tragedy involving a Gaza-bound aid flotilla, Turkish diplomatic sources said. On Aug. 20, Turkish parliament approved a deal, involving Tel Aviv paying $20 million to the families of the victims as part of a normalization agreement between Turkey and Israel after a six-year hiatus in ties. Diplomatic ties between Turkey and Israel were disrupted in May 2010 when Israeli commandos killed 10 Turkish activists on the Mavi Marmara, which was headed for Gaza to deliver humanitarian aid.
(Anadolu Agency)</t>
  </si>
  <si>
    <t>israeli, gaza, israel, aid, turkey, turkish, compensation, humanitarian, paya, pay</t>
  </si>
  <si>
    <t>Israel Pays Reparations for Fatal Shootings</t>
  </si>
  <si>
    <t>Families of three Jordanian victims of fatal shootings in a Israeli embassy in 2014 and in 2017</t>
  </si>
  <si>
    <t>Jordan</t>
  </si>
  <si>
    <t>JOR</t>
  </si>
  <si>
    <t>Israel is paying $5 million in compensation to the families of two people shot dead by an Israeli embassy guard last year, as well as a Jordanian judge killed in a 2014 incident.
(source: https://www.timesofisrael.com/israel-pays-families-of-slain-jordanians-5m-in-reparations-report/)</t>
  </si>
  <si>
    <t xml:space="preserve">https://www.timesofisrael.com/israel-pays-families-of-slain-jordanians-5m-in-reparations-report/,
https://www.i24news.tv/en/news/middle-east/165627-180120-israel-paid-5m-compensation-to-families-of-embassy-shootout-victims-report,
https://www.ynetnews.com/article/5073476
</t>
  </si>
  <si>
    <t>www.timesofisrael.com: http://web.archive.org/web/20250423223725/https://www.timesofisrael.com/israel-pays-families-of-slain-jordanians-5m-in-reparations-report/ [23 April 2025]
www.i24news.tv:
https://web.archive.org/web/20251218101731/https://www.i24news.tv/en/news/middle-east/165627-180120-israel-paid-5m-compensation-to-families-of-embassy-shootout-victims-report [18 December 2025]
www.ynetnews.com:
https://web.archive.org/web/20250522184941/https://www.ynetnews.com/article/5073476 [22 May 2025]</t>
  </si>
  <si>
    <t>20 January 2018: Israel is paying $5 million in compensation to the families of two people shot dead by an Israeli embassy guard last year, as well as a Jordanian judge killed in a 2014 incident, diplomats in Jordan told the al-Rai newspaper Saturday. (The Times of Israel)
20 January 2018: Israel has paid $5 million in compensation to the families of two people shot dead by an Israeli embassy guard last year, as well as a Jordanian judge killed in a separate 2014 incident, the al-Rai newspaper reported. The Amman-based paper, cited by the Times of Israel, reported on Saturday that the sum had been handed over to the families however it was unclear as to whether the compensation was provided by the Israeli or Jordanian government. According to Haaretz, sources close to the victims families said that the Jordanian government transferred the money to them upon receiving it from Israel. (i24NEWS)
20 January 2018: Israel has reportedly paid $5 million in compensation to Jordan for the death of two of its citizens at the Israeli embassy in Amman in July and of a Jordanian judge at the Allenby Bridge border crossing in March 2014, diplomats in the kingdom told Jordanian newspaper Al Ghad on Saturday. (Ynet Global)</t>
  </si>
  <si>
    <t>reparations, israeli, jordanians, jordan, jordanian, israel, compensation, paying, amman, shot</t>
  </si>
  <si>
    <t>Israel Pays Compensation for Death of Elderly US-Palestinian Man After IDF Arrest</t>
  </si>
  <si>
    <t>Defence Ministry of Israel</t>
  </si>
  <si>
    <t>Family of Omar As’ad (Palestinian-American man)</t>
  </si>
  <si>
    <t>The Defense Ministry of Israel will compensate to the family of 78-year-old Omar As’ad, an elderly Palestinian-American man who suffered a heart attack after being bound, gagged and abandoned at a construction site in the middle of winter by Israeli soldiers. In return, “the relevant parties agreed to dismiss the claim [regarding the death that was] submitted to the court against the state,” the spokesperson said.
(source: https://www.timesofisrael.com/israel-to-pay-compensation-over-death-of-elderly-us-palestinian-man-report/)</t>
  </si>
  <si>
    <t>https://www.timesofisrael.com/israel-to-pay-compensation-over-death-of-elderly-us-palestinian-man-report/</t>
  </si>
  <si>
    <t>www.timesofisrael.com: http://web.archive.org/web/20221126194125/https://www.timesofisrael.com/israel-to-pay-compensation-over-death-of-elderly-us-palestinian-man-report/ [26 November 2022]</t>
  </si>
  <si>
    <t>7 October 2022: Israel has agreed to pay the family of 78-year-old Omar As’ad some NIS 500,000 ($140,000) in compensation for his death, a Defense Ministry spokesperson told The Times of Israel, confirming a Friday report by the Kan public broadcaster. (The Times of Israel)</t>
  </si>
  <si>
    <t>israeli, omar, palestinian, compensation, israel, pay, pays, 000, elderly, ad</t>
  </si>
  <si>
    <t>Italy War Reparations (Treaty of Paris between Italy and the Allied Powers)</t>
  </si>
  <si>
    <t>Government of Italy</t>
  </si>
  <si>
    <t>Italy</t>
  </si>
  <si>
    <t>ITA</t>
  </si>
  <si>
    <t>Multiple countries (Soviet Union, Greece, Yugoslavia, Albania, and Ethiopia)</t>
  </si>
  <si>
    <t>The Treaty of Paris between Italy and the Allied Powers was signed on 10 February 1947, formally ending World War II hostilities between the parties. It came into general effect on 15 September 1947. [...] Italy was obliged to pay the following war reparations (article 74):
$125,000,000 US to Yugoslavia
$105,000,000 US to Greece
$100,000,000 US to the Soviet Union
$25,000,000 US to Ethiopia
$5,000,000 US to Albania
The amounts were valued in the US dollar at its gold parity on 1 July 1946 ($35 for one ounce of gold). The reparations were to be paid in goods and services over a seven-year period.
(source: https://en.wikipedia.org/wiki/Treaty_of_Paris_between_Italy_and_the_Allied_Powers)</t>
  </si>
  <si>
    <t>The reparations were to be paid in goods and services over a seven-year period.</t>
  </si>
  <si>
    <t>https://en.wikipedia.org/wiki/Treaty_of_Paris_between_Italy_and_the_Allied_Powers,
https://en.wikipedia.org/wiki/World_War_II_reparations#cite_note-66</t>
  </si>
  <si>
    <t>en.wikipedia.org:
https://web.archive.org/web/20250721021126/https://en.wikipedia.org/wiki/Treaty_of_Paris_between_Italy_and_the_Allied_Powers [21 July 2025]
https://web.archive.org/web/20250915161445/https://en.wikipedia.org/wiki/World_War_II_reparations#cite_note-66 [15 September 2025]</t>
  </si>
  <si>
    <t>Hinrichsen (2023): Reparations to the Soviet Bloc were governed by the Paris Peace Treaties, signed on 10 February 1947 between the victors and Italy, Romania, Hungary, Bulgaria, and Finland. The Peace Treaties of Paris specified reparations should be paid by Hungary, Romania, Bulgaria, and Finland, mainly to the Soviet Union. Italy had to pay reparations to the Soviet Union, as well as Greece, Yugoslavia, Albania, and Ethiopia totalling 360 million US dollars. The amounts for Romania, Hungary, and Finland were 300 million US dollars from each, while Bulgaria had to pay 70 million US dollars. The payments were meant to be paid in kind (i.e., in non-monetary goods) but because all countries but Finland and Italy fell under the Soviet umbrella, reparations were later officially cancelled for Hungary, Romania, and Bulgaria [Pag.133].
Wikipedia:
Italy was obliged to pay the following war reparations (article 74):
$125,000,000 US to Yugoslavia
$105,000,000 US to Greece
$100,000,000 US to the Soviet Union
$25,000,000 US to Ethiopia
$5,000,000 US to Albania
The amounts were valued in the US dollar at its gold parity on 1 July 1946 ($35 for one ounce of gold). The reparations were to be paid in goods and services over a seven-year period.
Wikipedia:
Italian reparation payments amounted to about 366 million USD and were paid to the Soviet Union, Greece, Yugoslavia, Albania, and Ethiopia. Finland, Romania and Hungary had to pay reparations worth about 300 million USD each, mostly paid in natural goods. Bulgaria had to pay reparations worth about 70 million USD. Most of these reparations were not paid in full by the countries which later fell under the umbrella of the Soviet Union, because the Soviet Union officially cancelled them.</t>
  </si>
  <si>
    <t>According to Hinrichsen (2023, pag.5), reparations from Italy were repaid in full from 1947 to 1965.
NOTE ON CONVERSION: The payment data were converted using the start year of the payment period as the reference year.</t>
  </si>
  <si>
    <t>Stern v. Generali</t>
  </si>
  <si>
    <t>Assicurazioni Generali</t>
  </si>
  <si>
    <t>Adolf Stern</t>
  </si>
  <si>
    <t>After the Second World War, many European insurance companies, including AXA, Allianz, Generali, Winterthur, and Zurich Insurance Group, refused to honour insurance policies taken out by Holocaust victims in prewar Europe. The Nazi government had an arrangement with insurance companies who would pay a portion of the policy's actual value to the state in exchange for the policy's legal termination with its rightful owner. As of 2010 there were many Holocaust survivors or their heirs who had not recovered the policies of deceased family members because they lacked supporting documentation.
(source: Political Apologies and Reparations Archive)</t>
  </si>
  <si>
    <t>Political Apologies and Reparations Archive (2010.0020.01)</t>
  </si>
  <si>
    <t>https://www.nytimes.com/1999/11/25/world/holocaust-insurance-settlement-reported.html?scp=1%20sq=stern%20v.%20generali%20st=cse</t>
  </si>
  <si>
    <t>www.nytimes.com:
http://web.archive.org/web/20251003074948/https://www.nytimes.com/1999/11/25/world/holocaust-insurance-settlement-reported.html?scp=1%20sq=stern%20v.%20generali%20st=cse [03 October 2025]</t>
  </si>
  <si>
    <t>Political Apologies and Reparations Archive:
Stern v. Assicurazioni Generali is the most famous case of the Holocaust-era insurance claims. Adolf Stern attempted to claim his father’s life insurance policy at a Prague office of Generali after the war, but he was turned away after he failed to produce his father’s death certificate and policy number to the clerk. However, in December 1996, after decades of being ignored, Stern received a copy of his father’s annuity policies from a Generali clerk who found them at an archive warehouse. With these documents, the Stern family was able to file a lawsuit against Generali, seeking $10 million (US) in compensatory damages and $125 million in punitive damages. The two parties settled outside of court which meant that the exact details of the settlement are unknown, but the New York Times reported that the settlement was worth $1.25 million.  
25 November 1999: In the first settlement of litigation over unpaid Holocaust-era life insurance policies, the Italian insurer Assicurazioni Generali has agreed to pay the descendants of one Nazi victim $1.25 million to resolve a single case, according to people knowledgeable about the deal. Terms of the settlement in Stern v. Generali were supposed to remain confidential, but an official with the California insurance commissioner's office revealed the sum in the agreement, which was disclosed to a judge here on Tuesday. (The New York Times)</t>
  </si>
  <si>
    <t>Insurance, Generali, Adolph Stern, Stern, Holocaust, litigation, theft, Nazi, Nazis, Jew, Jewish, Concentration camps, insurer, insurance, lawsuit, adolf, damages, stern, holocaust, litigation, assicurazioni, annuity</t>
  </si>
  <si>
    <t>Generali Pays Compensation to Holocaust Survivors</t>
  </si>
  <si>
    <t>Holocaust survivors holding prewar insurance policies with Generali</t>
  </si>
  <si>
    <t>Political Apologies and Reparations Archive (2010.0018.01)</t>
  </si>
  <si>
    <t>http://query.nytimes.com/gst/fullpage.html?res=9D04E3DD1F3EF93BA15751C0A9619C8B63&amp;scp=2&amp;sq=generali%20holocaust&amp;st=cse</t>
  </si>
  <si>
    <t>www.nytimes.com:
https://web.archive.org/web/20251003075415/https://www.nytimes.com/2007/02/28/business/28insure.html [03 October 2025]</t>
  </si>
  <si>
    <t xml:space="preserve">Political Apologies and Reparations Archive:
On 27 February 2007, a U.S. District Court Judge in Manhattan approved a settlement of a class-action suit against Assicurazioni Generali, Italy's oldest and largest insurance company, for failing to honour prewar life insurance policies of Holocaust victims. Under the agreement, Generali agreed to pay $35 million (US) in addition to the $100 million already paid to resolve Holocaust-era insurance disputes. This money will be used to resolve 5,500 claims brought against Generali through the International Commission on Holocaust Era Insurance Claims (ICHEIC), a commission set up to investigate annuity policies held by Holocaust survivors and heirs.
28 February 2007: A federal judge approved a settlement of a class-action suit yesterday against an Italian insurance company, ending a long-running dispute over payments on life insurance policies taken out by Holocaust victims. The settlement provides less money than Holocaust survivors and relatives had hoped to receive from the company, Assicurazioni Generali, and it significantly raised the chances that the insurer would be able to avoid public scrutiny of its records from the Nazi era. (The New York Times)
</t>
  </si>
  <si>
    <t>Insurance, Generali, Holocaust, litigation, theft, Nazi, Nazi party, Jew, Jewish, Concentration camps, International Commission on Holocaust Era Insurance Claims, ICHEIC, insurer, compensation, holocaust, reparations, assicurazioni, generali, jews, policies, policy</t>
  </si>
  <si>
    <t>The Treaty on Friendship, Partnership and Cooperation Between Italy and Libya</t>
  </si>
  <si>
    <t>Government of Libya</t>
  </si>
  <si>
    <t>Libya</t>
  </si>
  <si>
    <t>LBY</t>
  </si>
  <si>
    <t>In 1912, as part of the Treaty of Lausanne with Turkey, Italy was ceded control over the area that would become Libya. Italian colonization of the area commenced in 1912, and ended with the fall of Libya to British General Montgomery in 1943. Following the Second World War Libya gained its independence. During the period of colonization Italy imposed a government on Libya that has been described as brutal and oppressive. Huge exactions of resources were levied against the population, whose living conditions grew continually worse during the period of occupation by Italy. In addition, a large portion of the local Bedouin population died during the occupation, either as the result of direct conflict with Italian troops or as the result of starvation brought about by being interned.
(source: Political Apologies and Reparations Archive)</t>
  </si>
  <si>
    <t>According to the Treaty, reparations were to be paid over a 20 years period.</t>
  </si>
  <si>
    <t>Political Apologies and Reparations Archive (2008.0031.01 - Updated)</t>
  </si>
  <si>
    <t>https://www.nytimes.com/2008/08/31/world/europe/31iht-italy.4.15774385.html,
https://en.wikipedia.org/wiki/Italy–Libya_relations</t>
  </si>
  <si>
    <t>www.nytimes.com: http://web.archive.org/web/20250918053418/https://www.nytimes.com/2008/08/31/world/europe/31iht-italy.4.15774385.html [18 September 2025]
en.wikipedia.org:
https://web.archive.org/web/20251012013534/https://en.wikipedia.org/wiki/Italy–Libya_relations [12 October 2025]</t>
  </si>
  <si>
    <t>Political Apologies and Reparations Archive:
Italian Prime Minister Silvio Berlusconi announced that Italy would make reparations to Lybia for the wrongs committed there during the period of colonization.
31 August 2008:
Italy agreed over the weekend to pay Libya $5 billion as compensation for its 30-year occupation of the country, which ended in 1943. Prime Minister Silvio Berlusconi of Italy and the Libyan leader, Muammar el-Qaddafi, signed a memorandum pledging a $5 billion compensation package that involves construction projects, student grants and pensions for Libyan soldiers who served with the Italians in World War II. (The New York Times)
Wikipedia ("Italy–Libya relations"):
On 30 August 2008 Silvio Berlusconi signed a Treaty with Muhammar Gaddafi in Benghazi confessing to and apologizing for the damages suffered by the Libyan people during the period of Italian colonialism. That was the first time in history that a country had apologized and compensated (5 billion dollars plus the medical care for those who were harmed from the remnants of colonialism) for its previous colonization. In turn, Libya agreed to fight against illegal migration. [...] The Treaty on Friendship, Partnership and Cooperation between Italy and Libya is composed of three parts: general principles; closing with the past and ending the disputes; and partnership. The first part begins with an official condemnation of Italy's colonization of Libya. The second part, closing with the past, contains the reparation payment of $5 billion to be paid in annual installments of $250 million over a 20-year period. The third, most important part of the Treaty deals with partnership.</t>
  </si>
  <si>
    <t>libya, libyan, italy, italians, silvio, italian, reparations, bedouin, ceded, berlusconi, Lausanne, compensation,  colonial</t>
  </si>
  <si>
    <t>Italy Pays Holocaust Reparations on Behalf of Germany</t>
  </si>
  <si>
    <t>Victims of Nazi persecution and their descendants</t>
  </si>
  <si>
    <t>The Italian government has agreed to pay Holocaust reparations on behalf of Germany in July [2023] via a newly established fund, drawing a mixed reaction from the country’s Jews. The fund was approved by the government of former prime minister Mario Draghi in April 2022, after a legal battle in the UN’s top court between Germany and Italy over continued civil claims against Germany for Nazi war crimes.
(source: https://www.timesofisrael.com/italian-jewish-leader-says-new-67-million-holocaust-reparations-fund-is-a-joke/)</t>
  </si>
  <si>
    <t>The Fund was approved in 2022 and reparations agreed upon in 2023. Payments will be done through 2026.</t>
  </si>
  <si>
    <t>https://www.timesofisrael.com/italian-jewish-leader-says-new-67-million-holocaust-reparations-fund-is-a-joke/,
https://www.reuters.com/world/europe/legal-first-italy-compensates-victims-nazi-crimes-2024-12-04/</t>
  </si>
  <si>
    <t>16 August 2023: The Italian government has agreed to pay Holocaust reparations on behalf of Germany in July via a newly established fund, drawing a mixed reaction from the country’s Jews. The fund was approved by the government of former prime minister Mario Draghi in April 2022, after a legal battle in the UN’s top court between Germany and Italy over continued civil claims against Germany for Nazi war crimes. Last month, the fund was officially allocated 61 million euros (roughly $67 million), which will be made available incrementally over the coming years through 2026. The money is earmarked to compensate victims of Nazi crimes including Jews, Roma, and political prisoners. (The Times of Israel)
4 December 2024: Italy has for the first time paid compensation to victims of Nazi war crimes, giving 800,000 euros ($840,000) to the heirs of a man killed in a 1944 civilian massacre in Tuscany, a lawyer for the heirs and the Italian Treasury said on Wednesday. (Reuters)</t>
  </si>
  <si>
    <t>Some sources report payments starting in 2024.</t>
  </si>
  <si>
    <t>reparations, holocaust, euros, italy, italian, jews, compensation, fund, pay, roma</t>
  </si>
  <si>
    <t>Japan War Reparations (Under the San Francisco Peace Treaty &amp; Bilateral Peace Treaties)</t>
  </si>
  <si>
    <t>Government of Japan</t>
  </si>
  <si>
    <t>Japan</t>
  </si>
  <si>
    <t>JPN</t>
  </si>
  <si>
    <t>Multiple countries (mainly Asian countries)</t>
  </si>
  <si>
    <t>At the end of the Second World War, Japan dealt collectively with the issue of reparations, property and claims with the countries concerned. That was the method that was generally accepted by the international community at the time. Specifically, Japan concluded the San Francisco Peace Treaty, bilateral peace treaties, agreements and instruments with countries concerned, and in accordance with them carried out payment of reparations and other items in good faith. 
(source: https://www.mofa.go.jp/policy/q_a/faq16.html)
According to Article 14 of the Treaty of San Francisco (1951):
It is recognized that Japan should pay reparations to the Allied Powers for the damage and suffering caused by it during the war....Japan will promptly enter into negotiations with Allied Powers so desiring, whose present territories were occupied by Japanese forces and damaged by Japan, with a view to assisting to compensate those countries for the cost of repairing the damage done, by making available the services of the Japanese people in production, salvaging and other work for the Allied Powers in question.
(source: https://en.wikipedia.org/wiki/War_reparations)</t>
  </si>
  <si>
    <t>The 1951 Trealy of Peace between  
Japan and most of the allied nations (San Francisco Treaty of 1951) required Japan to negotiate reparations agreements with countries, whose
territories Japan had occupied during the war. Over the next
eight years, Japan negotiated major reparations agreements with multiple countries.
Payments of reparations started in 1955, lasted for 23 years and ended in 1977 (source: Wikipedia).</t>
  </si>
  <si>
    <t>JPY</t>
  </si>
  <si>
    <t>Political Apologies and Reparations Archive (2005.0234.01 - As background information)</t>
  </si>
  <si>
    <t>Ministry of Foreign Affairs of Japan</t>
  </si>
  <si>
    <t>http://news.bbc.co.uk/1/hi/uk/46730.stm,
https://www.mofa.go.jp/j_info/japan/opinion/umezu.html,
https://en.wikipedia.org/wiki/War_reparations</t>
  </si>
  <si>
    <t>news.bbc.co.uk: http://web.archive.org/web/20240706135820/http://news.bbc.co.uk/1/hi/uk/46730.stm [06 July 2024]
www.mofa.go.jp: http://web.archive.org/web/20230408063017/https://www.mofa.go.jp/j_info/japan/opinion/umezu.html [08 April 2023]
en.wikipedia.org:
https://web.archive.org/web/20250904150716/https://en.wikipedia.org/wiki/War_reparations [04 September 2025]</t>
  </si>
  <si>
    <t>Political Apologies and Reparations Archive:
Japanese Prime Minister Ryutaro Hashimoto apologized for suffering caused by his country during World War II; Hashimoto apologized during a meeting with British Prime Minister Tony Blair.  Hashimoto also announced Japanese reconciliation initiatives worth £800,000 which include joint pilgrimages by British and Japanese war veterans, and scholarships for the grandchildren of British prisoners of war.
12 January 1998: The Japanese Prime Minister has issued an official apology for his country's actions in the Second World War. In a meeting with the British Prime Minister Tony Blair, Prime Minister Ryutaro Hashimoto offered "an expression of deep remorse and heartfelt apology to the people who suffered in the Second World War." In addition to today's apology, Mr Hashimoto announced three initiatives to promote reconciliation which would cost the Japanese Government more than £800,000 this year. These include joint pilgrimages by British and Japanese war veterans to old battlefields and cemeteries, scholarships for the grandchildren of British prisoners of war and a doubling of the number of visits to Japan by former prisoners of war and their grandchildren. Some 9,000 labour camp association members had been demanding an apology and compensation for their treatment as prisoners of war. In the past the Japanese government has insisted that the question of compensation for British prisoners of war has been settled. In 1951 PoWs received a modest amount of money as part of the San Francisco peace treaty. But since then survivors have campaigned for more, saying their suffering has not been adequately recompensed.(BBC News)
10 August 2000: With regard to reparations and compensation arising from events related to the war, Japan has dealt with these issues through the San Francisco Peace Treaty and other bilateral treaties. As far as Japan's relationship with the relevant countries is concerned, the issue of reparations has already been legally resolved. In accordance with these treaties, Japan renounced its assets abroad - estimated to have totalled $2.8 billion at the end of the war - leaving them in the hands of the countries concerned. Furthermore, Japan provided nearly 946 billion yen to a number of Asian countries, including the Philippines, Indonesia, Malaysia, Singapore and the Republic of Korea, in reparations and other payments. The majority of these payments were made during the 1950s and 1960s, the monies offered being the most Japan could afford, given the economic and financial constraints of the day. (Ministry of Foreign Affairs of Japan)
Wikipedia:
War reparations made pursuant to the San Francisco Peace Treaty with Japan (1951) include: reparations amounting to US$550 million (198 billion yen 1956) were made to the Philippines, and US$39 million (14.04 billion yen 1959) to South Vietnam; payment to the International Committee of the Red Cross to compensate prisoners of war (POW) of 4.5 million pounds sterling (4.54109 billion yen) was made; and Japan relinquished all overseas assets, approximately US$23.681 billion (379.499 billion yen).
Japan signed the peace treaty with 49 nations in 1952 and concluded 54 bilateral agreements that included those with Burma (US$20 million 1954, 1963), South Korea (US$300 million 1965), Indonesia (US$223.08 million 1958), the Philippines (US$525 million/52.94 billion yen 1967), Malaysia (25 million Malaysian dollars/2.94 billion yen 1967), Thailand (5.4 billion yen 1955), Micronesia (1969), Laos (1958), Cambodia (1959), Mongolia (1977), Spain ($5.5 million 1957), Switzerland, the Netherlands ($10 million 1956), Sweden and Denmark. Payments of reparations started in 1955, lasted for 23 years and ended in 1977.</t>
  </si>
  <si>
    <t>The year of agreement is 1951, when the San Francisco Peace Treaty was signed. This treaty required Japan to negotiate reparations and economic assistance with countries it had occupied during the war through subsequent bilateral agreements. Over the following years, Japan reached multiple country-specific agreements, resulting in reparations pledges and payments made to several nations.
See: https://digital.library.unt.edu/ark:/67531/metacrs13/m1/1/high_res_d/91-216f_1991Mar07.txt
NOTE ON CONVERSION: Online sources report varying amounts; for consistency, we use the primary source from the Japanese Ministry of Foreign Affairs (2000), which reports total payments of 946 billion yen. The exact year of this nominal value is unclear, so we adopt the year of the source for conversion purposes.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</si>
  <si>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Japan, United Kingdom, World War II, WWII, Second World War, POW, prisoner of war, Ryutaro Hashimoto, Tony Blair, Blair, Hashimoto, Asia, reparations, hashimoto, yen, reconciliation, japanese, ryutaro, japan, remorse, war, compensation</t>
  </si>
  <si>
    <t>Atomic Bomb Survivors Support Law</t>
  </si>
  <si>
    <t>Japanese victims of the atomic bombing Hiroshima and Nagasaki (also those living abroad)</t>
  </si>
  <si>
    <t>On 6 August and 9 August 1954, following four years of open war with Japan and for the official purpose of ending World War II in the Pacific Theatre, the United States dropped an atomic bomb on the Japanese cities of Hiroshima and Nagasaki; an estimated 120,000 individuals, mostly civilians, were killed immediately, and perhaps as many as 250,000 others died over time as a result of radiation poisoning and other nuclear-related illnesses. The American nuclear bombings in Japan were the first and only nuclear attacks in human history, and are widely regarded to be the catalyst for the Japanese imperial government's unconditional surrender to the Allies, which occurred only six days after the second bombing.
(source: Political Apologies and Reparations Archive)
The current support for sufferers of the atomic bombings of Hiroshima and Nagasaki is implemented on the basis of the Atomic Bomb Survivors’ Support Law [...], which was promulgated in December 1994 and enacted in July 1995. The Survivors’ Support Law was formulated by integrating two preceding laws: The Law on Medical Care of the Atomic Bomb Survivors (hereinafter “Medical Care Law”) enacted in 1957 and the Law on Special Measures for the Atomic Bomb Survivors (hereinafter “Special Measures Law”) enacted in 1968. Enactment of the Survivors’ Support Law repealed the two laws.
(source: https://nuclear-justice.net/article/compensation-measures-for-sufferers-of-the-atomic-bombings-of-hiroshima-and-nagasaki-an-explanation-of-the-atomic-bomb-survivors-support-law1/)</t>
  </si>
  <si>
    <t>Reparations payments are still ongoing.
The Atomic Bomb Survivors Support Law of 1994 builds upon earlier measures, like the Atomic Bomb Survivors Medical Treatment Law (1957) and the Law Concerning Special Measures for the Atomic Bomb Exposed. After a 2004 lawsuit, benefits were extended also to the survivors living abroad.</t>
  </si>
  <si>
    <t>Political Apologies and Reparations Archive (2005.0085.01 - Updated)</t>
  </si>
  <si>
    <t>Survivors’ Support Law</t>
  </si>
  <si>
    <t>http://www.theglobeandmail.com/servlet/story/RTGAM.20050926.wbomb0926/BNStory/International/ (NOT WORKING),
https://nap.nationalacademies.org/read/5805/chapter/24</t>
  </si>
  <si>
    <t>Political Apologies and Reparations Archive: A landmark decision was made by a Japanese court, who ruled that a Nagasaki survivor who lived abroad should be entitled to the same benefits as survivors living in Japan. The lawsuit was filed in 2004 by Choi Kye-chul who was a survivor of the Nagasaki bombing, but later returned to live in South Korea. Until this ruling, only officially recognized survivors living in Japan have been eligible for monthly medical allowances up to 140,000 yen (USD 1,250), free medical checkups and funeral costs. There are over 285,000 survivors of the Hiroshima and Nagasaki atomic bomb attacks, including an estimated 5,000 survivors who live abroad.
1998: Funds are also provided for research and investigation related to atomic bomb survivors. The total budgetary outlay in the fiscal year of 1995, that is, from April 1995 to March 1996, was 151 billion Japanese yen (US $ 1.5 billion). (Leif et al.)</t>
  </si>
  <si>
    <t>According to Google:
The Atomic Bomb Survivors Support Law of 1994 builds upon earlier measures, like the Atomic Bomb Survivors Medical Treatment Law (1957) and the Law Concerning Special Measures for the Atomic Bomb Exposed enacted in 1968. After a 2004 lawsuit, benefits were extended also to the survivors living abroad.
(more here: https://nuclear-justice.net/article/compensation-measures-for-sufferers-of-the-atomic-bombings-of-hiroshima-and-nagasaki-an-explanation-of-the-atomic-bomb-survivors-support-law1/)
The “Total Amount Pledged” recorded is based on the 1995 fiscal year budget and is therefore an estimate. It does not represent the total lifetime pledge, as official cumulative figures are not publicly available.
The following source URL is no longer accessible: http://www.theglobeandmail.com/servlet/story/RTGAM.20050926.wbomb0926/BNStory/International/. A snapshot of the original content is available through the Political Apologies and Reparations Archive (2005.0085.01). See attached snapshots.</t>
  </si>
  <si>
    <t>Japan, World War II, World War 2, WWII, WW2, Nagasaki, Hiroshima, bombing, bombings, survivors, bomb, nuclear, civilians, reparations, japanese</t>
  </si>
  <si>
    <t>Reparations to Former "Comfort Women" (through the Asia Women's Fund)</t>
  </si>
  <si>
    <t>Government of Japan (with a contribution of the people of Japan)</t>
  </si>
  <si>
    <t>Former Comfort Women</t>
  </si>
  <si>
    <t>During World War II, the Japanese government forced between 20,000 and 30,000 women from a number of Asian countries to work in military brothels. The women, most frequently Korean, but also from other Japanese-occupied Asian countries, were forced to engage in sexual slavery, and often contracted sexually transmitted diseases as a result of repeated rapes.The Japanese government has provided unofficial compensation to former comfort women through the establishment of the Asia Women's Fund, which provided these women with monetary compensation and an unofficial, signed apology from the Japanese prime minister; however, the Japanese government has refused to provide formal apology or official compensation.
(source: Political Apologies and Reparations Archive)</t>
  </si>
  <si>
    <t>The fund ceased operating in 2007.</t>
  </si>
  <si>
    <t>Political Apologies and Reparations Archive (2006.0028.01 - Updated)</t>
  </si>
  <si>
    <t>https://www.mofa.go.jp/policy/q_a/faq16.html,
http://news.bbc.co.uk/2/hi/asia-pacific/6530197.stm</t>
  </si>
  <si>
    <t>www.mofa.go.jp:
https://web.archive.org/web/20250831072407/https://www.mofa.go.jp/policy/q_a/faq16.html [31 August 2025]
news.bbc.co.uk: http://web.archive.org/web/20250813154351/http://news.bbc.co.uk/2/hi/asia-pacific/6530197.stm [13 August 2025]</t>
  </si>
  <si>
    <t>Ministry of Foreign Affairs of Japan:
The Government of Japan has sincerely dealt with issues of reparations, property, and claims pertaining to the Second World War, including the comfort women issue, under the San Francisco Peace Treaty, which the Government of Japan concluded with 45 countries, including the United States, the United Kingdom, and France, and through other bilateral treaties, agreements, and instruments. These issues including those of claims of individuals have already been legally settled with the parties to these treaties, agreements, and instruments. In 1995, the AWF was established with the cooperation of the people and the Government of Japan for the purpose of carrying out atonement and remedy projects for former comfort women. The Government of Japan provided a total of 4.8 billion yen. Approximately 600 million yen was donated to the AWF by the people of Japan. The Government of Japan extended maximum cooperation to the AWF, which implemented medical and welfare support projects and provided "atonement money," to offer realistic relief to former comfort women. As part of the AWF’s projects, “atonement money” (2 million yen per person), which was funded by donations from Japanese people, was provided to 285 former comfort women (211 for the Philippines, 61 in the Republic of Korea, 13 in Taiwan). Moreover, the AWF provided funds in those countries/areas for medical and welfare support funded with contributions by the Government of Japan. (3 million yen per person in the Republic of Korea and Taiwan, 1.2 million yen for the Philippines) (for a total of 5 million yen per person in the Republic of Korea and Taiwan, 3.2 million yen per person in the Philippines). Furthermore, using funds contributed by the Government of Japan, the AWF extended support for projects to promote social welfare services for elderly people in Indonesia as well as projects to help improve the living conditions of former comfort women in the Netherlands.
Wikipedia:
The Asian Women's Fund (財団法人女性のためのアジア平和国民基金, zaidan hojin josei-no tame no Ajia heiwa kokumin kikin), also abbreviated to アジア女性基金 in Japanese, was a fund set up by the Japanese government in 1994 to distribute monetary compensation to comfort women in South Korea, the Philippines, Taiwan, the Netherlands, and Indonesia. Approximately ¥600 million ($5 million) was donated by the people of Japan and a total of ¥4.8 billion ($40 million) was provided by the Government of Japan. Each survivor was provided with a signed apology from the prime minister, stating "As Prime Minister of Japan, I thus extend anew my most sincere apologies and remorse to all the women who underwent immeasurable and painful experiences and suffered incurable physical and psychological wounds as comfort women. The fund was dissolved on March 31, 2007.
10 Aril 2007:
So he started his explanation of the fund by giving some facts:
565m yen ($4.7m) was raised in donations from the Japanese people, and given to 285 comfort women from Korea, Taiwan and the Philippines, each of whom received about 2m yen ($16,700)
770m yen ($6.5m) in taxpayers' money was provided to pay for medical fees for these women, and for 79 other women from the Netherlands. 370 million yen ($3.1m) was spent building medical facilities and old peoples' homes in Indonesia, rather than compensating individuals there, and the rest was used for the fund's running costs and other smaller projects. (BBC News)</t>
  </si>
  <si>
    <t>NOTE ON CONVERSION: The payment data were converted using the start year of the payment period as the reference year, as no cumulative data on payments were retrievable.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</si>
  <si>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Japan, Korea, Netherlands, United States, comfort women, World War II, World War2, WWII, WW2, japanese, reparations, women, compensation, asia, taiwan</t>
  </si>
  <si>
    <t>The "Hanaoka Fund for Peace and Friendship"</t>
  </si>
  <si>
    <t>The Kajima Corporation</t>
  </si>
  <si>
    <t>Chinese wartime labourers who worked at the Hanaoka copper mine during WWII</t>
  </si>
  <si>
    <t>During the Second World War, Japan forced millions of people living in China, Taiwan and Korea, as well as American POWs, to work in mines and factories that supplied the war effort. Some labourers migrated to Japan in search of work but were then treated as slave labourers, while others were seized by Japanese soldiers and forced to work. Many died on the job due to horrible working conditions and none of these labourers received a working wage. While the business communities and the governments in Austria and Germany have apologized and compensated slave and forced labourers from World War II, the Japanese government refuses to apologize or adopt measures to compensate victims. The amount owed to these labourers in unpaid wages is estimated to be millions of dollars.
(source: Political Apologies and Reparations Archive)
The Provisions of the Settlement:
The Section 2. In order to settle the problem described in Section 2 of the aforementioned joint statement, and to commemorate those who underwent ordeals at the work site of the Hanaoka branch office (We call them "the victims" from now on.), the defendant will entrust a 500 million yen fund to the Chinese Red Cross (From now on, we call it "the interested party."). The interested party will receive and manage this fund, and the appellants will accept this entrustment.
The Section 3. The defendant will deposit the total amount for the trust fund concerning this case to the bank account that will be designated by the attorney for the interested party, Takashi Niimi, by December 11th, 2000.
(source: https://www.jca.apc.org/hanaokajiken/eng%20provisions.htm)</t>
  </si>
  <si>
    <t>Payments data are as of 2001</t>
  </si>
  <si>
    <t>Chinese Red Cross</t>
  </si>
  <si>
    <t>Political Apologies and Reparations Archive (2010.0033.01)</t>
  </si>
  <si>
    <t>https://www.nytimes.com/2000/11/30/world/fund-for-wartime-slaves-set-up-in-japan.html?scp=3&amp;sq=china%20labor%20japan%20mine%20Kajima&amp;st=cse,
http://www.china.org.cn/english/DO-e/19820.htm</t>
  </si>
  <si>
    <t>www.nytimes.com:
https://web.archive.org/web/20251003080315/https://www.nytimes.com/2000/11/30/world/fund-for-wartime-slaves-set-up-in-japan.html?scp=3&amp;sq=china%20labor%20japan%20mine%20Kajima&amp;st=cse [03 October 2025]
www.china.org.cn:
https://web.archive.org/web/20220809023755/http://www.china.org.cn/english/DO-e/19820.htm [09 August 2022]</t>
  </si>
  <si>
    <t>Political Apologies and Reparations Archive:
The Kajima Corporation, one of Japan’'s largest contractors, agreed to settle a class action lawsuit with former labourers and their heirs, creating a fund called the “"Hanaoka Fund for Peace and Friendship”" worth 500 million yen (USD$4.6 million USD) to compensate wartime labourers who worked at its Hanaoka copper mine in 1945.  This translated into roughly USD$4,600 per worker at the mine and represented the first time that a Japanese company has paid financial reparations to Chinese workers. At Hanaoka, labourers were forced to do repair work on a mine in horrible working conditions. Many Chinese labourers died of starvation and exhaustion on the job, which caused labourers to rise up on June 30, 1945, against their Japanese guards.  The uprising was put down almost immediately with armed resistance and approximately 418 Chinese labourers were killed in the process. While the compensation for the victims was relatively small in comparison to other reparations cases, the settlement between Chinese labourers and Kajima represents a major step for similar victims seeking restitution from the Japanese government and business community.
30 November 2000: A potentially far-reaching settlement was reached here today in a court case brought on behalf of nearly 1,000 Chinese who were forced to work in Japan in World War II. The largest general contractor in Japan, the Kajima Corporation, agreed to establish a fund with 500 million yen, or $4.6 million, to compensate wartime laborers at its Hanaoka copper mine and their survivors. The Chinese Red Cross will administer the fund. (The New York Times)
27 September 2001: Twenty-one Chinese survivors of World War II Japanese labor camps have received wartime compensation from a foundation in Beijing. The Hanaoka Foundation for Peace and Friendship gave 250,000 Japanese yen (US$2,000) to each person on September 27 who worked in the Hanaoka labor camp for Japan's major construction firm, Kajima Corp., during the war. [...] Compensation for other survivors or their relatives will proceed gradually, according to an official with the Red Cross Society of China (RCSC). (China Internet Information Center)</t>
  </si>
  <si>
    <t>NOTE ON CONVERSION: The total compensation disbursed (250,000 Japanese yen to 21 Chinese survivors) is reported as an accumulated figure paid as of 2001. We assume this figure represents the total value of all payments over the entire period. For comparison purposes, we treat it as a 2001 value and convert it to our year of interest (2024).
Subsequently, there have been more cases of Japanese companies compensating Chinese forced laborers. See:
https://apjjf.org/ivy-lee/3400/article</t>
  </si>
  <si>
    <t>Japan, Japanese, forced labour, work, labour violation, World War II, Second World War, China, Taiwan, Korea, POWs, POW, Hanaoka, apology, compensation, fund, Kajima, reparations, yen, hanaoka, wages, kajima, labourers, japan, wage, japanese, compensation</t>
  </si>
  <si>
    <t>Japan Pays Compensation to Former Hansen's Disease (Leprosy) Patients (2001 Court Case)</t>
  </si>
  <si>
    <t>Lepers living in Japan</t>
  </si>
  <si>
    <t>Quarantining lepers, a practice which began during the Middle Ages, was maintained by the Japanese government under the Leprosy Prevention Law even after scientists discovered a cure for the disease in 1982 and realized that leprosy was not a particularly communicable disease. Lepers were taken from their homes by the Japanese government and put in secluded treatment centres where they were forced to live in isolation from the rest of society; this practice continued until the law was repealed in 1996. Leprosy patients were forced to perform heavy labour and some even underwent forced sterilization.
(source: Political Apologies and Reparations Archive, 2010.0034.01)
Beginning with the passage of the Leprosy Prevention Law in 1953 until 2001, the government of Japan confined victims of Hansen's Disease (often known as leprosy) to so-called leper colonies, ostensibly to curb the spread of the disease; however, courts found that the Japanese government has mistreated the colonies' inhabitants (including forced termination of pregnancies and sterilisation) and instructed the government to pay restitution to victims, stating that Japan's policy of absolute quarantine... did not have any scientific grounds.
(source: Political Apologies and Reparations Archive, 2006.0005.01 )</t>
  </si>
  <si>
    <t>http://www.nytimes.com/2001/05/24/world/japan-apologizes-to-lepers-and-declines-to-fight-isolation-ruling.html,
https://www.theguardian.com/world/2001/may/24/japan.jonathanwatts,
https://en.wikipedia.org/wiki/Leprosy_in_Japan</t>
  </si>
  <si>
    <t>www.nytimes.com: http://web.archive.org/web/20250405011959/https://www.nytimes.com/2001/05/24/world/japan-apologizes-to-lepers-and-declines-to-fight-isolation-ruling.html [05 April 2025]
www.theguardian.com:
https://web.archive.org/web/20230605125545/https://www.theguardian.com/world/2001/may/24/japan.jonathanwatts [05 June 2023]
en.wikipedia.org:
https://web.archive.org/web/20250924051444/https://en.wikipedia.org/wiki/Leprosy_in_Japan [24 September 2025]</t>
  </si>
  <si>
    <t>Political Apologies and Reparations Archive (2010.0034.01):
In response to a May 11 district court ruling which sided in favour of 127 plaintiffs challenging the Leprosy Prevention Law, the Japanese Prime Minister, Junichiro Koizumi, issued an apology for previous human rights abuses committed against lepers. The Japanese government was also ordered to pay $15 million in damages to the 127 plaintiffs and chose not appeal the court’s decision, despite earlier saying it would.
24 May 2001: Today, the government -- in a stark departure from its usual stance -- issued an apology and said it would not contest a May 11 district court ruling that ordered the authorities to pay $15 million to 127 plaintiffs who challenged the repressive law that kept them isolated for decades. (The New York Times)
24 May 2001: The Japanese prime minister Junichiro Koizumi broke with government policy yesterday when he acknowledged that Japan had grossly mistreated thousands of leprosy sufferers for decades. Mr Koizumi - breaking with a government policy of pursuing all legal cases against the state to the supreme court - said there would be no appeal against a landmark lower court decision 13 days ago which ruled that such treatment was unconstitutional and negligent and awarded 127 leprosy patients a total of 1.82bn yen (£10.4m). (The Guardian)
Wikipedia ("Leprosy in Japan"):
2001 court ruling, apology and patient compensation policy: In May 2001, the Kumamoto District Court ordered the Japanese government to pay compensation to former Japanese leprosy patients. The Japanese government soon afterwards declined to fight the ruling. The Minister of Health, Labor and Welfare would also issue an apology. The Japanese Diet would also pass the Act on Payment of Compensation for Leprosy Sanatoria Residents (Act No. 63 of 2001). In 2002, the Japanese government would also agree to compensate former leprosy patients who were not forced to live in sanitoriums.</t>
  </si>
  <si>
    <t>Japan, Japanese, apology, leper, lepers, leprosy, Leprosy Prevention Law, Junichiro, forced labour, sterilization, sterilize, Koizumi, isolation, sterilisation, sterilization, treatment, quarantine, restitution, disease</t>
  </si>
  <si>
    <t>Reparations to Former Korean "Comfort Women" (Japan–South Korea Agreement)</t>
  </si>
  <si>
    <t>Surviving korean "Comfort Women" and their proxies</t>
  </si>
  <si>
    <t>KOR</t>
  </si>
  <si>
    <t>Comfort women were women and girls forced into sexual slavery by the Imperial Japanese Armed Forces in occupied countries and territories before and during World War II.
(source: https://www.awf.or.jp/e1/facts-01.html)</t>
  </si>
  <si>
    <t>The fund was established under an agreement made in 2015, launched in 2016, and dissolved in 2019.</t>
  </si>
  <si>
    <t>https://www.nytimes.com/2015/12/29/world/asia/comfort-women-south-korea-japan.html,
https://english.kyodonews.net/articles/-/11605,
https://en.wikipedia.org/wiki/Japan–South_Korea_Comfort_Women_Agreement</t>
  </si>
  <si>
    <t>www.nytimes.com: http://web.archive.org/web/20250921172941/https://www.nytimes.com/2015/12/29/world/asia/comfort-women-south-korea-japan.html [21 September 2025]
english.kyodonews.net:
https://web.archive.org/web/20250820165746/https://english.kyodonews.net/articles/-/11605 [20 August 2025]
en.wikipedia.org:
https://web.archive.org/web/20251001102152/https://en.wikipedia.org/wiki/Japan–South_Korea_Comfort_Women_Agreement [01 October 2025]</t>
  </si>
  <si>
    <t xml:space="preserve">Reparations in the United States: 
2015: Japan: $8.3 million to provide old-age care to Korean "Comfort Women" survivors plus a new apology. ("Japan and South Korea Settle Dispute Over Wartime 'Comfort Women'" by Choe Sang-hung, The New York Times, December 28, 2015.)
28 December 2015: More than 70 years after the end of World War II, South Korea and Japan reached a landmark agreement on Monday to resolve their dispute over Korean women who were forced to serve as sex slaves for Japan’s Imperial Army. The agreement, in which Japan made an apology and promised an $8.3 million payment that would provide care for the women, was intended to remove one of the most intractable logjams in relations between South Korea and Japan, both crucial allies to the United States. The so-called comfort women have been the most painful legacy of Japan’s colonial rule of Korea, which lasted from 1910 until Japan’s defeat in 1945.
(The New York Times)
5 July 2019: Under the agreement reached in December 2015 to "finally and irreversibly" settle the comfort women issue, Japan provided 1 billion yen ($9.27 million) to the foundation to help former comfort women and their families. But the deal, struck under the previous administration of President Park Geun Hye, proved unpopular in South Korea, in part because many thought it had failed to reflect the opinions of surviving victims. [...] According to the foundation source, of the 47 women who were alive when the deal was reached, 36 wanted to receive cash payments and 34 of those went on to receive about 10 million yen each. Of the 199 proxies of those who were already dead, 71 wanted to receive the payments and 58 of those went on to receive about 2 million yen each. But some surviving victims refused to take the money. [...] Of the 1 billion yen Japan contributed to the foundation, over 500 million yen remains in its coffers. Civic groups in South Korea opposed to the 2015 agreement are demanding that Seoul return all the money to Japan. (Kyodo News)
Wikipedia ("Japan–South Korea Comfort Women Agreement"):
A foundation was set up in South Korea under the agreement. Japan provided 1 billion yen to the foundation. Of the 47 women who were alive when the agreement was reached, 36 wanted to receive cash payments and 34 of them went on to receive about 10 million yen each. [...] In 2019, the President Moon Jae-in administration dissolved the foundation, effectively annulling the agreement.
</t>
  </si>
  <si>
    <t>korea, korean, japan, reparations, japanese, jp, slavery, wartime, 1945, women</t>
  </si>
  <si>
    <t>Compensation for Victims of Forced Sterilisation Under the Former Eugenic Protection Act</t>
  </si>
  <si>
    <t>Victims of forced sterilization</t>
  </si>
  <si>
    <t>Under the Eugenic Protection Act (1948-1996), it is estimated that some 84,000 people (including 25,000 cases of forced sterilisation) were affected by the Act. Most victims were women and also included minors.
(source: https://www.dpi-japan.org/en/2024/10/23/2024-ex-eugenic-protection-act-new-compensation-law/)
The Eugenic Protection Law, in place from 1948 to 1996, allowed authorities to forcibly sterilize people with disabilities, including those with mental disorders, hereditary diseases or physical deformities, and leprosy. It also allowed forced abortions if either parent had those conditions.
The law had aimed to “prevent the increase of the inferior descendants from the eugenic point of view and to protect the life and health of the mother as well,” according to a copy of the law – which listed “remarkable abnormal sexual desire” and “remarkable clinical inclination” among the conditions targeted. About 25,000 people were sterilized without consent during that period, according to the court ruling, citing ministry data.
(source: https://edition.cnn.com/2024/07/04/asia/japan-supreme-court-sterilization-eugenics-intl-hnk)</t>
  </si>
  <si>
    <t>Transitional Justice Evaluation Tools (ID: 131)</t>
  </si>
  <si>
    <t>https://www.dpi-japan.org/en/2021/06/09/forced-eugenic-surgery-japan/,
https://www.theguardian.com/world/article/2024/jul/03/court-orders-japanese-government-to-pay-damages-over-forced-sterilisations</t>
  </si>
  <si>
    <t>www.dpi-japan.org: http://web.archive.org/web/20250709221025/https://www.dpi-japan.org/en/2021/06/09/forced-eugenic-surgery-japan/ [09 July 2025]
www.theguardian.com:
https://web.archive.org/web/20250726064811/https://www.theguardian.com/world/article/2024/jul/03/court-orders-japanese-government-to-pay-damages-over-forced-sterilisations [26 July 2025]</t>
  </si>
  <si>
    <t>9 June 2021: Two years have passed since the enactment of a lump-sum payment law to compensate for damage caused by forced eugenic surgery under the former Eugenic Protection Act. As compensation for the victims of forced sterilisation under the former Eugenic Protection Act (1948-1996), since April 2019 the lump-sum payment (3.2 million yen, due by 23 April 2024) was available for victims of eugenic surgery under the Act. However, the number of applications is only 1,049 (as of the end of April 2021, according to the MHLW), or 3.9% of the total number of victims, which is very low in view of the Ministry’s estimate of 12,000 alive victims and the fact that the MHLW survey has identified at least 3,400 individual records.
3 July 2024: The government “wholeheartedly” apologised after legislation was passed in 2019 stipulating a lump-sum payment of ¥3.2m (about £15,750 today) for each victim. Survivors said the sum did not match the severity of their suffering and took their fight to court. In those cases, four high courts awarded damages – ¥11m to ¥16m to each plaintiff, as well as ¥2.2m to the spouse of a deceased victim – and ruled that invoking the statute of limitations would be “grossly unjust”. (The Guardian)</t>
  </si>
  <si>
    <t>The Total Amount Pledged has been estimated by multiplying the lump-sum payment amount and the number of applications as of April 2021.</t>
  </si>
  <si>
    <t>eugenic, sterilization, sterilisation, sterilize, sterilized, abortions, victims, hereditary, consent, protection</t>
  </si>
  <si>
    <t>Japan Pays Compensation to Former Hansen's Disease (Leprosy) Patients (2019 Court Case)</t>
  </si>
  <si>
    <t>Family members of former leprosy patients in Japan</t>
  </si>
  <si>
    <t>https://apnews.com/article/24f4278673f34f0582e0714415fa6edf,
http://www.xinhuanet.com/english/2019-07/09/c_138211224.htm,
https://en.wikipedia.org/wiki/Leprosy_in_Japan</t>
  </si>
  <si>
    <t>apnews.com:
https://web.archive.org/web/20251219154743/https://apnews.com/article/24f4278673f34f0582e0714415fa6edf [19 December 2025]
www.xinhuanet.com:
https://web.archive.org/web/20200813201458/http://www.xinhuanet.com/english/2019-07/09/c_138211224.htm [13 August 2020]
en.wikipedia.org:
https://web.archive.org/web/20250924051444/https://en.wikipedia.org/wiki/Leprosy_in_Japan [24 September 2025]</t>
  </si>
  <si>
    <t>28 June 2019: A Japanese court ordered the government on Friday to pay 370 million yen ($3.4 million) in damages to the relatives of former leprosy patients over a segregation policy that severed family ties and caused long-lasting prejudice. Kumamoto District Court ruled that the segregation violated the human rights of the patients and their relatives. The 561 plaintiffs demanded 5.5 million yen ($52,000) each for financial and psychological suffering because of bullying and discrimination in education, jobs and marriage. The court ruled that the government failed to stop the segregation until 1996, decades after leprosy, also known as Hansen’s disease, became curable in the late 1940s. More than 12,000 leprosy patients were kept at 14 isolated sanatoriums across the country, and many were also forcibly sterilized. About 1,500 remain at the facilities today with their ties to families and society severed. (AP News)
9 July 2019: The Japanese government will not appeal against a court ruling handed down recently in Kumamoto Prefecture awarding the state to pay compensation to former leprosy patients' families, local media said Tuesday. The Kumamoto District Court in late June ordered the government to pay damages to the tune of around 370 million yen (3.4 million U.S. dollars) and in doing so ruling in favor of 541 plaintiffs. [...] Of the 561 plaintiffs who are family members of former leprosy patients across the country, 541 were awarded compensation of between 330,000 yen (3,031 U.S. dollars) and 1.43 million yen (13,138 U.S. dollars) each. (XINHUANET.com)
Wikipedia ("Leprosy in Japan"):
2019 court ruling and family compensation laws: On June 28, 2019, a Kumamoto court found in favor of more than 500 relatives of former leprosy patients seeking damages from discriminatory isolation, ordering the Japanese government to pay a total of 370 million yen ($3.4 million). On November 15, 2019, the Japanese Diet (parliamentary body) passed the Act on the Payment of Compensation to Families of Former Hansen’s Disease (Leprosy) Patients (Law No.55 of 2019), which came into force on November 22, 2019. Under the law, the Japanese government acknowledged how former leprosy patients’ family members suffered great distress and hardship over many years under the nation's leprosy discrimination policy, owing to, among other things, the difficulty of forming the types of familial relationships they desired with the patients within a context of prejudice and discrimination. The law also required the government to pay compensation to eligible family members of former leprosy patients while residing in Japan or Japanese controlled land outside of Japan up to August 15, 1945, such as Taiwan, Korea, or other region. In July 2024, the compensation filing deadline was extended to November 21, 2029.</t>
  </si>
  <si>
    <t>Japan Pays Reparations over "Comfort Women" (2021 Court Case)</t>
  </si>
  <si>
    <t>Korean "Comfort Women" or their families</t>
  </si>
  <si>
    <t>KRW</t>
  </si>
  <si>
    <t>https://edition.cnn.com/2021/01/08/asia/japan-comfort-women-damages-intl-hnk,
https://www.npr.org/2021/01/08/954790836/south-korean-court-orders-japan-to-compensate-12-wwii-sex-slaves</t>
  </si>
  <si>
    <t>edition.cnn.com: http://web.archive.org/web/20221127064918/https://edition.cnn.com/2021/01/08/asia/japan-comfort-women-damages-intl-hnk [27 November 2022]
www.npr.org: http://web.archive.org/web/20250906024637/https://www.npr.org/2021/01/08/954790836/south-korean-court-orders-japan-to-compensate-12-wwii-sex-slaves [06 September 2025]</t>
  </si>
  <si>
    <t>8 January 2021: A South Korean judge has ordered the Japanese government to pay damages to 12 victims of war-time sexual slavery, in a historic ruling over war atrocities that have strained the two countries’ relationship for decades. […] The Japanese occupation ended in 1945, but the victims suffered great psychological trauma in the years after the war, as well as pervasive social stigma, the judge said. The judge granted the full amount of $91,000 (100 million won) requested by the plaintiffs, adding that the damage they suffered surpassed that amount. (CNN)
8 January 2021:
The Seoul Central District Court called the forced sexual slavery of the women by Japan's military during the war "a crime against humanity," The Associated Press reports. The court added that that existing deals between governments in Seoul and Tokyo do not prevent individual victims from seeking compensation. The court ordered Japan to pay each woman named in the lawsuit 100 million won ($91,360). (NPR)</t>
  </si>
  <si>
    <t>reparations, victims, slavery, japan, damages, japanese, judge, jp, atrocities, plaintiffs</t>
  </si>
  <si>
    <t>Japan Pays Reparations over "Comfort Women" (2023 Court Case)</t>
  </si>
  <si>
    <t>Anadolu Ajansı</t>
  </si>
  <si>
    <t>https://www.aa.com.tr/en/asia-pacific/south-korean-court-orders-japan-to-pay-compensation-to-comfort-women-/3062784#</t>
  </si>
  <si>
    <t>www.aa.com.tr: http://web.archive.org/web/20231127211256/https://www.aa.com.tr/en/asia-pacific/south-korean-court-orders-japan-to-pay-compensation-to-comfort-women-/3062784 [27 November 2023]</t>
  </si>
  <si>
    <t>23 November 2023: A court in South Korea on Thursday said Japan had engaged in illegal acts when it mobilized “comfort women" around World War II, thus Tokyo should pay compensation to the victims, local media reported. In its decision, the Seoul High Court upended a lower court’s rejection of damages suit filed in 2016 by South Korean victims of Japan’s wartime sexual slavery, Seoul-based Yonhap News said. The court ordered Japan to “pay 200 million won ($154,000) in compensation to each of the 16 victims.” (Anadolu Ajansı)</t>
  </si>
  <si>
    <t>The total amount pledged was calculated by multiplying 200 million won by the 16 victims who received reparations.
Of the 16 plaintiffs, only 3 were alive at the time of the decision; 4 plaintiffs died before the case was filed, and 4 died during the lawsuit itself. In the case where the plaintiff themselves has died, their children or adopted children took over the proceedings in the case. (source: https://www.escr-net.org/caselaw/2024/2021-na-2017165-compensation-for-damage-others-plaintiffs-v-state-of-japan/)</t>
  </si>
  <si>
    <t>reparations, compensation, japan, victims, damages, korea, slavery, japanese, tokyo, court</t>
  </si>
  <si>
    <t>New Compensation Law for Victims of Forced Sterilisation Under the Former Eugenic Protection Act</t>
  </si>
  <si>
    <t>https://edition.cnn.com/2024/07/04/asia/japan-supreme-court-sterilization-eugenics-intl-hnk/index.html,
https://www.dpi-japan.org/en/2024/10/23/2024-ex-eugenic-protection-act-new-compensation-law/</t>
  </si>
  <si>
    <t>edition.cnn.com: http://web.archive.org/web/20250209101922/https://edition.cnn.com/2024/07/04/asia/japan-supreme-court-sterilization-eugenics-intl-hnk/index.html [09 February 2025]
www.dpi-japan.org:
https://web.archive.org/web/20250623001512/https://www.dpi-japan.org/en/2024/10/23/2024-ex-eugenic-protection-act-new-compensation-law/ [23 June 2025]</t>
  </si>
  <si>
    <t>4 July 2024: In a landmark decision, Japan’s Supreme Court has ordered the government to pay damages to people who were forcibly sterilized under a now-defunct eugenics law, ruling the practice was unconstitutional and had violated their rights. The Eugenic Protection Law, in place from 1948 to 1996, allowed authorities to forcibly sterilize people with disabilities, including those with mental disorders, hereditary diseases or physical deformities, and leprosy. It also allowed forced abortions if either parent had those conditions. About 25,000 people were sterilized without consent during that period, according to the court ruling, citing ministry data. Though the government had offered to compensate each victim 3.2 million yen (about $19,800) in 2019 under a relief law, victims and their supporters argued that was far from enough – with a number continuing their fight in court. (CNN World News)
23 October 2024:
On 8 October 2024,the Act on Payment of Compensation, etc. to Persons who have undergone Eugenic Sterilization, etc. based on the former Eugenic Protection Act (the new Compensation Act) was passed, which provides compensation for persons who were forced to undergo sterilization or abortion due to disability or other reasons under the Eugenic Protection Act. On the same day, prior to the passage of the bill, the plenary session of both the House of Representatives and the House of Councilors formally adopted the Apology for Victims of Eugenic Surgery, etc. under the Eugenic Protection Law. The newly passed Compensation Law stipulates that 15 million yen will be paid to victims of forced eugenic surgery themselves, 5 million yen to their spouses and 2 million yen to women who are forced to undergo abortion. The Compensation Act will come into force three months later, in January 2025. Detailed information on procedures and other details is expected to be provided by the competent ministry, the Administration for Children and Families. (Japan National Assembly of Disabled Peoples’ International (DPI-Japan))</t>
  </si>
  <si>
    <t>The total amount pledged is underestimated, as it only reflects the lump-sum amounts pledged to the three categories of victims added together.</t>
  </si>
  <si>
    <t>eugenics, eugenic, sterilization, sterilisation, sterilize, sterilized, abortions, abortion, hereditary, consent</t>
  </si>
  <si>
    <t>Kenya Pays Reparations to Indigenous Ogiek People</t>
  </si>
  <si>
    <t>Government of Kenya</t>
  </si>
  <si>
    <t>Kenya</t>
  </si>
  <si>
    <t>KEN</t>
  </si>
  <si>
    <t>Indigenous Ogiek people</t>
  </si>
  <si>
    <t>Since British colonial rule, the Ogiek have been subject to violent evictions from their ancestral lands in the Mau Forest Complex in western Kenya. Today, the Kenyan government contends that evictions are necessary to protect the Mau Forest, an important water catchment, from further deforestation and says the land is subject to government control for conservation ends. In 2009, the community decided to take legal action after receiving a 30-day eviction notice. The community, along with the Centre for Minority Rights Development (CEMIRIDE) and Minority Rights Group International (MRG), petitioned the African Commission on Human and Peoples’ Rights (Commission). That marked the beginning of a legal battle that would last for 13 years, while communities remaining in the forests faced more threats of evictions and human rights abuses. Hundreds of families were left homeless after their homes were demolished and many more were beaten to ensure they left.
(source: https://news.mongabay.com/2022/06/african-court-rules-in-favor-of-indigenous-land-titles-reparations-from-the-kenyan-govt/)</t>
  </si>
  <si>
    <t>Mongabay</t>
  </si>
  <si>
    <t>https://news.mongabay.com/2022/06/african-court-rules-in-favor-of-indigenous-land-titles-reparations-from-the-kenyan-govt/</t>
  </si>
  <si>
    <t>news.mongabay.com: http://web.archive.org/web/20250717182702/https://news.mongabay.com/2022/06/african-court-rules-in-favor-of-indigenous-land-titles-reparations-from-the-kenyan-govt/ [17 July 2025]</t>
  </si>
  <si>
    <t>28 June 2022: In 2017, the African Court of Human and Peoples’ Rights found that the Kenyan government had violated seven articles of the African Charter on Humans and Peoples’ Rights by repeatedly evicting the Ogiek from their ancestral lands. But the court said it would rule on the issue of reparation on a separate date. [...] Last Thursday, the court finally delivered the reparations judgment. In court documents seen by Mongabay, the court unanimously dismissed all the arguments put forward by the Kenyan government to its 2017 judgment and ordered that the state pay $491,295 in material damages and $849,256 in moral damages to the Ogiek community. This money should be deposited in a Development Fund for the Ogiek, to be established within 12 months. (Mongabay)</t>
  </si>
  <si>
    <t>Implementation status (as of 2025):
[...] the Respondent (Republic of Kenya) has not fully complied with the Court’s Judgments on the Merits (26 May 2017) and on Reparations (23 June 2022), particularly in relation to the recognition of the Ogiek as an Indigenous people, the protection of their ancestral lands, and the publication of the Court’s judgments as previously ordered. Finds that the Respondent’s continued non-implementation of the Court’s Judgments and Orders constitutes a violation of Articles 1 and 27 of the Protocol establishing the Court. (source: https://www.lawyersofafrica.org/delivery-of-decision-by-the-african-court-on-human-and-peoples-rights-african-commission-on-human-and-peoples-rights-v-republic-of-kenya/)</t>
  </si>
  <si>
    <t>kenya, kenyan, african, eviction, evictions, indigenous, ogiek, rights, evicting, reparations</t>
  </si>
  <si>
    <t>Gwangju Compensation Act (Act for Compensation to the Victims of the Gwangju Democracy Movement) - Law No. 4266 of 1990</t>
  </si>
  <si>
    <t>Government of South Korea</t>
  </si>
  <si>
    <t>Victims of the Gwangju Democracy Movement</t>
  </si>
  <si>
    <t>The Gwangju Democratization Movement, also known in South Korea as May 18 Democratization Movement (Korean: 오일팔 민주화운동; RR: Oilpal minjuhwaundong; lit. Five One Eight Democratization Movement), was a series of student-led demonstrations that took place in Gwangju, South Korea, in May 1980, against the coup of Chun Doo-hwan. The uprising was violently suppressed by the South Korean military in a massacre.
(source: https://en.wikipedia.org/wiki/Gwangju_Uprising)</t>
  </si>
  <si>
    <t>United Nations (Report of the Special Rapporteur on the promotion of truth, justice, reparation and guarantees of non-recurrence, Fabián Salvioli, on his visit to the Republic of Korea)</t>
  </si>
  <si>
    <t>https://documents.un.org/doc/undoc/gen/g23/128/72/pdf/g2312872.pdf</t>
  </si>
  <si>
    <t>According to the Transitional Justice Evaluation Tools, the cost estimate is 142.8 billion won.
The Transitional Justice Data Base: The National Assembly enacts the Act for Compensation to the Victims of the Gwangju Democracy Movement to provide compensation for victims of the former authoritarian regime. Compensation is paid through 1998.
6 July 2023: The Government has provided cash compensation to victims of the Gwangju uprising and their families and has offered additional support, such as medical insurance, home loans and education and employment assistance. Between 1990 and 2015, 5,807 victims received 43.2 million won per person in compensation, for a total amount of 251,119 million won. (United Nations)</t>
  </si>
  <si>
    <t>NOTE ON CONVERSION: The total compensation disbursed (251,119 million won) is reported as an accumulated figure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</si>
  <si>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gwangju, compensation, victims, uprising, justice, protest, korean, paid, million, total</t>
  </si>
  <si>
    <t>Act on the Honor Restoration and Compensation to Persons Related to Democratization Movements (originally Act 6123 of January 12, 2000)</t>
  </si>
  <si>
    <t>Persons who have sacrificed themselves for democratization movements and their bereaved family members</t>
  </si>
  <si>
    <t>ACT ON THE HONOR RESTORATION OF AND COMPENSATION TO PERSONS RELATED TO DEMOCRATIZATION MOVEMENTS:
Article 1 (Purpose): The purpose of this Act is to ensure stable livelihood and enhanced welfare of persons who have sacrificed themselves for democratization movements and their bereaved family members by having the State restore their honor and pay them compensation, and to contribute to the development of democracy and national harmony.
(source: https://elaw.klri.re.kr/eng_mobile/viewer.do?hseq=34955&amp;type=sogan&amp;key=15)</t>
  </si>
  <si>
    <t>Transitional Justice Evaluation Tools (ID: 109)</t>
  </si>
  <si>
    <t>https://elaw.klri.re.kr/eng_mobile/viewer.do?hseq=34955&amp;type=part&amp;key=8</t>
  </si>
  <si>
    <t>elaw.klri.re.kr: http://web.archive.org/web/20220120225656/https://elaw.klri.re.kr/eng_mobile/viewer.do?hseq=34955&amp;type=part&amp;key=8 [20 January 2022]</t>
  </si>
  <si>
    <t>According to the Transitional Justice Evaluation Tools: As of December 28, 2006, USD $28,700,000 had been awarded in compensation.</t>
  </si>
  <si>
    <t>NOTE ON CONVERSION: The total compensation disbursed ($28,700,000) is reported as an accumulated figure as of 2006. We assume this figure represents the total value of all payments over the entire period. For comparison purposes, we treat it as a 2006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</si>
  <si>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honor, compensation, justice, welfare, democratization, sacrificed, restoration, pay, act, democracy</t>
  </si>
  <si>
    <t>South Korea Pays Reparations to Vietnamese Victim of 1968 Massacre</t>
  </si>
  <si>
    <t>Nguyen Thi Thanh, a vietnamese woman who survived a massacre of civilians by South Korean troops in Vietnam in 1968</t>
  </si>
  <si>
    <t>Vietnam</t>
  </si>
  <si>
    <t>VNM</t>
  </si>
  <si>
    <t>Nguyen Thi Thanh was eight when Korean soldiers entered two Vietnamese villages in February 1968 and killed dozens, including two of her siblings. A judge in Seoul acknowledged Nguyen’s relatives were ‘killed on the spot and the plaintiff seriously wounded.
(source: https://www.scmp.com/week-asia/people/article/3209406/south-korea-pay-us24000-vietnamese-woman-who-survived-military-massacre)</t>
  </si>
  <si>
    <t>South China Morning Post</t>
  </si>
  <si>
    <t>https://www.scmp.com/week-asia/people/article/3209406/south-korea-pay-us24000-vietnamese-woman-who-survived-military-massacre</t>
  </si>
  <si>
    <t>www.scmp.com:
https://web.archive.org/web/20241116113945/https://www.scmp.com/week-asia/people/article/3209406/south-korea-pay-us24000-vietnamese-woman-who-survived-military-massacre [16 November 2024]</t>
  </si>
  <si>
    <t>8 February 2023: South Korea to pay US$24,000 to Vietnamese woman who survived military massacre. Nguyen Thi Thanh was eight when Korean soldiers entered two Vietnamese villages in February 1968 and killed dozens, including two of her siblings. (South China Morning Post)</t>
  </si>
  <si>
    <t>Update as 2025:
(17 January 2025) A court of appeals on Friday upheld a lower court's ruling in favor of a Vietnamese national seeking compensation from Korea after losing family members and suffering wounds when Korean Marines killed dozens of civilians during the Vietnam War. The appellate division of the Seoul Central District Court made the ruling, ordering the Korean government to pay 30 million won ($20,580) and the corresponding delay damages to Nguyen Thi Thanh, a 64-year-old woman who claimed she lost family members and was wounded during a massacre of about 70 Vietnamese civilians by Korean troops in a village in Vietnam's Quang Nam Province in 1968. (source: https://www.koreatimes.co.kr/southkorea/politics/20250117/korean-govt-to-compensate-vietnam-war-massacre-victim-court-confirms)</t>
  </si>
  <si>
    <t>vietnamese, nguyen, vietnam, korea, korean, seoul, reparations, civilians, massacre, soldiers</t>
  </si>
  <si>
    <t>South Korea Pays Compensation to Victims of Japan's Wartime Forced Labour</t>
  </si>
  <si>
    <t>Government of South Korea (by donations of private companies)</t>
  </si>
  <si>
    <t>Victims of Japan's wartime forced labour</t>
  </si>
  <si>
    <t>South Korea has controversially agreed to pay compensation to its own citizens who were forced to work in Japanese factories during World War Two. Seoul's proposal aims to resolve a colonial grievance that has long hindered relations between the nations. Officials on both sides hailed the proposal as a breakthrough [...]. But victims and opponents of the plan in South Korea have criticised the agreement, saying it does not hold Japan accountable. About 150,000 Koreans were forced to work in factories and mines in Japan in the war, due to Japan's colonisation of the Korean peninsula from 1910-1945.
(source: https://www.bbc.com/news/world-asia-64858944)</t>
  </si>
  <si>
    <t>https://www.bbc.com/news/world-asia-64858944</t>
  </si>
  <si>
    <t>www.bbc.com:
https://web.archive.org/web/20250813213943/https://www.bbc.com/news/world-asia-64858944 [13 August 2025]</t>
  </si>
  <si>
    <t>6 March 2023: South Korea has controversially agreed to pay compensation to its own citizens who were forced to work in Japanese factories during World War Two. […] Seoul's plan proposes that South Korean companies who benefited from a 1965 post-war treaty will pay donations. The fund of $3m (£2.5m) will be distributed among the families of 15 original plaintiffs, only three of whom remain alive. All three have said they will refuse to accept the money. (BBC News)</t>
  </si>
  <si>
    <t>koreans, korea, compensation, korean, pays, japan, seoul, donations, pay, victims</t>
  </si>
  <si>
    <t>Compensation for Survivors of May 18 Gwangju Democratization Movement</t>
  </si>
  <si>
    <t>Survivors and bereaved families of the May 18 Gwangju Democratization Movement</t>
  </si>
  <si>
    <t>https://koreajoongangdaily.joins.com/news/2024-09-05/national/socialAffairs/-High-court-upholds-mental-damage-compensation-ruling-for-Gwangju-uprising-victims/2128700,
https://www.donga.com/en/article/all/20241202/5328868/1</t>
  </si>
  <si>
    <t>koreajoongangdaily.joins.com: http://web.archive.org/web/20250621193944/https://koreajoongangdaily.joins.com/news/2024-09-05/national/socialAffairs/-High-court-upholds-mental-damage-compensation-ruling-for-Gwangju-uprising-victims/2128700 [21 June 2025]
www.donga.com: http://web.archive.org/web/20250113195451/https://www.donga.com/en/article/all/20241202/5328868/1 [13 January 2025]</t>
  </si>
  <si>
    <t xml:space="preserve">5 September 2024: A court of appeals on Thursday upheld a lower court's ruling in favor of psychological damage compensation for hundreds of victims of the brutal crackdown on the 1980 pro-democracy uprising in the southwestern city of Gwangju. The Seoul High Court ordered the government to pay 43 billion won ($32.2 million) to 880 Gwangju uprising-related victims and their families to compensate for their psychological sufferings, saying it will maintain the standards for calculating their damages set by the first trial.(Korea JoongAng Daily)
2 December 2024: Eight hundred and forty survivors and bereaved families of the May 18 Gwangju Democratization Movement achieved victory in a damages lawsuit against the Korean government. This marks the largest group to participate in a lawsuit asserting the right of May 18 movement survivors to claim state compensation. According to legal sources on Sunday, the First Division of the Supreme Court upheld a lower court ruling on Thursday, ordering the government to pay 43.065 billion won in compensation to 840 survivors and bereaved families. The decision was confirmed without further deliberation under the Supreme Court's procedure for dismissing cases without substantive review when no issues are found with lower court rulings. (dongA.com)
</t>
  </si>
  <si>
    <t>gwangju, uprising, seoul, damages, protest, korea, lawsuit, korean, victims, appeals</t>
  </si>
  <si>
    <t>Law No. 4/L-172: On Amending and Supplementing the Law No.04/L-054 On the Status and the Rights of the Martyrs, Invalids, Veterans, Members of Kosovo Liberation Army, Sexual Violence Victims of the War, Civilian Victims of War and their Families</t>
  </si>
  <si>
    <t>Government of Kosovo</t>
  </si>
  <si>
    <t>Kosovo</t>
  </si>
  <si>
    <t>XKX</t>
  </si>
  <si>
    <t>Martyrs, Invalids, Veterans, Members of Kosovo Liberation Army, Sexual Violence Victims of the War, Civilian Victims of War and their Families</t>
  </si>
  <si>
    <t>Law No. 04/L-172 on Amending and Supplementing the Law No.04/l-054 on the Status and the Rights of the Martyrs, Invalids, Veterans, Members of Kosovo Liberation Army, Sexual Violence Victims of the War, Civilian Victims and Their Families:
The aim of this Law is to amend and supplement the Law no.03/L-054 on the Status and the Rights of the Martyrs, Invalids, Veterans, Members of Kosovo Liberation Army, Civilian Victims and their Families published in the Official Gazette dated 28.12.2011.
(source: https://www.legal-tools.org/doc/fu3h87/)</t>
  </si>
  <si>
    <t>Transitional Justice Evaluation Tools (ID: 139)</t>
  </si>
  <si>
    <t>http://old.kuvendikosoves.org/common/docs/ligjet/04-L-172%20a.pdf</t>
  </si>
  <si>
    <t>old.kuvendikosoves.org: http://web.archive.org/web/20250614110346/http://old.kuvendikosoves.org/common/docs/ligjet/04-L-172%20a.pdf [14 June 2025]</t>
  </si>
  <si>
    <t>The Transitional Justice Evaluation Tools:
In November 2017, the Minister of Finance allocated €1 million from the 2018 budget to go towards the policy. This policy is the amendment to the original law passed in 2011, Law No.04/L-054 On the Status and the Rights of the Martyrs, Invalids, Veterans, Members of Kosovo Liberation Army, Sexual Violence Victims of the War, Civilian Victims of War and their Families. Also in January 2023 the Kosovo government decided to extend the deadline for applications, which lapsed in February 2023. The amendment has not yet been passed.</t>
  </si>
  <si>
    <t>Kosovo doesn't have an official ISO code because the International Organization for Standardization (ISO) does not formally recognize it as a country.
According to the TJET:
This policy is the amendment to the original law passed in 2011, Law No.04/L-054 On the Status and the Rights of the Martyrs, Invalids, Veterans, Members of Kosovo Liberation Army, Sexual Violence Victims of the War, Civilian Victims of War and their Families. Also in January 2023 the Kosovo government decided to extend the deadline for applications, which lapsed in February 2023. The amendment has not yet been passed.</t>
  </si>
  <si>
    <t>kosovo, amend, amending, transitional, veterans, amendment, victims, deadline, justice, status</t>
  </si>
  <si>
    <t>Reparations for KLA War Victims from Salih Mustafa</t>
  </si>
  <si>
    <t>Kosovo Ex-Guerrilla Salih Mustafa</t>
  </si>
  <si>
    <t>Victims of Salih Mustafa's war crimes</t>
  </si>
  <si>
    <t>Mustafa was found guilty in December [2022] of three war crimes charges including the arbitrary detention and torture of at least six detainees and the murder of one prisoner, and sentenced to 26 years in prison. The court found that he committed the crimes against civilian prisoners at a KLA detention centre in the village of Zllash/Zlas while he was a commander in the KLA’s Llap Operation Zone in north-east Kosovo. The verdict can be appealed.
(source: https://balkaninsight.com/2023/04/06/kosovo-ex-guerrilla-ordered-to-pay-war-victims-e207000/)</t>
  </si>
  <si>
    <t xml:space="preserve">Kosovo Specialist Chambers </t>
  </si>
  <si>
    <t>https://balkaninsight.com/2023/04/06/kosovo-ex-guerrilla-ordered-to-pay-war-victims-e207000/</t>
  </si>
  <si>
    <t>balkaninsight.com: http://web.archive.org/web/20241129163715/https://balkaninsight.com/2023/04/06/kosovo-ex-guerrilla-ordered-to-pay-war-victims-e207000/ [29 November 2024]</t>
  </si>
  <si>
    <t>6 April 2023: A panel of judges at the Kosovo Specialist Chambers in The Hague decided on Thursday that Salih Mustafa, the wartime commander of one of the Kosovo Liberation Army’s operational zones should pay 207,000 euros in compensation “for the harm inflicted on the victims of the crimes for which he is convicted”. (BIRN)</t>
  </si>
  <si>
    <t>Kosovo doesn't have an official ISO code because the International Organization for Standardization (ISO) does not formally recognize it as a country.
Implementation status:
4 May 2023: Last month [April 2023], Salih Mustafa was ordered to pay more than 200,000 euros to his victims for the suffering he allegedly inflicted during Kosovo’s fight for independence. But the former Kosovo Liberation Army (KLA) prison officer has been declared indigent and the court has no compensation fund.
(source: https://www.justiceinfo.net/en/116359-kosovo-specialist-chambers-orders-reparations-will-victims-see-money.html)</t>
  </si>
  <si>
    <t>reparations, kosovo, mustafa, detainees, sentenced, prisoners, prisoner, convicted, victims, hague</t>
  </si>
  <si>
    <t>Reparations for KLA War Victims from Pjeter Shala</t>
  </si>
  <si>
    <t>Kosovo Albanian former guerrilla Pjeter Shala</t>
  </si>
  <si>
    <t>Victims of Pjeter Shala's war crimes</t>
  </si>
  <si>
    <t>The alleged crimes with which Shala is charged took place between approximately 17 May 1999 and 5 June 1999 against persons detained at the Kukёs Metal Factory (Albania) allegedly used by the KLA. According to the indictment, the victims of these crimes were all FRY citizens, who did not actively take part in hostilities.
The charges are the following:
FOUR COUNTS OF WAR CRIMES
Arbitrary detention (Count 1)
Cruel treatment (Count 2)
Torture (Count 3)
Murder (Count 4)
(source: https://www.scp-ks.org/en/cases/pjeter-shala)</t>
  </si>
  <si>
    <t>Kosovo Specialist Chambers &amp; Specialist Prosecutor's Office</t>
  </si>
  <si>
    <t>Genocide Watch</t>
  </si>
  <si>
    <t>https://www.genocidewatch.com/single-post/kosovo-accused-of-resisting-reparations-for-kla-war-victims,
https://www.scp-ks.org/en/trial-panel-i-orders-p-shala-pay-eu208000-reparations-victims</t>
  </si>
  <si>
    <t>www.genocidewatch.com: http://web.archive.org/web/20250521091410/https://www.genocidewatch.com/single-post/kosovo-accused-of-resisting-reparations-for-kla-war-victims [21 May 2025]
www.scp-ks.org
https://web.archive.org/web/20250814114315/https://www.scp-ks.org/en/trial-panel-i-orders-p-shala-pay-eu208000-reparations-victims [14 August 2025]</t>
  </si>
  <si>
    <t>15 November 2024:
A court in The Hague trying Kosovo Albanian former guerrilla fighters has begun issuing compensation orders for their victims, but getting hold of the money is proving difficult. Sentenced in July to 18 years in prison for war crimes committed during the 1998-99 Kosovo war, Kosovo Albanian former guerrilla Pjeter Shala will find out at the end of November how much compensation he owes his victims. Experience so far, however, cast doubts as to whether he they will ever be paid. (Genocide Watch)
29 November 2024:
Today, on 29 November 2024, in a public hearing, Trial Panel I issued the reparation order in the case of The Specialist Prosecutor v. Pjetër Shala. Pjetër Shala (Mr. Shala) was found guilty on 16 July 2024 of the war crimes of arbitrary detention, torture, and murder and was sentenced to 18 years of imprisonment, with credit for time served. In this case, eight participating victims claimed reparations. The Panel ordered Mr. Shala to pay a sum of €208,000 as compensation for the physical, mental and material harm inflicted on the victims of the crimes for which he was convicted. The individual compensation for the eight victims ranges between €100,000 and €8,000, while seven victims were also collectively awarded, in addition, the sum of €50,000. These amounts followed the Victims’ Counsel’s request, which the Trial Panel considered to be reasonable and to reflect the scope and extent of the harm suffered by the victims. [...]
While the Panel recalled that the responsibility to pay the compensation lies exclusively with Mr. Shala, they noted that Mr. Shala currently does not appear to have the means to comply with the order. Therefore, the Panel discussed other actors that may step in, in order to execute the Reparation Order, in particular Kosovo. The Panel first noted that Kosovo’s current Crime Victim Compensation Program could be one way to execute the Reparation Order, although the maximum sums per victim which can be awarded under this program are less than the amounts awarded in the Reparation Order. (Kosovo Specialist Chambers &amp; Specialist Prosecutor's Office)</t>
  </si>
  <si>
    <t>Kosovo doesn't have an official ISO code because the International Organization for Standardization (ISO) does not formally recognize it as a country.
Implementation status:
Mr. Shala currently does not appear to have the means to comply with the order. Therefore, the Panel discussed other actors that may step in, in order to execute the Reparation Order, in particular Kosovo.
(source: Kosovo Specialist Chambers &amp; Specialist Prosecutor's Office)</t>
  </si>
  <si>
    <t>kosovo, albania, albanian, imprisonment, reparation, reparations, kla, shala, sentenced, victims</t>
  </si>
  <si>
    <t>Kyrgyzstan Pays Compensation to Victims’ Families of Violence in Osh and Jalal-Abad</t>
  </si>
  <si>
    <t>Government of Kyrgyzstan</t>
  </si>
  <si>
    <t>KGZ</t>
  </si>
  <si>
    <t>Families of the victims of ethnic violence in Osh and Jalal-Abad in June 2010</t>
  </si>
  <si>
    <t>Crowds of Kyrgyz from the countryside flocked to Osh, Jalal-Abad, and other towns to join the local Kyrgyz and Uzbek crowds to attack each other's neighborhoods. From 11 June through 14 June, there were killings and tortures, looting and setting fire to homes and businesses.
(source: https://en.wikipedia.org/wiki/2010_South_Kyrgyzstan_ethnic_clashes)</t>
  </si>
  <si>
    <t>Eurasianet</t>
  </si>
  <si>
    <t>https://eurasianet.org/kyrgyzstan-to-pay-osh-victims-families-can-it-be-done-fairly</t>
  </si>
  <si>
    <t>eurasianet.org:
https://web.archive.org/web/20240420104038/https://eurasianet.org/kyrgyzstan-to-pay-osh-victims-families-can-it-be-done-fairly [20 April 2024]</t>
  </si>
  <si>
    <t>14 May 2011: Two months after passing a deficit-plagued budget, Kyrgyzstan’s parliament has amended it, reallocating about $12.9 million to compensate those who lost relatives in last June’s ethnic violence in Osh and Jalal-Abad. While the effort seems commendable on its face, the political pressure surrounding it and the implementation process to come both raise doubts about how fair and transparent the payouts will be. Under a decree signed by Prime Minister Almazbek Atambayev, made public May 10, families of Kyrgyzstani citizens killed in the clashes will receive a one-time payment of 1 million soms (about $21,500); families of the missing will also collect a million soms; those who sustained serious bodily injuries -- as determined by experts in forensic medicine -- will get 100,000 soms; and those who received “less grievous bodily harm” -- ditto the official diagnosis -- will get 50,000 soms. [...] While the latest reported government estimate put the death toll at 427, an international study released May 3 put it at 470. (Eurasianet)</t>
  </si>
  <si>
    <t>2010_south_kyrgyzstan_ethnic_clashes, kyrgyz, kyrgyzstani, kyrgyzstan, almazbek, compensation, osh, victims, uzbek, looting</t>
  </si>
  <si>
    <t>Latvia Compensation and Restitution to Holocaust Survivors</t>
  </si>
  <si>
    <t>Government of Latvia</t>
  </si>
  <si>
    <t>Latvia</t>
  </si>
  <si>
    <t>LVA</t>
  </si>
  <si>
    <t>Jewish community in Latvia</t>
  </si>
  <si>
    <t>Latvia’s parliament has voted to pay $46 million to the country’s Jewish community for property that was stolen from it during the Holocaust from individuals with no surviving legal heirs. The Holocaust restitution law passed on September 30 by the Saeima, Latvia’s parliament, in Riga states that the country is not to blame for the Holocaust or the theft, which the law states was conducted by the Nazis and later by the communists who replaced them as rulers of Latvia. Rather than reparations, the law refers to the payment as a form of “goodwill compensation,” according to the LETA news agency. The compensation voted on last week will be paid in annual increments of $4.6 million from the state budget to the Jewish community until 2032.
(source: https://www.timesofisrael.com/latvia-grants-46m-in-holocaust-restitution-but-says-state-wasnt-at-fault/)</t>
  </si>
  <si>
    <t>Compensation is paid in annual installments until 2032.</t>
  </si>
  <si>
    <t>https://www.timesofisrael.com/latvia-grants-46m-in-holocaust-restitution-but-says-state-wasnt-at-fault/</t>
  </si>
  <si>
    <t>www.timesofisrael.com: http://web.archive.org/web/20250812162331/https://www.timesofisrael.com/latvia-grants-46m-in-holocaust-restitution-but-says-state-wasnt-at-fault/ [12 August 2025]</t>
  </si>
  <si>
    <t>10 October 2021: Latvia’s parliament has voted to pay $46 million to the country’s Jewish community for property that was stolen from it during the Holocaust from individuals with no surviving legal heirs.[…] Of the 70,000 Jews who were living inside modern-day Latvia when the Germans invaded in 1941, only 200 survived, according to Yad Vashem, Israel’s Holocaust museum. Locals, including Latvian police, played a key role in the genocide, according to the museum, forming armed groups to attack local Jews, whom they believed were collaborating with communists. (The Times of Israel)</t>
  </si>
  <si>
    <t>holocaust, latvia, jews, latvian, jewish, genocide, germans, israel, restitution, survivors</t>
  </si>
  <si>
    <t>Rebuilding Lebanon Project</t>
  </si>
  <si>
    <t>Government of Lebanon</t>
  </si>
  <si>
    <t>Lebanon</t>
  </si>
  <si>
    <t>LBN</t>
  </si>
  <si>
    <t>Victims of the 2006 July War in Lebanon</t>
  </si>
  <si>
    <t>2006 Lebanon War, a war between Israel and Hezbollah that began on July 12, 2006, and ended on August 14. Its proximate cause was a cross-border attack by Hezbollah fighters that culminated with the kidnapping of a pair of Israeli soldiers and the killing of eight others.
(source: https://www.britannica.com/event/2006-Lebanon-War)</t>
  </si>
  <si>
    <t>Ghosn, F., &amp; Khoury, A. (2012). The case of the 2006 War in Lebanon: reparations? Reconstruction? Or both? The International Journal of Human Rights, 17(1), 1–17. https://doi.org/10.1080/13642987.2012.688507</t>
  </si>
  <si>
    <t>According to the Transitional Justice Evaluation Tools: Lebanese government spent about LL17.8 billion ($11.8 million USD) on injured indemnities; about LL24 billion ($16 million) on martyr’s/deceased families; over LL2 billion ($1.5 million) to compensate fishermen for lost income; and LL102 billion ($680 million) on housing compensation.
21 May 2012: 
Within weeks of the United Nations' brokered ceasefire going into effect, more than $940 million had been pledged to help Lebanon recover from the damages of its latest war. From this money, the Lebanese government slated about $760 million to compensate the victims of the 2006 war between Israel and Lebanon.
[...] With over 130,000 homes destroyed, partially or completely, and a quarter of the Lebanese population displaced, discussions for the need to compensate the victims began to emerge soon after the ceasefire was in effect. An aid conference was held in Stockholm, Sweden, at the end of August to help the Lebanese government finance the reconstruction and rehabilitation programmes that needed to be developed to handle the damages that the country faced during the war. In October 2006, then Prime Minister of Lebanon Mr Fouad Saniora announced that the Lebanese government would take full responsibility for helping the victims whose homes were destroyed, as well as those who were injured during the conflict. However, given the magnitude of the damages, with an estimate of the direct costs of the war at $4 billion, and a further $6 billion in indirect costs, the government began to look for ways to speed up the process for reparations and reconstruction. As a result, the Lebanese government developed a project of Rebuilding Lebanon which had two dimensions: first, it set up a programme to directly compensate victims of the war, and second, it devised the adoption scheme, whereby individuals, institutions, or foreign states could adopt an area and directly contribute to its reparation and reconstruction process.
[...] With respect to human indemnity, there were two categories for which the government compensated: injured and deceased. There were over 4780 injured individuals that were compensated and the government spent about LL17.8 billion ($11.8 million) on injured indemnities, with the payments ranging from LL300,000 ($200) to LL15 million ($10,000). It also spent about LL24 billion ($16 million) on martyr's/deceased families, which totalled 1249 families. The majority of payments were set at LL20 million ($13,333) while some received LL10 million ($6,666); however, there was no explanation as to why these two amounts were set as such. With respect to compensation for fishermen, the government compensated over 7500 fishermen and spent over LL2 billion ($1.5 million), with compensation ranging from LL2.1 million ($1,400) to LL337.5 million ($225,000). As for housing compensation, the government spent LL102 billion ($680 million), making it the largest form of compensation. For damaged houses compensation ranged from LL200,000 ($133.33) to LL30 million ($20,000). As for completely destroyed homes, the compensation ranged from LL50 million ($33,333) to LL80 million ($53,333).
(Ghosn, F., &amp; Khoury, A. (2012))</t>
  </si>
  <si>
    <t>NOTE ON CONVERSION: The payment data were converted using the start year of the payment period as the reference year.
According to the source, the payment data are drawn from a 2008 report by the Lebanese government and are therefore assumed to reflect amounts paid up to 2007.</t>
  </si>
  <si>
    <t>lebanon, hezbollah, lebanese, reparations, damages, israeli, israel, reparation, million, compensation</t>
  </si>
  <si>
    <t>Lebanon Pays Compensation to Victims of Israeli Attacks</t>
  </si>
  <si>
    <t>Families of those killed and houses damaged by Israeli attacks in southern Lebanon</t>
  </si>
  <si>
    <t>Caretaker Prime Minister Najib Mikati’s recent pledges regarding compensation for the families of those killed and houses damaged by Israeli attacks in southern Lebanon have sparked skepticism. As reported by Hezbollah-affiliated al-Akhbar newspaper, Mikati asserted that the government is diligently working to secure funds for this purpose. The proposed compensation plan outlines $20,000 for “each martyr’s family” and $40,000 for every completely destroyed residential unit.
(source: https://www.the961.com/lebanon-will-pay-at-least-46-million-for-those-killed-or-had-their-house-damaged-in-the-south/)</t>
  </si>
  <si>
    <t>The 961</t>
  </si>
  <si>
    <t>https://www.the961.com/lebanon-will-pay-at-least-46-million-for-those-killed-or-had-their-house-damaged-in-the-south/#google_vignette</t>
  </si>
  <si>
    <t>www.the961.com: https://web.archive.org/web/20250802223240/https://www.the961.com/lebanon-will-pay-at-least-46-million-for-those-killed-or-had-their-house-damaged-in-the-south/#google_vignette [02 August 2025]</t>
  </si>
  <si>
    <t>20 March 2024: Caretaker Prime Minister Najib Mikati’s recent pledges regarding compensation for the families of those killed and houses damaged by Israeli attacks in southern Lebanon have sparked skepticism. As reported by Hezbollah-affiliated al-Akhbar newspaper, Mikati asserted that the government is diligently working to secure funds for this purpose. The proposed compensation plan outlines $20,000 for “each martyr’s family” and $40,000 for every completely destroyed residential unit. However, glaring ambiguities surround the distribution of these funds, particularly concerning Hezbollah fighters, who make up a significant portion of the casualties, 266 out of the 322 killed. At least 1,000 residential units have been reported as completely destroyed. Total estimated compensation amounts to at least $46,440,000, with $20,000 allocated for each person killed, and $40,000 for every fully destroyed house – totaling over $46 million. (The 961)</t>
  </si>
  <si>
    <t>hezbollah, lebanon, compensation, gaza, israeli, casualties, israel, victims, million, mikati</t>
  </si>
  <si>
    <t>Lebanon Pays Reparations to Ziad Itani</t>
  </si>
  <si>
    <t>Ziad Itani (Lebanese Actor)</t>
  </si>
  <si>
    <t>In August 2020, Itani’s lawyer filed a complaint before the State Shura Council. The council’s decision, issued on 5 December 2024 and made public on 10 March 2025, acknowledges the State’s failure to prohibit acts of torture, protect the presumption of innocence, and conduct the necessary investigations and prosecutions to ensure that perpetrators of torture and other ill-treatment are held accountable. On 23 November 2017, the General Directorate of State Security arrested Itani on fabricated charges of spying for Israel. When he stood for the first time before a Military Judge, Itani provided a detailed description of the torture he was subjected to in detention, but the court failed to order an investigation. On 13 March 2018, the Military Court acquitted Itani and ordered his release.
(source: https://www.amnesty.org/en/latest/news/2025/03/lebanon-landmark-shura-council-decision-must-mark-a-turning-point-in-ending-impunity-for-torture/)</t>
  </si>
  <si>
    <t>LBP</t>
  </si>
  <si>
    <t>State Shura Council</t>
  </si>
  <si>
    <t>https://www.amnesty.org/en/latest/news/2025/03/lebanon-landmark-shura-council-decision-must-mark-a-turning-point-in-ending-impunity-for-torture/</t>
  </si>
  <si>
    <t>www.amnesty.org: http://web.archive.org/web/20250731100344/https://www.amnesty.org/en/latest/news/2025/03/lebanon-landmark-shura-council-decision-must-mark-a-turning-point-in-ending-impunity-for-torture/ [31 July 2025]</t>
  </si>
  <si>
    <t>12 March 2025: Reacting to a decision by the State Shura Council, Lebanon’s highest administrative court, ordering the government to pay actor Ziad Itani a sum of 480 million Lebanese Liras (approximately 5,360USD) in reparations as a result of harm done to him by the Lebanese authorities through their failure to prohibit, prevent and adequately investigate his allegations of torture and other ill-treatment, Amnesty International’s Deputy Regional Director for the Middle East and North Africa, Kristine Beckerle, said today. (Amnesty International)</t>
  </si>
  <si>
    <t>ziad, reparations, itani, lebanon, accountable, liras, lebanese, pay, prosecutions, court</t>
  </si>
  <si>
    <t>Liberia Pays Reparations to Judge Kabineh Muhammad Jan’neh</t>
  </si>
  <si>
    <t>Government of Liberia</t>
  </si>
  <si>
    <t>Liberia</t>
  </si>
  <si>
    <t>LBR</t>
  </si>
  <si>
    <t>Kabineh Muhammad Jan’neh (an impeached Judge of the Supreme Court of Liberia)</t>
  </si>
  <si>
    <t>In 2019, the Senate voted to remove Supreme Court associate justice Kabineh Ja’neh from the bench, finding him guilty of official misconduct after he issued a writ in favor of petroleum dealers who opposed a gasoline sale levy. Ja’neh appealed to the Economic Community of West African States Court of Justice that September. The court ruled in Ja’neh’s favor in November 2020, awarding him $200,000 in damages along with back pay. The court also instructed the government to either reinstate him or allow him to retire. The Senate declined to issue a response, citing the lack of a quorum ahead of the December elections.
(source: https://freedomhouse.org/country/liberia/freedom-world/2021)</t>
  </si>
  <si>
    <t>ECOWAS Court of Justice</t>
  </si>
  <si>
    <t>https://pmnewsnigeria.com/2020/11/11/liberia-to-pay-impeached-supreme-court-judge-200000/,
https://freedomhouse.org/country/liberia/freedom-world/2021</t>
  </si>
  <si>
    <t>pmnewsnigeria.com: http://web.archive.org/web/20210212203207/https://www.pmnewsnigeria.com/2020/11/11/liberia-to-pay-impeached-supreme-court-judge-200000/ [12 February 2021]
freedomhouse.org:
https://web.archive.org/web/20251006034603/https://freedomhouse.org/country/liberia/freedom-world/2021 [06 October 2025]</t>
  </si>
  <si>
    <t>11 November 2020: The ECOWAS Court of Justice has ordered Liberia to pay Counsellor Kabineh Muhammad Jan’neh, an impeached Judge of the Supreme Court of Liberia, the sum US$200,000 as reparation for moral prejudice suffered for the violation of his rights. (PM News)
Freedom House:
In 2019, the Senate voted to remove Supreme Court associate justice Kabineh Ja’neh from the bench, finding him guilty of official misconduct after he issued a writ in favor of petroleum dealers who opposed a gasoline sale levy. Ja’neh appealed to the Economic Community of West African States Court of Justice that September. The court ruled in Ja’neh’s favor in November 2020, awarding him $200,000 in damages along with back pay. The court also instructed the government to either reinstate him or allow him to retire. The Senate declined to issue a response, citing the lack of a quorum ahead of the December elections.</t>
  </si>
  <si>
    <t>reparations, reparation, impeachement, impeached, judge, pays, liberia, justice, court, pay</t>
  </si>
  <si>
    <t>Libya Pays Compensation to Families of Victims of the Lockerbie Bombing</t>
  </si>
  <si>
    <t>Families of the 270 people killed in the Pan Am flight (Lockerbie bombing)</t>
  </si>
  <si>
    <t>Pan Am Flight 103 (PA103/PAA103) was a regularly scheduled Pan Am transatlantic flight from Frankfurt to Detroit via a stopover in London and another in New York City. Shortly after 19:00 on 21 December 1988, the Boeing 747 "Clipper Maid of the Seas" was destroyed by a bomb while flying over the Scottish town of Lockerbie, killing all 243 passengers and 16 crew aboard. Large sections of the aircraft crashed in a residential street in Lockerbie, killing 11 residents. With a total of 270 fatalities, the event, which became known as the Lockerbie bombing, is the deadliest terrorist attack in the history of the United Kingdom. Following a three-year joint investigation by Dumfries and Galloway Constabulary and the US Federal Bureau of Investigation (FBI), arrest warrants were issued for two Libyan nationals in 1991. In 2003, under pressure from international sanctions, Muammar Gaddafi took responsibility for the Lockerbie bombing, as leader of his government, and paid compensation to the victims' families, while maintaining that he personally had not ordered the attack. 
(https://en.wikipedia.org/wiki/Pan_Am_Flight_103)</t>
  </si>
  <si>
    <t>https://www.kreindler.com/cases/final-settlement-payment-pan-am-flight-103,
https://abcnews.go.com/Blotter/story?id=6158491&amp;page=1</t>
  </si>
  <si>
    <t>www.kreindler.com: http://web.archive.org/web/20250813101550/https://www.kreindler.com/cases/final-settlement-payment-pan-am-flight-103 [13 August 2025]
abcnews.go.com: http://web.archive.org/web/20250719092209/https://abcnews.go.com/Blotter/story?id=6158491&amp;page=1 [19 July 2025]</t>
  </si>
  <si>
    <t>The Transitional Justice Data Base:
Libya agrees in 2003 to pay US$2.7 billion to the families of the 270 people killed in the Pan Am flight, and completes the payment in 2008.
Kreindler &amp; Kreindler LLP:
In a historic three-phase settlement agreement, Libya agreed to pay $2.7 billion to the victims’ families and Kreindler attorneys are working to obtain the final settlement payment of $536 million from the Libyan government.
31 October 2008: Libya has finally completed compensation payments to the families of US victims of Libyan terror attacks, including the bombing of Pan Am flight 103 over Lockerbie, Scotland in 1988. (ABC News)</t>
  </si>
  <si>
    <t>NOTE ON CONVERSION: The total compensation disbursed ( US$2.7 billion) is reported as an accumulated figure paid as of 2008. We assume this figure represents the total value of all payments over the entire period. For comparison purposes, we treat it as a 2008 value and convert it to our year of interest (2024).</t>
  </si>
  <si>
    <t>bombing, libyan, gaddafi, libya, lockerbie, pan_am_flight_103, terrorist, bomb, boeing, aircraft</t>
  </si>
  <si>
    <t>Libya Pays Compensation for Berlin Disco Bombing</t>
  </si>
  <si>
    <t>Non-US victims of a 1986 bomb attack on a discotheque in Berlin, Germany</t>
  </si>
  <si>
    <t>1986 West Berlin discotheque bombing, attack carried out on April 5, 1986, in West Berlin, in which Libyan agents detonated a bomb at the La Belle discotheque, a nightclub frequented by U.S. soldiers stationed in Germany during the Cold War. The bomb, packed with plastic explosives and shrapnel, killed two American soldiers and a Turkish woman and injured 229 others, some of whom lost limbs and were permanently disabled.
(source: https://www.britannica.com/event/West-Berlin-discotheque-bombing-1986)</t>
  </si>
  <si>
    <t>Political Apologies and Reparations Archive (2005.0007.01)</t>
  </si>
  <si>
    <t>http://news.bbc.co.uk/2/hi/europe/3625756.stm</t>
  </si>
  <si>
    <t>news.bbc.co.uk: http://web.archive.org/web/20230803110455/http://news.bbc.co.uk/2/hi/europe/3625756.stm [03 August 2023]</t>
  </si>
  <si>
    <t>3 September 2004: Libya has signed a deal agreeing to pay $35m in compensation to more than 150 non-US victims of a 1986 bomb attack on a discotheque in Berlin, Germany. German, Turkish, and Libyan victims will receive compensation, but not the families of the two American victims. (BBC News)</t>
  </si>
  <si>
    <t>Berlin, West Berlin, Germany, German, Libya, bombing, bomb, disco, discotheque, Turkish, Libyan, terrorist attack, terrorists, terrorism, berlin, compensation</t>
  </si>
  <si>
    <t>Libya Pays Compensation to Victims of 1980s Libyan-linked Terror Attacks (the US-Libya Claims Agreement)</t>
  </si>
  <si>
    <t>American nationals with terrorism-related claims against Libya</t>
  </si>
  <si>
    <t>On August 14, 2008, the United States and Libya signed a comprehensive claims settlement agreement in Tripoli. The agreement is designed to provide rapid recovery of fair compensation for American nationals with terrorism-related claims against Libya. It will also address Libyan claims arising from previous U.S. military actions. The agreement is being pursued on a purely humanitarian basis and does not constitute an admission of fault by either party.
(source:https://iilj.org/wp-content/uploads/2016/08/Example-of-Claims-Settlement-Agreement-US-Libya.pdf)
Libya has started making payments into a nearly $2 billion fund to compensate the families of American victims of Libyan-linked terror attacks in the 1980s, another step in the full normalization of long-strained ties between Washington and Tripoli.
(source: https://www.nbcnews.com/id/wbna27100860)</t>
  </si>
  <si>
    <t>https://www.nbcnews.com/id/wbna27100860,
http://news.bbc.co.uk/2/hi/americas/7561271.stm,
https://abcnews.go.com/Blotter/story?id=6158491&amp;page=1,
https://www.nytimes.com/2008/10/31/world/africa/31iht-31libya.17424427.html</t>
  </si>
  <si>
    <t>www.nbcnews.com:
https://web.archive.org/web/20221126164445/https://www.nbcnews.com/id/wbna27100860
[26 November 2022]
news.bbc.co.uk:
https://web.archive.org/web/20250813184611/http://news.bbc.co.uk/2/hi/americas/7561271.stm [13 August 2025]
abcnews.go.com:
https://web.archive.org/web/20250719092209/https://abcnews.go.com/Blotter/story?id=6158491&amp;page=1 [19 July 2025]
www.nytimes.com:
https://web.archive.org/web/20220108230516/https://www.nytimes.com/2008/10/31/world/africa/31iht-31libya.17424427.html [08 January 2008]</t>
  </si>
  <si>
    <t>14 August 2008: The US and Libya are set to renew diplomatic relations after signing a deal to compensate all victims of bombings involving the two countries. The agreement will fully compensate victims of the 1988 Lockerbie bombing, and of the bombing of a Berlin disco two years earlier. It will also address Libyan claims arising from US attacks on the Libyan capital, Tripoli, and Benghazi in 1986. The deal was signed in Tripoli by US and Libyan officials. [...] He told the BBC that the amount of compensation in question was $1.5bn (£803m) for the US families and $300m (£160m) for the Libyan families. (BBC News)
9 October 2008: Libya has started making payments into a $1.8 billion fund to compensate the families of American victims of Libyan-linked terror attacks in the 1980s, another step in the full normalization of long-strained ties between Washington and Tripoli, the State Department said Thursday. The "substantial amount" deposited overnight into a U.S. government account is not the full amount needed to fulfill a compensation agreement reached earlier this year, but officials said it demonstrated Libya's willingness to resolve outstanding claims over the 1988 Pan Am 103 bombing over Lockerbie, Scotland, and the 1986 bombing of a German disco. The agreement calls for the creation of a fund consisting of $1.3 billion for those attacks and the 1989 bombing of a French airliner, and $500 million to Libyan victims of U.S. airstrikes ordered in retaliation for the disco bombing. (NBC News)
31 October 2008: Libya deposited a total of $1.5 billion for American victims of Libyan bombings of Pan Am Flight 103 and the bombing of a German disco, the State Department said today. The money is part of a $1.8 billion deal reached this summer between the United States and Libya to settle outstanding terror claims held by terror victims from both countries. The remainder, $300 million, has not yet been paid and will go towards compensating Libyan victims of US air strikes following the disco bombing. (ABC News)
31 October 2008: Libya has paid $1.5 billion into a fund to compensate the families of American victims of Libyan-linked terror attacks in the 1980s, clearing a final hurdle to full normalization of ties between Washington and Tripoli. (New York Times)</t>
  </si>
  <si>
    <t>libyan, libya, fund, payments, bombing, compensation, terrorism, tripoli, million, billion</t>
  </si>
  <si>
    <t>The Misrata-Tawergha Agreement</t>
  </si>
  <si>
    <t>The Municipal Council of Misrata and the Local Council of Tawergha in Libya</t>
  </si>
  <si>
    <t>Victims of the 2011 conflict in Libya involving Misrata and Tawergha</t>
  </si>
  <si>
    <t>The agreement aims at ensuring the safe return of over 40,000 displaced from Tawergha scattered across Libya. It also states that the victims of the 2011’s conflict involving Misrata and Tawergha will receive compensation and perpetrators will be brought to justice as well as reconstructing the affected areas.
(source: https://unsmil.unmissions.org/martin-kobler-welcomes-signing-agreement-between-misrata-and-tawergha)</t>
  </si>
  <si>
    <t>LYD</t>
  </si>
  <si>
    <t>United Nations Support Mission in Libya (UNSMIL)</t>
  </si>
  <si>
    <t>Peace Agreements Database (ID: 1973)</t>
  </si>
  <si>
    <t>Minutes of Misrata-Tawagha Agreement on the Return of Displaced Persons and Compensation for those Affected</t>
  </si>
  <si>
    <t>The Libya Observer</t>
  </si>
  <si>
    <t>https://unsmil.unmissions.org/sites/default/files/MT_Agreement_31-8-2016_EN.pdf,
https://libyaobserver.ly/inbrief/lyd-460-million-will-be-paid-out-compensation-affected-people-misrata-and-tawergha</t>
  </si>
  <si>
    <t>unsmil.unmissions.org:
https://web.archive.org/web/20230331100201/https://unsmil.unmissions.org/sites/default/files/MT_Agreement_31-8-2016_EN.pdf [31 March 2023]
libyaobserver.ly: http://web.archive.org/web/20241209193050/https://libyaobserver.ly/inbrief/lyd-460-million-will-be-paid-out-compensation-affected-people-misrata-and-tawergha [09 December 2024]</t>
  </si>
  <si>
    <t>30 December 2017: The head of Tawergha Local Council, Abdul Rahman Shakshak, said that they are finalizing arrangements for the agreement reached between Misrata and Tawergha. [...]  He also pointed out that the value of financial compensation and reparation between the two cities is estimated at 460 million, including 170 million share for the dead, wounded and detainees from Tawergha. (The Libya Observer)
Peace Agreements Database (PA-X):
Page 1, Third matter 20 28 The two sides of the agreement have agreed to the necessity of reparations as a right to compensation for the violations suffered, as well as justice, reconciliation and the return of security. They also help in realising stability, security and social peace. This is a consensual mechanism to which societies are guided for solving the differences between them. It is also what has been followed in the agreement.  Page 2, Fourth matter: General rulings 1- The period of the agreement referred to below is between 17 February 2011 and 11 August 2011. 2- This agreement covers compensation for damages related to the following affected people, and only within [the domain of] the period of the agreement, according to the following financial values: (A) The deceased: The amount that is due to be paid for death as a single payment. Its value is as follows: ‘1’ Married 100,000 DL, meaning one hundred thousand Libyan Dinar. ‘2’ Unmarried 70,000 DL, meaning seventy thousand Libyan Dinar. (B) The detainees: ‘1’ The due value for each detainee is 334 DL (three hundred and thirty four Libyan Dinar) for every day detained, meaning 10 ten thousand Libyan Dinar every month. It will be paid as a single payment. ‘2’ A single payment of the value of nothing else but (5) five thousand Libyan Dinar will be paid to those who were detainees for a period between a day and 15 days. ‘3’ Those who continued to be detained or who were detained after 11 August 2011, are not included in this agreement. They are entitled to be included in the Future National Programme for reparations in the period following the agreement. (C) Missing persons: The amount that is due to be paid for a missing person as a single payment. Its value is as follows: ‘1’Married 100,000 DL, one hundred thousand Libyan Dinar. ‘2’ Unmarried 70,000 DL, seventy thousand Libyan Dinar (D) Reparation of health damages: The Libyan State commits to issue a health insurance card for treatment of the injured within and outside of Libya. (E) Compensation for transportation: A special compensation for transportation has been specified for limiting the relevant damage by testimony of the witnesses in the official Libyan circles. This agreement does not include compensation for fixed assets (real estates). The Joint Committee will calculate the financial value of the compensations in their statements. 4-This agreement has nothing to do with what will be compensated for damage suffered throughout the rest of 2011 and beyond, including damages as a consequence of military bombing, armed conflict, and what the Libyan State gives compensation for according to the legal steps. 20 28 As such, the Libyan State commits to compensate for the damage this agreement compensates for outside the time period included in the General National Programme for Reparation. 5- The injured have the right to resort to the judiciary if they finds their compensation insufficient. 6- This agreement and what is said in its principles are regarded as the foundation for explaining and specifying the obligations of the two sides subject to it in the case of any differences between them. Page 2, Fourth matter: General rulings ... 4-This agreement has nothing to do with what will be compensated for damage suffered throughout the rest of 2011 and beyond, including damages as a consequence of military bombing, armed conflict, and what the Libyan State gives compensation for according to the legal steps. 20 28 As such, the Libyan State commits to compensate for the damage this agreement compensates for outside the time period included in the General National Programme for Reparation. Page 3, Fifth matter: Creation of a fund 20 28 A fund will be established for reparation and for providing compensation to those affected by this issue. It will have a legal status and independent financial power. A decision will be issued by the Libyan State to implement it. This fund presides over the follow up of the financial and administrative steps in the issue of Misrata and Tawagha. It is funded by the Libyan State, donor countries, local and international associations and organisations. The operation of this fund ends after the completion of the compensation steps and the reimbursement of all the affected. 20 28 Page 3, Sixth matter: Justice 20 28 The investigation of justice regarding the ones accused of committing violations during the period of the agreement will go through the judiciary by the following official steps. It is for the Libyan State to take all the necessary legal steps to bring the accused to justice. The two sides request the Libyan State and the Ministry of Justice to conduct a fair trial for the accused and the detainees, as well as to accelerate the release of the innocents among them. The files of the compensation requests will be presented to the judicial system to solidify the assessment of the accused’s special compensation requests on criminal cases related to the conflict during the period of the agreement until lawsuits were issued towards them. Anyone who is not found guilty will be paid a compensation according to the ruling of the fifth point in this agreement. Page 3-4, Eighth matter: Reconstruction 20 28 ... 1- Tawagha ... (E) An amount of (6) six thousand Libyan dinar will be paid to every house owner as one single payment to cover the expenses of rebuilding his house. This has no relation with the right to compensation related to properties. (F) Mobile houses will be established for the owners of the destroyed houses which cannot be repaired.</t>
  </si>
  <si>
    <t>reparations, reparation, compensation, compensations, reconciliation, tawergha, damages, misrata, agreements, libya</t>
  </si>
  <si>
    <t>Lithuania Restitution to Holocaust Survivors</t>
  </si>
  <si>
    <t>Government of Lithuania</t>
  </si>
  <si>
    <t>Lithuania</t>
  </si>
  <si>
    <t>LTU</t>
  </si>
  <si>
    <t>Lithuanian Holocaust Survivors and their heirs</t>
  </si>
  <si>
    <t>Lithuania’s parliament passed a law this week to set aside over 37 million Euros ($38 million) as restitution for Holocaust survivors and their heirs. Ingrida Šimonytė, Lithuania’s prime minister, introduced the bill in the Seimas, Lithuania’s national legislature in Vilnius, on November 15 [2022], proposing to nearly double the money the government had already set aside for restitution claims in a country where 90% of its Jews were killed in the Holocaust. Today only 5,000 Jews remain in the country. The World Jewish Restitution Organization called it “an important step to providing a measure of justice to Lithuanian Holocaust survivors and their families for the horrors they suffered during World War II and its aftermath.”
(source: https://www.timesofisrael.com/lithuania-passes-law-allocating-38-million-in-restitution-for-holocaust-survivors/)</t>
  </si>
  <si>
    <t>Payments began to be distributed in mid-2025.</t>
  </si>
  <si>
    <t>https://www.timesofisrael.com/lithuania-passes-law-allocating-38-million-in-restitution-for-holocaust-survivors/</t>
  </si>
  <si>
    <t>www.timesofisrael.com: http://web.archive.org/web/20250619140058/https://www.timesofisrael.com/lithuania-passes-law-allocating-38-million-in-restitution-for-holocaust-survivors/ [19 June 2025]</t>
  </si>
  <si>
    <t>31 December 2022: Lithuania’s parliament passed a law this week to set aside over 37 million Euros ($38 million) as restitution for Holocaust survivors and their heirs. (The Times of Israel)</t>
  </si>
  <si>
    <t>Update as 2025: Payments began to be distributed in mid-2025.
Some 340 Holocaust survivors of Lithuanian descent or their heirs have received about €20,000 each from the government; One recipient says the sum 'barely scratches the bottom threshold of compensation and doesn’t come close to the property’s value'. In recent weeks, the Lithuanian government has distributed a total of €7.5 million in grants to hundreds of Holocaust survivors of Lithuanian origin and their families—most of them Israeli citizens. Each eligible recipient received approximately €20,000 in compensation for private Jewish property that was stolen during and after the Holocaust. (source: https://www.ynetnews.com/jewish-world/article/r1i78ev8lg)
See also: https://www.jns.org/nearly-9m-distributed-to-lithuanian-holocaust-survivors-heirs/</t>
  </si>
  <si>
    <t>lithuania, lithuanian, holocaust, restitution, heirs, survivors, euros, million, israel, 2022</t>
  </si>
  <si>
    <t>The National Compensation Tribunal in Malawi</t>
  </si>
  <si>
    <t>Government of Malawi</t>
  </si>
  <si>
    <t>Malawi</t>
  </si>
  <si>
    <t>MWI</t>
  </si>
  <si>
    <t>Every person who, on political grounds between 6th July 1964 and 17th May 1994 :
- Was wrongfully imprisoned,
- Was forced into exile,
- Personally injured,
- Lost property/business,
- Lost education opportunity, or
- Lost employment benefits.
- Born in exile/detention</t>
  </si>
  <si>
    <t>The National Compensation Tribunal is established by the new constitution to process claims for compensation in respect of alleged criminal and civil liability of the previous One Party Government from July 6, 1964-May 17, 1994. It closes after its 10-year mandate ends.
(source: The Transitional Justice Data Base)</t>
  </si>
  <si>
    <t>The NCT began operations on August 1, 1995 and paid its first claimant in June 1996. In 2001 it made a public request for all victims to file their claims before December 31, 2001, but after that date there were a large number of new claims filed and so it has continued to open case files. It announced in June 2003 that it has stopped receiving new claims and will close operations in May 2004.</t>
  </si>
  <si>
    <t>MWK</t>
  </si>
  <si>
    <t>National Compensation Tribunal (sdnp.org.mw)</t>
  </si>
  <si>
    <t>https://www.sdnp.org.mw/ruleoflaw/tribunal/overview.html</t>
  </si>
  <si>
    <t>www.sdnp.org.mw:
https://web.archive.org/web/20250719231009/https://www.sdnp.org.mw/ruleoflaw/tribunal/overview.html [19 July 2025]</t>
  </si>
  <si>
    <t>The Transitional Justice Data Base:
May 16, 1994-May 16, 2004: The National Compensation Tribunal is established by the new constitution to process claims for compensation in respect of alleged criminal and civil liability of the previous One Party Government from July 6, 1964-May 17, 1994. It closes after its 10-year mandate ends.
The Transitional Justice Evaluation Tools:
Beneficiaries count: 25000
National Compensation Tribunal is an institution established in 1994 under Section 137 of the Constitution of the Republic of Malawi to process claims for compensation in respect of alleged criminal and civil liability of the previous One Party Government of Malawi. Who can claim: Every person who, on political grounds between 6th July 1964 and 17th May 1994: was wrongfully imprisoned, was forced into exile, personally injured, lost property/business, lost education opportunity, or lost employment benefits, born in exile/detention. Registration will end in the year 2004, nevertheless, compensation will still continue.
(sdnp.org.mw)
The Handbook of Reparations: 
- The NCT began operations on August 1, 1995 and paid its first claimant in June 1996. In 2001 it made a public request for all victims to file their claims before December 31, 2001, but after that date there were a large number of new claims filed and so it has continued to open case files. It announced in June 2003 that it has stopped receiving new claims and will close operations in May 2004. [p.228]
- Funding: The NCT is reliant upon government money. [pp.228-229]
- Of the 25,000 registered claimants, only 600 have received full compensation while only 7,000 have been paid interim compensation. A total of 23,900 claimants are on the waiting list for payment of full compensation, while 17,500 are waiting for interim compensation. [p.245]
- In mid-2003 Mr Khombe told the press that a total of K100 million had been paid out, but he did not indicate if this covered interim or final payments or both. The Nation (June 13, 2003). [p.253]</t>
  </si>
  <si>
    <t>NOTE ON CONVERSION: The total compensation disbursed (K100 million) is reported as an accumulated figure paid as of 2003. We assume this figure represents the total value of all payments over the entire period. For comparison purposes, we treat it as a 2003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number of beneficiaries includes full compensation and interim payments as of June 2003.</t>
  </si>
  <si>
    <t>tribunal, malawi, compensation, claimants, reparations, claimant, payments, filed, victims, justice</t>
  </si>
  <si>
    <t>Compensation to Mexican Braceros</t>
  </si>
  <si>
    <t>Government of Mexico</t>
  </si>
  <si>
    <t>Mexico</t>
  </si>
  <si>
    <t>MEX</t>
  </si>
  <si>
    <t>Mexican guest workers (braceros)</t>
  </si>
  <si>
    <t>The United States government imported hundreds of thousands of Mexican labourers, known as braceros, under a World War II-era guest worker program to work as farmhands or railroad workers from 1942 to 1946. A portion of each worker's pay was deducted and transferred to the Mexican government on the understanding that these funds would be given back to the workers upon returning home to Mexico. However, many labourers never received the pay and others were not aware of this deduction from their salaries. Instead the Mexican government withheld this money from its rightful owners.</t>
  </si>
  <si>
    <t>Political Apologies and Reparations Archive (2010.0028.01)</t>
  </si>
  <si>
    <t>http://www.nytimes.com/2008/11/24/us/24braceros.html?scp=1&amp;sq=braceros&amp;st=cse,
https://calmatters.org/california-divide/2019/11/time-is-running-out-for-the-braceros/</t>
  </si>
  <si>
    <t xml:space="preserve">Political Apologies and Reparations Archive:
In 2001, the lawyers representing the braceros filed a class action lawsuit in California. The lawsuit was dismissed twice as the courts decided whether too much time had passed and whether a California state court had jurisdiction over the Mexican government. The United States government and Wells Fargo Bank were originally listed as defendants but were later dismissed from the case. Under the terms of the settlement, the Mexican government gave each bracero or surviving heir $3,500. However, the plaintiffs did not win their request for less stringent documentation requirements to receive financial compensation. Only 49,000 of the 212,000 applicants applying for financial compensation were able to provide documentation that they had participated in the braceros program. Some Mexican guest workers claim that they did not receive any record of employment during their stint in the United States, while other survivors and heirs will have lost such documents.
23 November 2008: Decades after working as a bracero, as thousands of Mexican guest farm workers were called in a program from 1942 to 1964, the Mexican government had recently agreed to a one-time payment, $3,500, of long overdue withheld wages. (The New York Times)
25 November 2019: Serna and about 36,000 other elderly migrant laborers are still waiting to be reimbursed by Mexico, even though a court settlement was approved 21 years ago. [...] 
In 2008, the Mexican government agreed to pay $14.6 million to the braceros who worked during World War II and live in the United States. Each one was awarded 38,000 pesos, which currently is about $2,000 U.S. [...] About 36,000 ex-braceros still have not received the money, a third of them living in California, said Baldomero Capiz, coordinator of the Binational Union of Ex-braceros. (Cal Matters)
</t>
  </si>
  <si>
    <t>guest worker, Mexico, Mexican, United States, exploitation, wages, bracero, braceros, railroad, farmhand, World War II, Second World War, braceros, bracero, mexican, plaintiffs, lawsuit, compensation, reparations, defendants, labourers, mexico</t>
  </si>
  <si>
    <t>Reparations for the 2010 San Fernando Massacre</t>
  </si>
  <si>
    <t>Victims of the 2010 San Fernando massacre</t>
  </si>
  <si>
    <t>The 2010 San Fernando massacre, also known as the first massacre of San Fernando, was the mass murder of 72 undocumented immigrants by the Los Zetas drug cartel in the village of El Huizachal in the municipality of San Fernando, Tamaulipas, Mexico. The 72 killed—58 men and 14 women—were mainly from Central and South America, and they were shot in the back of the head and then piled up together. The bodies were found inside a ranch on 24 August 2010 by the Mexican military after they engaged in an armed confrontation with members of a drug cartel.
(source: https://en.wikipedia.org/wiki/2010_San_Fernando_massacre)</t>
  </si>
  <si>
    <t>In 2010 five victims  received full reparations for the first time.
Payments are still ongoing, therefore the end year of reparations payments is recorded as 2024.</t>
  </si>
  <si>
    <t>https://advance.lexis.com/document?crid=2185168a-0c56-43a1-af50-c88e5504f753&amp;pddocfullpath=%2Fshared%2Fdocument%2Fnews%2Furn%3AcontentItem%3A6FJ0-D8F3-RVFC-S030-00000-00&amp;pdsourcegroupingtype=&amp;pdalertemail=False&amp;pdcontentcomponentid=443607&amp;pdmfid=1519360&amp;pdisurlapi=true,
https://en.wikipedia.org/wiki/2010_San_Fernando_massacre</t>
  </si>
  <si>
    <t>9 April 2025:
More than a decade after the massacres of migrants in San Fernando, Tamaulipas, and Cadereyta, Nuevo Leon, very few victims have received full reparations. In the first case, which occurred in 2010 with the discovery of 72 bodies on a ranch, only five relatives of victims have been granted such measures, Mexico reported in its fourth periodic review before the UN Committee on the Protection of the Rights of All Migrant Workers and Members of Their Families (CMW). In yesterday's session, the delegation detailed that for the San Fernando massacre, the National Registry of Victims (Renavi) recognizes 65 direct victims and 132 indirect victims. In 28 cases, funeral and repatriation expenses have been covered, 11 internal transfers have been supported and 158 support measures of different nature, said Arturo Guerrero Zazueta, head of the General Directorate of Human Rights, Gender Equality and International Affairs of the Federal Judiciary Council. To date, he said, reparation measures have been granted to five deceased victims and one survivor, for the equivalent of 2.1 million dollars, and there are 16 files pending to be integrated for reparation. (CE Noticias Financieras)</t>
  </si>
  <si>
    <t>NOTE ON CONVERSION: The total compensation disbursed (2.1 million dollars) is reported as an accumulated figure paid as of 2025. As the database covers data up to 2024, this figure is treated as a 2024 value. While this introduces a minor inaccuracy, the one-year difference is unlikely to materially affect the results.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</si>
  <si>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2010_san_fernando_massacre, mexican, repatriation, mexico, massacres, victims, massacre, reparations, cartel, los</t>
  </si>
  <si>
    <t>The General Law of Victims in Mexico</t>
  </si>
  <si>
    <t>Victims of crime and human rights violations</t>
  </si>
  <si>
    <t>Article 2. The object of this Law is:
I. Recognize and guarantee the rights of victims of crime and human rights violations, especially the right to assistance, protection, attention, truth, justice, integral reparation, restitution of their violated rights, due diligence, non-repetition and all other rights enshrined in the Constitution, in the International Human Rights Treaties to which the Mexican State is a party and other human rights instruments;
(source: https://reparations.qub.ac.uk/assets/uploads/Mexico-Victims-Law-EN.pdf)</t>
  </si>
  <si>
    <t>MXN</t>
  </si>
  <si>
    <t>Transitional Justice Evaluation Tools (ID: 61)</t>
  </si>
  <si>
    <t>https://reparations.qub.ac.uk/assets/uploads/Mexico-Victims-Law-EN.pdf</t>
  </si>
  <si>
    <t>reparations.qub.ac.uk: http://web.archive.org/web/20240514201347/https://reparations.qub.ac.uk/assets/uploads/Mexico-Victims-Law-EN.pdf [14 May 2024]</t>
  </si>
  <si>
    <t>According to the Transitional Justice Evaluation Tools, the cost estimate is: 634496755 MX pesos as of 2017. Reparations policy was limited in 2017.</t>
  </si>
  <si>
    <t>reparations, reparation, pesos, victims, mexican, restitution, justice, cost, law, treaties</t>
  </si>
  <si>
    <t>Compensation to Victims of Political Repression in Mongolia</t>
  </si>
  <si>
    <t>Government of Mongolia</t>
  </si>
  <si>
    <t>Mongolia</t>
  </si>
  <si>
    <t>MNG</t>
  </si>
  <si>
    <t>Applicants who had suffered political repression under previous regimes</t>
  </si>
  <si>
    <t>[in 2000] The State Vindication Committee approves payments totaling 2.9 billion tugriks to 3,474 applicants who had suffered political repression under previous regimes.
(source: The Transitional Justice Data Base)</t>
  </si>
  <si>
    <t>The law was amended in 2017.
Reparations payments are still ongoing, but data are as of 2024.</t>
  </si>
  <si>
    <t>MNT</t>
  </si>
  <si>
    <t>The Transitional Justice Data Base (ID: 628 - Updated)</t>
  </si>
  <si>
    <t>https://news.mn/en/766901/,
https://bti-project.org/en/reports/country-report/MNG</t>
  </si>
  <si>
    <t>The Transitional Justice Data Base:
The State Vindication Committee approves payments totaling 2.9 billion tugriks to 3,474 applicants who had suffered political repression under previous regimes.
14 December 2017: The Mongolian State Great Khural (parliament) has approved an amendment to the Law on the Rehabilitation of the Victims of Political Oppression regarding the granting of compensation. The debate and approval took place on 14 December. The original law was passed in 1998 and 28,260 of the nearly 36 thousand victims of political repression have been rehabilitated. However, the validity period of the law has expired. Subsequently, Deputy Speaker Ya.Sanjmyatav and MP N.Enkhbold drafted an amendment which is projected to spend MNT 15.5 billion for granting compensation to the victims of political repression. The law will be in force for a further two years as a result of which, nearly 400 victims of political repression and their descendants will receive compensation. (NewsMN)
Bertelsmann Stiftung (BTI 2024 Country Report):
Following the transition to democracy in 1990, a National Rehabilitation Commission was established to review cases of political repression. The commission processed around 36,000 case files. In January 1998, the parliament enacted the Law on the Rehabilitation of Victims of Political Repression and Compensation. Approximately 31,000 victims received recognition, and MNT 16 billion were disbursed in compensation. In total, 31,604 individuals were penalized for political reasons, with over 10,200 cases resulting in rehabilitation.</t>
  </si>
  <si>
    <t>NOTE ON CONVERSION: The total compensation disbursed (MNT 16 billion) is reported as an accumulated figure paid as of 2024. We assume this figure represents the total value of all payments over the entire period. For comparison purposes, we treat it as a 2024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</si>
  <si>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mongolia, tugriks, compensation, victims, vindication, regimes, repression, justice, payments, suffered</t>
  </si>
  <si>
    <t>Montenegro Pays Compensation to Croatian Jail Camp Prisoners</t>
  </si>
  <si>
    <t>Government of Montenegro</t>
  </si>
  <si>
    <t>Montenegro</t>
  </si>
  <si>
    <t>MNE</t>
  </si>
  <si>
    <t>13 Croatian citizens who were held at the Morinj detention camp during the 1990s war</t>
  </si>
  <si>
    <t>The Morinj camp (Logor Morinj) was a detention facility near Kotor, Montenegro (then part of SFR Yugoslavia, later FR Yugoslavia) where Croatian prisoners of war and civilians were kept by Montenegrin authorities in the Yugoslav People's Army during the Croatian War of Independence. The age of the incarcerated ranged from 15 to 82. Former captives are organized into the Association of Morinj Prisoners. The camp was opened in autumn of 1991. Approximately 300 people were held here.
(source: https://en.wikipedia.org/wiki/Morinj_camp)
A court in Podgorica has ordered the state to compensate the Croatians who were imprisoned at the camp near the coastal town of Kotor between May and August 1992. [...[ The former prisoners had sued the state for the suffering they endured at the camp which was set up by the Montenegrin authorities at the beginning of the Yugoslav conflict.
(source: https://balkaninsight.com/2014/03/03/montenegro-detention-camp-victims-got-compensation/)</t>
  </si>
  <si>
    <t>https://balkaninsight.com/2014/03/03/montenegro-detention-camp-victims-got-compensation/</t>
  </si>
  <si>
    <t>balkaninsight.com: http://web.archive.org/web/20210809005327/https://balkaninsight.com/2014/03/03/montenegro-detention-camp-victims-got-compensation/ [09 August 2021]</t>
  </si>
  <si>
    <t>3 March 2014: Montenegro has been ordered to pay a total of 319,000 euro to 13 Croatian citizens who were held at the Morinj detention camp during the 1990s war. (BIRN)</t>
  </si>
  <si>
    <t>croatians, montenegro, croatian, prisoners, compensation, imprisoned, morinj, pays, pay, detention</t>
  </si>
  <si>
    <t>Montenegro Pays Compensation to War Crime Victims</t>
  </si>
  <si>
    <t>Victims of war crimes committed in Montenegro</t>
  </si>
  <si>
    <t>Montenegro will pay around 1.35 million euros in compensation to victims of war crimes committed on its territory in the 1990s as it continues efforts to satisfy EU accession requirements on justice. [...] The compensation claims were filed in several Montenegrin towns, by victims or their families in war crimes cases which involved the torture and killing of civilians, both Muslims and Croats, in the early nineties.
(source: https://balkaninsight.com/2017/09/08/montenegro-offers-compensation-to-war-crime-victims-09-07-2017/)</t>
  </si>
  <si>
    <t>https://balkaninsight.com/2017/09/08/montenegro-offers-compensation-to-war-crime-victims-09-07-2017/</t>
  </si>
  <si>
    <t>balkaninsight.com: http://web.archive.org/web/20221225030711/https://balkaninsight.com/2017/09/08/montenegro-offers-compensation-to-war-crime-victims-09-07-2017/ [25 December 2022]</t>
  </si>
  <si>
    <t>8 September 2017: A new government report on the progress of Montenegro’s negotiations with the EU, which BIRN has obtained, says the country will pay a total of around 1.35 million euros in compensation to victims of war crimes. (BIRN)</t>
  </si>
  <si>
    <t>montenegrin, compensation, montenegro, croats, pays, pay, euros, victims, birn, crimes</t>
  </si>
  <si>
    <t>The Independent Arbitration Commission in Morocco</t>
  </si>
  <si>
    <t>Government of Morocco</t>
  </si>
  <si>
    <t>Victims of government persecution and human rights abuses (Disappearance and Arbitrary Detention)</t>
  </si>
  <si>
    <t>While the monarchy in Morocco has historically been autocratic, the rule of King Hassan II, who ruled from 1961 until his death in 1999, was a period marked by particularly widespread human rights violations. Under Hassan II, thousands of Morrocan dissidents were executed or jailed under unhealthy conditions; additionally, sharia law was strictly enforced.With the death of Hassan II, Morocco has begun to move forward in addressing its historical human rights violations and ongoing social and political problems. While the new king, Mohammed VI, has not reduced his power, he has acknowledged the human rights violations of the past and moved to reduce the impact of sharia law, particularly as it applies to women.
(source: Political Apologies and Reparations Archive)</t>
  </si>
  <si>
    <t>https://www.cndh.ma/en/arbitration-commission,
https://en.wikipedia.org/wiki/Equity_and_Reconciliation_Commission</t>
  </si>
  <si>
    <t>www.cndh.ma: http://web.archive.org/web/20250812220243/https://www.cndh.ma/en/arbitration-commission [12 August 2025]
en.wikipedia.org: http://web.archive.org/web/20250908001118/https://en.wikipedia.org/wiki/Equity_and_Reconciliation_Commission [08 September 2025]</t>
  </si>
  <si>
    <t>The Transitional Justice Database: 
The government creates the Independent Commission of Arbitration/Indemnity on 11th November 1999 to provide reparations to victims of the regime. The reparations were taken over by the Equity and Reconciliation Commission in 2004.
Transitional Justice Evaluation Tools:
Cost estimate: USD $100 million
Beneficiaries count: 5127
The National Human Rights Council of Morocco - About the Independent Arbitration Commission:
Throughout its actions, the Commission examined the 5,127 files and issued decisions on 3,653 cases to grant the final compensation to 5,300 persons, totaling approximately 954,000,000 Moroccan dirhams.
2009:
An astonishingly high figure of approximately 60,000 victims emerges from the two processes of the 1999 Indemnity Commission and the 2004–2005 and ERC (Mohamed Neshnash, interview, Rabat, July 6, 2007). The 1999 Indemnity Commission had already provided about $100 million in financial indemnifi cations (ta’wid al-mali) to 3,500 individuals (out of 4,500 submitted fi les). As of this writing, the 2004–2005 ERC (with more cases still under consideration) has disbursed about $70 million (representing about 90% of the individual fi nancial reparations) to 9,200 cases out of 22,000 submitted.
(Waging War, Making Peace: The Anthropology of Reparations)
Wikipedia:
By 1990, the repression began to ease in response to pressure by domestic and international communities. King Hassan II appointed an Advisory Council on Human Rights (CCDH) to confront criticisms and to review the practices of the state. The goal of the CCDH was to investigate reports of human rights abuse and to begin adherence to international standards by recommending changes to Moroccan law and practices. The Advisory Council on Human Rights did make a number of changes, ultimately leading to the creation of the Independent Arbitration Panel in 1999. This panel was established by the new King, Mohammed VI, after the death of his father King Hassan II in 1999. The panel awarded US$100 million in reparations to almost 7,000 recipients, but there was still a large amount of work to be completed within the state. [...] In 2003, the CCDH recommended that a truth commission be created to continue expanding on the work completed by the CCDH and the Independent Arbitration Panel.</t>
  </si>
  <si>
    <t>NOTE ON CONVERSION: The total compensation disbursed (USD $100 million) is reported as an accumulated figure paid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</si>
  <si>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Morocco, Moroccan, King Hassan II, Hassan,King Mohammed VI, reclassement, Equity and Reconciliation Commission, ERC, IER, truth commission, Advisory Council on Human Rights,  Independent Arbitration Commission, reparations, arbitration, justice, mohamed, sharia, persecution</t>
  </si>
  <si>
    <t>The Equity and Reconciliation Commission in Morocco</t>
  </si>
  <si>
    <t>Victims of government persecution and human rights abuses</t>
  </si>
  <si>
    <t>Equity and Reconciliation Commission</t>
  </si>
  <si>
    <t xml:space="preserve">http://www.ictj.org/static/MENA/Morocco/IERreport.summary.eng.pdf,
https://www.usip.org/publications/2004/12/truth-commission-morocco,
https://www.amnesty.org/fr/documents/MDE29/001/2010/en/
</t>
  </si>
  <si>
    <t>www.ictj.org: http://web.archive.org/web/20081006170012/http://www.ictj.org/static/MENA/Morocco/IERreport.summary.eng.pdf [06 October 2008]
www.usip.org: http://web.archive.org/web/20241010091557/https://www.usip.org/publications/2004/12/truth-commission-morocco [10 October 2024]
www.amnesty.org: http://web.archive.org/web/20250623101634/https://www.amnesty.org/fr/documents/MDE29/001/2010/en/ [23 June 2025]</t>
  </si>
  <si>
    <t>Political Apologies and Reparations Archive (2005.0286.01):
The Moroccan Justice and Reconciliation Commission (IER) is organizing a three-day reparation forum; the main objectives of the forum are to create dialogue with victims of the human rights abuses, and to create public awareness of IER's approach to compensation of the victims. The commission will conduct out-of-court settlements for past human rights violations in Morocco.
Political Apologies and Reparations Archive (2010.0023.01)
On 7 January 2004, King Mohammed VI (the heir to King Hassan II) appointed the first chairman and members of the Equity and Reconciliation Commission (ERC), or Instance Equité et Réconciliation.  This non-judicial truth commission was mandated to investigate all human rights abuses from 1956 to 1999, determining responsibility by government entities and other actors, in addition to compensating and rehabilitating victims.  Televised public hearings were held with victims giving testimonies.  The commission approved that lump-sum payments be made to victims, with additional reparations such as medical insurance being provided.  It also recommended communal reparations for regions of the country that had been especially affected by state  repression or where detention centres had been located.  The final report of the commission was given to the king in December 2006 and was published shortly afterwards.
The Transitional Justice Evaluation Tools:
- Individual Cost Estimate: By end of 2007, the distribution of individual compensation to victims was nearly complete, and $85 million USD had been distributed to between 9,000 and 16,000 individuals (USIP, ICTJ 2009).
- Collective Cost Estimate: $10.2 million was allocated to collective reparations, $3.7 million of which came from the European Union and UN Women.
Beneficiaries count: 16861.
1 December 2004: In August 2007, the Consultative Council on Human Rights announced that 23,676 people received compensation for human rights violations committed during the reign of Hassan II. At the end of 2007, the distribution of individual compensation to victims was almost completed, and $85 million USD was distributed to approximately 16,000 individuals. An institutional mechanism was established to manage the implementation of communal reparation programs. (United States Institute of Peace)
2009:
An astonishingly high figure of approximately 60,000 victims emerges from the two processes of the 1999 Indemnity Commission and the 2004–2005 and ERC (Mohamed Neshnash, interview, Rabat, July 6, 2007). The 1999 Indemnity Commission had already provided about $100 million in fi nancial indemnifi cations (ta’wid al-mali) to 3,500 individuals (out of 4,500 submitted fi les). As of this writing, the 2004–2005 ERC (with more cases still under consideration) has disbursed about $70 million (representing about 90% of the individual financial reparations) to 9,200 cases out of 22,000 submitted. (Waging War, Making Peace: The Anthropology of Reparations)
6 January 2010: While the IER began during its mandate to prepare Arbitration Decisions which spelt out the amount of financial compensation to be awarded to each victim and his/her relatives, and indicated whether they should receive other forms of reparation, the Follow-up Committee was effectively in charge of finalizing this task. In its written response to Amnesty International, the CCDH stated that by 20 September 2009, a total of 17,012 victims and families have been financially compensated. It did not however specify the total amount awarded. According to statistics released in July 2007, the total distribution of financial compensation was completed for 23,676 persons, for a global amount of 1.56 billion dirhams (about 138 million Euros), which included the sum of 1 billion (about 88.6 million Euros) distributed by the Arbitration Commission on Compensation. Statistics available in Morocco’s fourth periodic report submitted to the Committee against Torture in April 2009 state that a total of 16,892 persons benefited from a total financial award of about 666 million dirhams (about 58.8 million Euros) by the end of 2008. The report specified that out of this award, an actual 538.6 million dirhams (about 47.6 million Euros) was distributed as of 19 April 2009, which represents a lower figure than that provided by the CCDH in July 2007, once the 1 billion dirhams (about 88.6 million Euros) awarded by the previous Arbitration Commission on Compensation is excluded. (Amnesty International)</t>
  </si>
  <si>
    <t>NOTE ON CONVERSION: The total compensation disbursed ($95.2 million USD) is reported as an accumulated figure paid as of 2007. We assume this figure represents the total value of all payments over the entire period. For comparison purposes, we treat it as a 2007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</si>
  <si>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Morocco, Morocann Justice and Reconciliation Commission, Truth and Reconciliation, King Mohammed VI, human rights violations, human rights, human rights abuses, sharia law, reparations, reparation, mohammed, reconciliation, réconciliation, justice, persecution</t>
  </si>
  <si>
    <t>Wiwa v. Royal Dutch Shell Co. Case</t>
  </si>
  <si>
    <t>Royal Dutch Shell (Anglo-Dutch company)</t>
  </si>
  <si>
    <t>Multiple countries</t>
  </si>
  <si>
    <t xml:space="preserve">Ogoni people of the Niger Delta </t>
  </si>
  <si>
    <t>Nigeria</t>
  </si>
  <si>
    <t>NGA</t>
  </si>
  <si>
    <t>Beginning in the early 1990s, tensions grew between foreign oil corporations and various ethnic groups in the Niger Delta who claimed that they were being exploited. Such ethnic groups claim that foreign oil corporations are responsible for environmental damage and are connected to human rights abuses. One particular example is that of Ogoniland, an area within the Niger Delta. Since the late 1950s local people were forced off their land with little or no compensation, in order for foreign oil companies to set up business. For decades the area has experienced environmental degradation related to oil spills, gas fires and other poor practices. There has also been much conflict between local people, foreign oil companies and the previous military government of Nigeria. In 1995 Ken Saro-Wiwa -- writer, activist, and leader of the Movement for the Survival of Ogoni People -- was captured and hanged along with five other activists. Following Saro-Wiwa's death, his family filed a lawsuit against Royal Dutch Shell for its involvement in his death. The lawsuit stated that in the 1990s Shell officials helped supply the Nigerian police with weapons, participated in security sweeps of the area, and hired government troops that shot at villagers protesting the creation of a pipeline. The suit also claimed that Shell helped the government capture and hang Saro-Wiwa and the eight other activists.
(source: Political Apologies and Reparations Archive, 2009.0032.04)
The Wiwa family lawsuits against Royal Dutch Shell were three separate lawsuits brought in 1996 by the family of Ken Saro-Wiwa against Royal Dutch Shell, its subsidiary Shell Nigeria and the subsidiary's CEO Brian Anderson. Charges included human rights abuses against the Ogoni people in the Niger Delta, summary execution, torture, arbitrary arrest, and wrongful death. After 12 years of Shell petitioning the court not to hear the cases, they were heard 26 May 2009. On June 8, 2009, Shell settled out-of-court with the Saro-Wiwa family for $15.5 million.
(source: https://en.wikipedia.org/wiki/Wiwa_v._Royal_Dutch_Shell_Co.)</t>
  </si>
  <si>
    <t>Political Apologies and Reparations Archive (2009.0032.04 - Updated)</t>
  </si>
  <si>
    <t>https://www.economist.com/middle-east-and-africa/2009/06/11/spilling-over,
https://en.wikipedia.org/wiki/Wiwa_v._Royal_Dutch_Shell_Co.,
https://edition.cnn.com/2009/WORLD/africa/06/09/saro-wiwa.transcript/</t>
  </si>
  <si>
    <t>www.economist.com: http://web.archive.org/web/20230725194859/https://www.economist.com/middle-east-and-africa/2009/06/11/spilling-over [25 July 2023]
en.wikipedia.org:
https://web.archive.org/web/20250906010907/https://en.wikipedia.org/wiki/Wiwa_v._Royal_Dutch_Shell_Co. [06 September 2025]
edition.cnn.com: http://web.archive.org/web/20240418020353/http://edition.cnn.com/2009/WORLD/africa/06/09/saro-wiwa.transcript/ [18 April 2024]</t>
  </si>
  <si>
    <t>Political Apologies and Reparations Archive: 
On 10 November 1995, Ken Saro-Wiwa -- writer, activist, and leader of the Movement for the Survival of Ogoni People -- was captured and hanged along with eight other activists. Human rights groups and environmental organizations around the world criticize Royal Dutch Shell, claiming that the company had damaged the men's reputations with Nigeria's military rulers and could have done more to secure clemency for the men.
11 June 2009: ON JUNE 8th Royal Dutch Shell agreed to pay out $15.5m to the Ogoni people of the Niger Delta to settle a long-running court case brought against the oil giant in America by nine plaintiffs, including relatives of Ken Saro-Wiwa, an environmentalist and writer. He was executed by the brutal government of General Sani Abacha after a charade of a trial in 1995. Mr Saro-Wiwa had led a successful campaign against Shell’s activities in his homeland, even forcing the company to quit Ogoniland in 1993. The plaintiffs accused Shell of complicity in the activist’s death. (The Economist)
Wikipedia: The Wiwa family lawsuits against Royal Dutch Shell were three separate lawsuits brought in 1996 by the family of Ken Saro-Wiwa against Royal Dutch Shell, its subsidiary Shell Nigeria and the subsidiary's CEO Brian Anderson. Charges included human rights abuses against the Ogoni people in the Niger Delta, summary execution, torture, arbitrary arrest, and wrongful death. After 12 years of Shell petitioning the court not to hear the cases, they were heard 26 May 2009. On June 8, 2009, Shell settled out-of-court with the Saro-Wiwa family for $15.5 million.</t>
  </si>
  <si>
    <t>There was no acknowledgment of wrongdoing.</t>
  </si>
  <si>
    <t>Nigeria, Nigerian, Royal Dutch Shell, Shell Group, Shell, oil, human rights abuses, human rights, Ken Saro-Wiwa, activists, writer, hanging, hanged, military, Movement for the Survival of the Ogoni Peoples, environmental damage, niger, ogoniland, wiwa, saro, dutch, plaintiffs, lawsuits</t>
  </si>
  <si>
    <t>Compensation for Victims of the Rana Plaza Collapse (the Rana Plaza Donors Trust Fund)</t>
  </si>
  <si>
    <t>Brands, retailers, and other stakeholders involved in the Rana Plaza complex
(See a full list of payors on the website of the Rana Plaza Arrangement: https://ranaplaza-arrangement.org/trustfund/)</t>
  </si>
  <si>
    <t>Victims of Bangladesh's Rana Plaza factory collapse</t>
  </si>
  <si>
    <t>Bangladesh</t>
  </si>
  <si>
    <t>BGD</t>
  </si>
  <si>
    <t>The Rana Plaza collapse occurred on 24 April 2013, when the eight-story Rana Plaza commercial building collapsed due to a structural failure. The search for survivors lasted for 19 days and ended on 13 May 2013, with a confirmed death toll of 1,134. Approximately 2,500 injured people were rescued from the building. It is considered to be one of the deadliest structural failures in modern human history, as well as the deadliest garment-factory disaster in history, and is the deadliest industrial accident in the history of Bangladesh. Amnesty International called it "the most shocking recent example of business-related human rights abuse."
(source: https://en.wikipedia.org/wiki/Rana_Plaza_collapse)</t>
  </si>
  <si>
    <t>Reparations payments have not been completed, but data availability is as of 2015.</t>
  </si>
  <si>
    <t>International Labour Organisation (ILO)</t>
  </si>
  <si>
    <t>THE RANA PLAZA ARRANGEMENT</t>
  </si>
  <si>
    <t>https://www.theguardian.com/world/2014/apr/16/compensation-fund-victims-bangladesh-rana-plaza-one-third-full,
https://features.hrw.org/features/HRW_2015_reports/Bangladesh_Garment_Factories/chapter-5.html</t>
  </si>
  <si>
    <t>www.theguardian.com:
https://web.archive.org/web/20230407025631/https://www.theguardian.com/world/2014/apr/16/compensation-fund-victims-bangladesh-rana-plaza-one-third-full [07 April 2023]
features.hrw.org:
https://web.archive.org/web/20250816072403/https://features.hrw.org/features/HRW_2015_reports/Bangladesh_Garment_Factories/chapter-5.html [16 August 2025]</t>
  </si>
  <si>
    <t>The Rana Plaza Arrangement:
The Fund reached its target in June 2015. The majority of the $30 million collected was contributed by international clothing brands, with significant contributions from the Bangladesh Prime Ministers Fund and anonymous donors as well as small individual donations. These contributions were used exclusively to cover payments to Rana Plaza victims and their families, to provide medical services to those injures, and cover operating costs.
16 April 2014: A UN-backed scheme to compensate victims of Bangladesh's Rana Plaza factory collapse is barely one-third full, despite pressure on dozens of western brands to assume some financial responsibility for one of the world's deadliest industrial accidents of modern times. A year after the tragedy, which killed more than 1,100 workers and injured another 1,000, the scheme backed by the International Labour Organisation (ILO), a UN agency, has raised only $15m (£9m), well short of the $40m (£24m) target. Of the 28 brands linked to the Rana Plaza factory complex by campaigners, only about half have paid into the fund. They include the British retailer Bonmarché, Canada's Loblaw and Spain's Mango and Inditex. (The Guardian)
Human Rights Watch:
For example, while an independent commission has estimated that US$30 million needs to be paid to the survivors of the Rana Plaza and the dependents of those that died, only about US$21 million had been paid or pledged as of March 2015.[194] British retailer Primark is one of the biggest contributors with US$14 million in total aid payments so far.[195]  By contrast, 15 companies whose clothing and brand labels were found in the rubble of Rana Plaza by journalists and labor activists have not paid anything into the trust fund established with the support of the ILO to manage the payments.[196] [...] Chaired by the ILO, the fund was set up in January 2014 by the Bangladeshi government and representatives of the garment industry (both domestic and international), trade unions, and non-governmental organizations to establish “a systematic and transparent claims process.”[203] The fund’s website explains that the fund is open to any company, individual, or organization that “wishes to contribute as a way of expressing solidarity and compassion with the Rana Plaza victims.” The Rana Plaza Fund received a total of 2,849 claims related to injured persons and dependents of deceased workers.[204] On the first anniversary of the accident in April 2014, the fund paid an initial amount of about US$650 to each beneficiary.[205] By December 2014, the fund had paid the first installment to nearly all beneficiaries.[206] This amounts to about 40 percent of the total compensation each of them is due.[207] The rest of the payment will be paid depending on future contributions into the fund.</t>
  </si>
  <si>
    <t>NOTE ON CONVERSION: The total compensation disbursed (21 million) is reported as an accumulated figure pledged / paid as of 2015. We assume this figure represents the total value of all payments over the entire period. For comparison purposes, we treat it as a 2015 value and convert it to our year of interest (2024).
The data of " $21 million" is not the precise total amount paid, as it is called "amount paid or pledged". Although not precise, it is the best-supported figure, therefore we record it as an approximation of the amount paid as of 2015.
See a full list of payors on the website of the Rana Plaza Arrangement: https://ranaplaza-arrangement.org/trustfund/</t>
  </si>
  <si>
    <t>rana_plaza_collapse, victims, survivors, accidents, disaster, tragedy, collapse, bangladesh, responsibility, compensation</t>
  </si>
  <si>
    <t>Loss and Damage Fund</t>
  </si>
  <si>
    <t xml:space="preserve">27 high-income countries
(Full list of payor counties here: https://unfccc.int/topics/climate-finance/funds-entities-bodies/fund-for-responding-to-loss-and-damage/pledges-to-the-fund-for-responding-to-loss-and-damage) </t>
  </si>
  <si>
    <t>Multiple developing countries</t>
  </si>
  <si>
    <t>Fund for responding to Loss and Damage (FRLD) addresses the urgent and growing needs of vulnerable communities in developing countries facing the irreversible impacts of climate change. It finances initiatives to help vulnerable communities recover from climate-related losses and damage resulting from incidents such as climate-induced extreme weather events, rising sea levels, and other climate-induced crises. These initiatives are tailored to respond directly to country-specific needs and priorities, ensuring that solutions are locally driven and contextually appropriate.
(source: https://www.frld.org)</t>
  </si>
  <si>
    <t>2022: The decision to establish the fund was made. Following establishment, a number of countries made immediate pledges to the fund.
2023: The first payment into the Fund was made.
2024: By late 2024, at COP29 in Azerbaijan, the fund was declared officially operational.
2025: First disbursements begin. In April 2025, the fund’s board approved a $250 million start-up package for use through 2026. Funds are being distributed as grants.
(sources:
https://greenly.earth/en-gb/blog/company-guide/what-is-the-cop27-loss-and-damage-fund)
Pledges, payents, and disbursements are currently ongoing.</t>
  </si>
  <si>
    <t>Unavailable</t>
  </si>
  <si>
    <t>United Nations Framework Convention on Climate Change (UNFCCC);
World Bank</t>
  </si>
  <si>
    <t>United Nations Framework Convention on Climate Change</t>
  </si>
  <si>
    <t>https://www.lossanddamagecollaboration.org/whatislossanddamage,
https://unfccc.int/topics/climate-finance/funds-entities-bodies/fund-for-responding-to-loss-and-damage/pledges-to-the-fund-for-responding-to-loss-and-damage
https://fiftrustee.worldbank.org/en/about/unit/dfi/fiftrustee/fund-detail/frld</t>
  </si>
  <si>
    <t>www.lossanddamagecollaboration.org:
https://web.archive.org/web/20251022123549/https://www.lossanddamagecollaboration.org/whatislossanddamage [22 October 2025]
unfccc.int: http://web.archive.org/web/20250922181252/https://unfccc.int/topics/climate-finance/funds-entities-bodies/fund-for-responding-to-loss-and-damage/pledges-to-the-fund-for-responding-to-loss-and-damage [22 September 2025]
fiftrustee.worldbank.org: http://web.archive.org/web/20250903112352/https://fiftrustee.worldbank.org/en/about/unit/dfi/fiftrustee/fund-detail/frld [03 September 2025]</t>
  </si>
  <si>
    <t xml:space="preserve">The Loss &amp; Damage Collaboration:
The status of resources document developed for the fourth meeting of the Board of the Fund for Responding to Loss and Damage shows that as of the 2nd of December 2024, the total amount pledged to the Fund is US$ 749.25 million, whilst the total amount paid into the Fund is just US$ 68.95 million. </t>
  </si>
  <si>
    <t>Some specifications:
In these entries, pledges refer to formal commitments by countries to provide funding to the Fund, while payments denote the amounts actually transferred by countries into the Fund. Disbursements to recipient countries are not included, as these began only in 2025. Although the Fund was established in 2022, pledges are ongoing and cumulative, increasing year by year as countries make new or additional commitments. The first payment into the Fund was made in 2023, whereas the first disbursement to beneficiary countries occurred in 2025.
Updates as of 2025:
United Nations Framework Convention on Climate Change:
As of 7 April 2025, a total of USD 768.40 million has been pledged to the Fund by 27 contributors.
(source: https://unfccc.int/topics/climate-finance/funds-entities-bodies/fund-for-responding-to-loss-and-damage/pledges-to-the-fund-for-responding-to-loss-and-damage - Last accessed on 26th June 2025)
World Bank:
Total contributions: USD 558.96 million
Funds held in trust: USD 366.33 million
(source: https://fiftrustee.worldbank.org/en/about/unit/dfi/fiftrustee/fund-detail/frld - As of August 29, 2025)</t>
  </si>
  <si>
    <t>fund, damages, climate, contributors, impacts, losses, nations, loss, countries, vulnerable</t>
  </si>
  <si>
    <t>Compensation for the Omagh Bombing in Northern Ireland</t>
  </si>
  <si>
    <t>Real Irish Republican Army (RIRA)</t>
  </si>
  <si>
    <t>Victims of the Omagh Bombing</t>
  </si>
  <si>
    <t>United Kingdom</t>
  </si>
  <si>
    <t>GBR</t>
  </si>
  <si>
    <t>On Saturday 15 August 1998, in Omagh, Northern Ireland a paramilitary car bomb exploded killing 29 people and injuring 220. The attack was carried out by the Real Irish Republican Army, and became known as Northern Ireland's worst single terrorist atrocity.
(source: Political Apologies and Reparations Archive)</t>
  </si>
  <si>
    <t>Political Apologies and Reparations Archive (2009.0034.01)</t>
  </si>
  <si>
    <t>https://www.nytimes.com/2009/06/09/world/europe/09ireland.html,
http://www.economist.com/world/britain/displaystory.cfm?story_id=13832235</t>
  </si>
  <si>
    <t>www.nytimes.com:
https://web.archive.org/web/20230204051150/https://www.nytimes.com/2009/06/09/world/europe/09ireland.html [04 February 2023]
www.economist.com: http://web.archive.org/web/20090615132044/http://www.economist.com:80/world/britain/displaystory.cfm?story_id=13832235 [15 June 2009]</t>
  </si>
  <si>
    <t>Political Apologies and Reparations Archive:
A Northern Ireland judge ruled that four of the five men being sued by 12 relatives were liable or responsible for the 1998 Omagh bombing, and awarded the plaintiffs damages of $2.6 million. This is said to be the first time anywhere in the world that the relatives of terrorists' victims have obtained redress through the civil courts. In 2007 Sean Hoey, was tried under the criminal-justice system but was eventually acquitted. However, in this civil case the plaintiffs did not need to prove criminal charges to claim compensation, just that they had been harmed by personal injury or trespass.
8 June 2009:
In a ruling without precedent in a terrorism case in Britain, a High Court judge in Belfast found four members of the Real I.R.A. and the organization itself responsible for the car bomb explosion in Omagh on a busy shopping day in August 1998 that killed 29 people, including two pregnant women. The judge, Declan Morgan, awarded the six families that brought the suit damages of $2.6 million. (The New York Times)</t>
  </si>
  <si>
    <t>The payor is a non-state actor (a paramilitary group) that does not fall into any of the predefined database categories and is therefore coded as “Other”.</t>
  </si>
  <si>
    <t>Northern Ireland, Ireland, bombing, terrorist attack, terrorism, bomb, Real Irish Republican Army, Real IRA, RIRA, Irish Republican Army, IRA, criminal law, civil law, civil case, Omagh bombing, Omagh, Michael McKevitt, McKevitt, Liam Campbell, Campbell, Colm Murphy, Murphy, Seamus Daly, Daly, Seamus McKenna, McKenna, damages, terrorists, victims, acquitted, bombing, ireland, terrorist, omagh, irish, terrorism</t>
  </si>
  <si>
    <t>ICC: The Prosecutor v. Germain Katanga</t>
  </si>
  <si>
    <t xml:space="preserve">Trust Fund for Victims (TFV) - as the perpetrator, Germain Katanga (Democratic Republic of Congo), was declared indigent
</t>
  </si>
  <si>
    <t>Victims of crimes committed by Germain Katanga on 24 February 2003 during an attack on the village of Bogoro, in the Ituri district of the Democratic Republic of the Congo (DRC)</t>
  </si>
  <si>
    <t>Germain Katanga. Charges: Found guilty, as an accessory, of one count of crime against humanity: murder; and four counts of war crimes: murder, attacking a civilian population, destruction of property and pillaging, committed on 24 February 2003 during the attack on the village of Bogoro, in the Ituri district of the DRC.
(source: https://www.icc-cpi.int/drc/katanga)</t>
  </si>
  <si>
    <t>https://www.legal-tools.org/doc/cc0715/pdf,
https://www.icc-cpi.int/drc/katanga,
https://www.icc-cpi.int/news/katanga-case-icc-trial-chamber-ii-awards-victims-individual-and-collective-reparations,
https://www.icc-cpi.int/news/trust-fund-victims-decides-provide-1-million-reparations-awarded-victims-katanga-case-welcomes,
https://nuhanovicfoundation.org/database/international-criminal-court-prosecutor-vs-germain-katanga-order-awarding-individual-and-collective-reparations/</t>
  </si>
  <si>
    <t>www.legal-tools.org:
https://web.archive.org/web/20251003081333/https://www.legal-tools.org/doc/cc0715/pdf [03 October 2025]
www.icc-cpi.int: http://web.archive.org/web/20250806131826/https://www.icc-cpi.int/drc/katanga [06 August 2025]
www.icc-cpi.int: http://web.archive.org/web/20250806131833/https://www.icc-cpi.int/news/katanga-case-icc-trial-chamber-ii-awards-victims-individual-and-collective-reparations [06 August 2025]
www.icc-cpi.int: http://web.archive.org/web/20250422062719/https://www.icc-cpi.int/news/trust-fund-victims-decides-provide-1-million-reparations-awarded-victims-katanga-case-welcomes [22 April 2025]
nuhanovicfoundation.org: http://web.archive.org/web/20250712063746/https://nuhanovicfoundation.org/database/international-criminal-court-prosecutor-vs-germain-katanga-order-awarding-individual-and-collective-reparations/ [12 July 2025]</t>
  </si>
  <si>
    <t>International Criminal Court (ICC):
Found guilty, on 7 March 2014, as an accessory to one count of a crime against humanity (murder) and four counts of war crimes (murder, attacking a civilian population, destruction of property and pillaging) committed on 24 February 2003 during the attack on the village of Bogoro, in the Ituri district of the DRC. The judgment is final, as both the Defence and Prosecution withdrew their appeals on 25 June 2014. Sentenced to a total of 12 years' imprisonment; time spent in detention at the ICC – between 18 September 2007 and 23 May 2014 – was deducted from the sentence.
Order on victim reparations : 24 March 2017
International Criminal Court (ICC) - 24 March 2017:
Today, 24 March 2017, Trial Chamber II ("the Chamber") of the International Criminal Court (ICC or "the Court") issued an Order awarding individual and collective reparations to the victims of crimes committed by Germain Katanga on 24 February 2003 during an attack on the village of Bogoro, in the Ituri district of the Democratic Republic of the Congo (DRC). The judges awarded 297 victims with a symbolic compensation of USD 250 per victim as well as collective reparations in the form of support for housing, support for income‑generating activities, education aid and psychological support. Because of Mr Katanga's indigence, the Trust Fund for Victims was invited to consider using its resources for the reparations and to present an implementation plan by 27 June 2017. [...] Taking into account the evidence presented and the practices of national and international tribunals, as well as the observations of the Defence, the Legal Representative of Victims, the TFV and the organizations invited to participate in the reparations proceedings, the Chamber assessed the extent of the physical, material and psychological harm suffered by the victims at a total monetary value of approximately USD 3,752,620. Observing the principle of proportionality, the Chamber set the amount of Mr Katanga's liability at USD 1,000,000. The Chamber found Mr Katanga indigent for reparations purposes and instructed the Registry of the Court to continue monitoring his financial situation.
International Criminal Court (ICC) - 18 May 2017:
On the second day of its 16th Meeting, occurring from 16 to 18 May 2017, the Board of Directors of the Trust Fund for Victims ("the Trust Fund" or "TFV") at the International Criminal Court ("ICC") decided to provide $1,000,000 USD to pay for the individual and collective awards for reparations ordered by Trial Chamber II in the case of The Prosecutor v. Germain Katanga. This means that the full amount of the costs of the reparations awards ordered by the Trial Chamber on 24 March 2017 will be initially provided by the Trust Fund. [...] Yesterday, 17 May 2017, the government of The Netherlands, a State Party to the ICC and long-time supporter of the Trust Fund, announced that it will make a voluntary contribution of €200,000. This donation is earmarked for the full payment of the individual awards for reparations ($74,250) and to go towards the collective reparations awards (the remaining $925,750) in the Katanga case.</t>
  </si>
  <si>
    <t>NOTE ON CONVERSION: The total compensation disbursed ($1,000,000 USD) is reported as an accumulated figure paid as of 2023. We assume this figure represents the total value of all payments over the entire period. For comparison purposes, we treat it as a 2023 value and convert it to our year of interest (2024).
In all the ICC cases imported, the perpetrator has been declared indigent - so reparations are being paid by the Trust Fund for Victims (TFV)</t>
  </si>
  <si>
    <t>prosecution, crimes, tribunals, prosecutor, imprisonment, sentenced, victims, criminal, crime, icc</t>
  </si>
  <si>
    <t>ICC: The Prosecutor v. Ahmad Al Faqi Al Mahdi</t>
  </si>
  <si>
    <t xml:space="preserve">Trust Fund for Victims (TFV) - as the perpetrator, Ahmad Al Faqi Al Mahdi (Mali), was declared indigent
</t>
  </si>
  <si>
    <t>Victims affected by the destruction of cultural heritage sites in Timbuktu</t>
  </si>
  <si>
    <t>Mali</t>
  </si>
  <si>
    <t>MLI</t>
  </si>
  <si>
    <t>In September 2016 the ICC Pre-Trial Chamber I found Ahmad al-Faqi Al Mahdi guilty, as a co-perpetrator of the war crime of intentionally directing attacks against historic monuments and buildings dedicated to religion in Timbuktu, Mali, in 2012. On 17 August 2017, Trial Chamber VIII (the Court) delivered an milestone order on reparations in this case awarding – for the first time – reparations to victims of crimes against cultural heritage. The Court has placed at the centre of its legal analysis the victims of the crimes committed by Al Mahdi.
(source: The Nuhanovic Foundation)
On 27 September 2016, following an admission of guilt, the Chamber convicted Mr Al Mahdi of the war crime of attacking protected objects as a co-perpetrator under Articles 8(2)(e)(iv) and 25(3)(a) of the Statute. Ten protected objects were attacked in Timbuktu, Mali, between around 30 June 2012 and 11 July 2012 (‘Protected Buildings’).
(source: ICC Reparations Order)</t>
  </si>
  <si>
    <t>Reparations payments are still ongoing, but data on payments are as of 2024.</t>
  </si>
  <si>
    <t>https://www.legal-tools.org/doc/02d1bb/,
https://www.icc-cpi.int/mali/al-mahdi,
https://www.icc-cpi.int/news/al-mahdi-case-icc-trial-chamber-viii-issues-reparations-order,
https://www.trustfundforvictims.org/en/what-we-do/reparation-orders/al-madhi,
https://trustfundforvictims.org/index.php/en/news/ahmad-al-faqi-al-mahdi-case-collective-reparations-are-launched-upon-completion-individual,
https://www.justiceinfo.net/en/109963-timbuktu-icc-reparations-mixed-feelings.html,
https://nuhanovicfoundation.org/database/f-capone-an-appraisal-of-the-al-mahdi-order-on-reparations-and-its-innovative-elements-redress-for-victims-of-crimes-against-cultural-heritage/,
https://nuhanovicfoundation.org/database/international-criminal-court-prosecutor-vs-al-mahdi-reparations-order/,</t>
  </si>
  <si>
    <t>www.legal-tools.org: http://web.archive.org/web/20240317090919/https://legal-tools.org/doc/02d1bb [17 March 2024]
www.icc-cpi.int: http://web.archive.org/web/20250924042203/https://www.icc-cpi.int/mali/al-mahdi [24 September 2025]
www.icc-cpi.int: http://web.archive.org/web/20250429083923/https://www.icc-cpi.int/news/al-mahdi-case-icc-trial-chamber-viii-issues-reparations-order [29 April 2025]
trustfundforvictims.org: http://web.archive.org/web/20230607041548/https://www.trustfundforvictims.org/index.php/en/news/ahmad-al-faqi-al-mahdi-case-collective-reparations-are-launched-upon-completion-individual [07 June 2023]
www.justiceinfo.net: http://web.archive.org/web/20250514042854/https://www.justiceinfo.net/en/109963-timbuktu-icc-reparations-mixed-feelings.html [14 May 2025]
nuhanovicfoundation.org: http://web.archive.org/web/20250803021303/https://nuhanovicfoundation.org/database/f-capone-an-appraisal-of-the-al-mahdi-order-on-reparations-and-its-innovative-elements-redress-for-victims-of-crimes-against-cultural-heritage/ [03 August 2025]
nuhanovicfoundation.org: http://web.archive.org/web/20250803182819/https://nuhanovicfoundation.org/database/international-criminal-court-prosecutor-vs-al-mahdi-reparations-order/ [03 August 2025]</t>
  </si>
  <si>
    <t>International Criminal Court (ICC):
Alleged member of Ansar Eddine, a movement associated with Al Qaeda in the Islamic Maghreb, head of the "Hisbah" until September 2012, and associated with the work of the Islamic Court of Timbuktu. Arrest warrant: 28 September 2015.
Charges: Found guilty as a co-perpetrator of the war crime consisting in intentionally directing attacks against religious and historic buildings in Timbuktu, Mali, in June and July 2012. Sentenced to nine years' imprisonment, the time spent by the suspect in detention being deducted from the sentence.
Found guilty and sentenced to 9 years imprisonment on 27 September 2016. On 25 November 2021, Mr Al Mahdi's imprisonment sentence was reduced by two years. The date for the sentence's completion is set to 18 September 2022. Reparations Order for victims pronounced by judges and is final.
International Criminal Court (ICC) - 17 August 2017:
Today, 17 August 2017, Trial Chamber VIII of the International Criminal Court ("ICC" or "Court") issued a Reparations Order in the case of The Prosecutor v. Ahmad Al Faqi Al Mahdi, concluding that Mr Al Mahdi is liable for 2.7 million euros in expenses for individual and collective reparations for the community of Timbuktu for intentionally directing attacks against religious and historic buildings in that city. Noting that Mr Al Mahdi is indigent, the Chamber encourages the Trust Funds for Victims ("TFV") to complement the reparations award and directed the TFV to submit a draft implementation plan for 16 February 2018.
Trust Fund for Victims (TFV):
The Court set Mr Ahmad Al Faqi Al Mahdi’s liability at €2.7 million (approx. 1,770,000 CFA francs) in favour of the victims of his crime. However, as Mr Al Faqi Al Mahdi was declared indigent, it fell to the Trust Fund for Victims to fund the reparations programme. Canada and Norway, whose representatives attended the launch of the collective reparations in Timbuktu, were among the main contributors with grants of CAD 2,160,494 (€1,655,000 / 1,082,000,000 CFA francs) and NOK 5,000,000  (€515,557 / 319,000,000 CFA francs) respectively. Other ICC member states contributed to this programme, including Italy (€40,000 / 26,000,000 CFA francs), the United Kingdom (€34,000 / 22,000,000 CFA francs) and Germany (€110,000 / 72,000,000 CFA francs).
Trust Fund for Victims (TFV):
The TFV calls upon individuals, institutions and States Parties to support the TFV in successfully carrying out its mission of alleviating the harm of victims by making reparative justice a reality for them. The TFV has been able to complement half of the award and is currently seeking for contributions for the remaining 1.35 million euros. Contributions will allow for the appropriate relief of the harm caused to the Timbuktu community, through the implementation of reparations as ordered by Trial Chamber VIII.
Trust Fund for Victims (TFV):
The TFV recalls that the process of awarding individual reparations concluded in June 2024, with 1,689 beneficiaries found eligible for reparations, of which four beneficiaries could not be located and therefore paid. The funds to guarantee payment of their award has been set aside and the attempts to locate them have been ongoing without success throughout the previous and current reporting periods. As reported in the Thirty-second Update Report, by 29 July 2024, the 1,685 other beneficiaries had received their individual awards.
8 December 2022: In the Timbuktu region of northern Mali, the International Criminal Court (ICC) Trust Fund for Victims has since 2021 been compensating victims of the destruction of the city's holy shrines during the occupation by Jihadists in 2012. While people appreciate the principle of reparations, many feel frustrated by the amount allocated and the methodology. In September 2016, the International Criminal Court (ICC) in The Hague found Ahmad al-Faqi al-Mahdi of Mali guilty of destroying Timbuktu mausoleums and sentenced him to nine years in prison. A year later, the court issued an order, upheld on appeal in 2018, sentencing the former Jihadist to individual and collective reparations amounting to 2.7 million euros, including one million in individual reparations. [...] To date, according to the Fund, 989 victims have received individual reparations. But in Timbuktu, feelings are torn between satisfaction and frustration. (Justice Info)</t>
  </si>
  <si>
    <t>NOTE ON CONVERSION: The total compensation disbursed (1.35 million euros) is reported as an accumulated figure paid as of 2024. We assume this figure represents the total value of all payments over the entire period. For comparison purposes, we treat it as a 2024 value and convert it to our year of interest (2024).
In all the ICC cases imported, the perpetrator has been declared indigent - so reparations are being paid by the Trust Fund for Victims (TFV).
Individual reparations have been paid as of July 2024, but collective reparations are ongoing.</t>
  </si>
  <si>
    <t>mali, mahdi, icc, qaeda, sentencing, victims, prosecutor, reparations, monuments, convicted</t>
  </si>
  <si>
    <t>ICC: The Prosecutor v. Thomas Lubanga Dyilo</t>
  </si>
  <si>
    <t xml:space="preserve">Trust Fund for Victims (TFV) - as the perpetrator, Thomas Lubanga Dyilo (Democratic Republic of Congo), was declared indigent
</t>
  </si>
  <si>
    <t>The collective reparation award will be implemented through a partner contracted by the TFV to address comprehensively the psychological, physical and material harm suffered by a verified group of beneficiaries because they, or their children, were children under 15 years of age at the time of the crimes, who were enlisted, conscripted and/or actively used by the Force Patriotique pour la Libération du Congo ("FPLC") of Mr Lubanga in the hostilities in Ituri between 1 September 2002 and 13 August 2003.</t>
  </si>
  <si>
    <t>On 14 March 2012, Mr Lubanga Dyilo was convicted of committing, as co-perpetrator, war crimes consisting of: Enlisting and conscripting of children under the age of 15 years into the Force patriotique pour la libération du Congo [Patriotic Force for the Liberation of Congo] (FPLC) and using them to participate actively in hostilities in the context of an armed conflict not of an international character from 1 September 2002 to 13 August 2003 (punishable under article 8(2)(e)(vii) of the Rome Statute).
(source: https://www.icc-cpi.int/sites/default/files/CaseInformationSheets/LubangaEng.pdf)</t>
  </si>
  <si>
    <t>Reparations payments are still ongoing, but data on payments are as of 2021.</t>
  </si>
  <si>
    <t>https://www.icc-cpi.int/drc/lubanga,
https://www.trustfundforvictims.org/en/news/factsheet-4-march-2021-collective-reparations-form-services-victims-crimes-which-thomas,
https://www.trustfundforvictims.org/sites/default/files/Updated%20info-DRC-MBQ3-Q4%202022_1.pdf,
https://nuhanovicfoundation.org/database/international-criminal-court-prosecutor-vs-thomas-lubanga-dyilo-judgment-on-the-appeals-against-the-decision-establishing-the-principles-and-procedures-to-be-applied-to-reparations/,
https://nuhanovicfoundation.org/database/international-criminal-court-corrected-version-of-the-decision-setting-the-size-of-the-reparations-award-for-which-thomas-lubanga-dyilo-is-liable/</t>
  </si>
  <si>
    <t>www.icc-cpi.int:
https://web.archive.org/web/20250830180407/https://www.icc-cpi.int/drc/lubanga [30 August 2025]
www.trustfundforvictims.org: http://web.archive.org/web/20250115223555/https://trustfundforvictims.org/en/news/factsheet-4-march-2021-collective-reparations-form-services-victims-crimes-which-thomas [15 January 2025]
www.trustfundforvictims.org: http://web.archive.org/web/20240718125047/https://www.trustfundforvictims.org/sites/default/files/Updated%20info-DRC-MBQ3-Q4%202022_1.pdf [18 July 2024]
nuhanovicfoundation.org: http://web.archive.org/web/20250803180510/https://nuhanovicfoundation.org/database/international-criminal-court-prosecutor-vs-thomas-lubanga-dyilo-judgment-on-the-appeals-against-the-decision-establishing-the-principles-and-procedures-to-be-applied-to-reparations/ [03 August 2025]
nuhanovicfoundation.org:
https://web.archive.org/web/20250615053038/https://nuhanovicfoundation.org/database/international-criminal-court-corrected-version-of-the-decision-setting-the-size-of-the-reparations-award-for-which-thomas-lubanga-dyilo-is-liable/ [15 June 2025]</t>
  </si>
  <si>
    <t>International Criminal Court (ICC):
Found guilty, on 14 March 2012, of the war crimes of enlisting and conscripting children under the age of 15 years and using them to participate actively in hostilities (child soldiers). Sentenced, on 10 July 2012, to a total of 14 years of imprisonment. Verdict and sentence confirmed by Appeals Chamber on 1 December 2014. On 19 December 2015, Mr Lubanga was transferred to a prison facility in the DRC to serve his sentence of imprisonment. On 15 March 2020, Thomas Lubanga was released after having served 14 years of imprisonment. The reparations proceedings for victims started on 7 August 2012.
Trust Fund for Victims (TFV):
On 14 March 2012, Trial Chamber I unanimously found Mr. Lubanga guilty, as a co-perpetrator, of the war crimes of conscripting and enlisting children under the age of 15 years and using them to participate actively in hostilities in the Democratic Republic of the Congo from 1 September 2002 to 13 August 2003. On 7 August 2012, Trial Chamber I issued a decision on the principles for reparations to victims in the case. On 3 March 2015, the Appeals Chamber amended this decision and issued a Reparations Order against Mr. Lubanga. On 15 December 2017, Trial Chamber II completed the Reparations Order, confirmed for the most part by the Appeals Chamber on 18 July 2019, by setting the amount of Mr. Lubanga’s liability for collective service-based and symbolic reparations at USD 10 million. In view of Mr. Lubanga’s indigence, the Trial Chamber invited the TFV to examine the possibility of having TFV resources made available for the implementation of the collective reparations. [...] The TFV, jointly with the legal representatives of victims, has conducted—and will continue to conduct — several field missions to collect applications of those wishing to become beneficiaries of the reparation awards. The TFV has found by September 2020 that 854 beneficiaries are eligible for reparations. The TFV expects to launch the collective service-based reparations by early 2021. The TFV calls upon individuals, institutions and States Parties to support the TFV in successfully carrying out its mission of alleviating the harm of victims by making reparative justice a reality for them. The TFV has been able to complement half of the award and is currently seeking for contributions for the remaining 4.25 million euros. Contributions will allow for the appropriate relief of the harm caused to the child soldiers, through the implementation of collective reparations as ordered by Trial Chamber II.
Trust Fund for Victims (TFV) - 4 March 2021:
As Mr Lubanga is considered indigent, the Board of Directors of the TFV has complemented (to-date) the payment of this award with the amount of EUR 3.85 million and continues to strive to make more funds available through voluntary contributions by States and private actors. [...] The eligibility of victims to access the collective reparation award is based on a list of beneficiaries determined by the Trial Chamber in its 15 December 2017 Decision or the Board of Directors of the Trust Fund, reviewed and approved by the Trial Chamber. To date, more than 1,000 individuals are included on the list.</t>
  </si>
  <si>
    <t>NOTE ON CONVERSION: The total compensation disbursed (EUR 3.85 million) is reported as an accumulated figure paid as of 2021. We assume this figure represents the total value of all payments over the entire period. For comparison purposes, we treat it as a 2021 value and convert it to our year of interest (2024).
In all the ICC cases imported, the perpetrator has been declared indigent - so reparations are being paid by the Trust Fund for Victims (TFV)</t>
  </si>
  <si>
    <t>lubanga, imprisonment, sentenced, crimes, icc, prosecutor, justice, verdict, criminal, guilty</t>
  </si>
  <si>
    <t>ICC: The Prosecutor v. Bosco Ntaganda</t>
  </si>
  <si>
    <t>Trust Fund for Victims (TFV) - as the perpetrator, Bosco Ntaganda (Democratic Republic of Congo), was declared indigent</t>
  </si>
  <si>
    <t>Direct and indirect victims of violent attacks, as well as direct or indirect victims of crimes against child soldiers</t>
  </si>
  <si>
    <t>On 8 July 2019, the Chamber issued its Judgment, convicting Mr Ntaganda of five counts of crimes against humanity and thirteen counts of war crimes, namely: murder and attempted murder, rape, sexual slavery, persecution, forcible transfer of population, intentionally directing attacks against civilians, pillage, ordering the displacement of the civilian population, conscripting and enlisting children under the age of 15 years into an armed group and using them to participate actively in hostilities, intentionally directing attacks against protected objects, and destroying the adversary’s property.
(source: ICC Reparations Order)</t>
  </si>
  <si>
    <t>International Criminal Court (ICC)</t>
  </si>
  <si>
    <t>https://www.legal-tools.org/doc/68sd81/,
https://www.icc-cpi.int/drc/ntaganda,
https://www.icc-cpi.int/news/ntaganda-case-icc-trial-chamber-vi-orders-reparations-victims,
https://www.voanews.com/a/icc-confirms-30-million-reparations-in-dr-congo-warlord-case-/7181570.html,
https://nuhanovicfoundation.org/database/international-criminal-court-prosecutor-vs-bosco-ntaganda-order-awarding-individual-and-collective-reparations/,
https://nuhanovicfoundation.org/database/international-criminal-court-prosecutor-vs-bosco-ntaganda-order-awarding-individual-and-collective-reparations/,
https://nuhanovicfoundation.org/database/icc-the-prosecutor-vs-bosco-ntaganda-order-awarding-individual-and-collective-reparations/,
https://nuhanovicfoundation.org/database/international-criminal-court-prosecutor-vs-bosco-ntaganda-order-awarding-individual-and-collective-reparations/,
https://nuhanovicfoundation.org/database/icc-the-prosecutor-vs-bosco-ntaganda-order-awarding-individual-and-collective-reparations/,
https://nuhanovicfoundation.org/database/international-criminal-court-prosecutor-vs-bosco-ntaganda-order-awarding-individual-and-collective-reparations/</t>
  </si>
  <si>
    <t>www.legal-tools.org: http://web.archive.org/web/20220308232627/https://www.legal-tools.org/doc/68sd81/ [08 March 2022]
www.icc-cpi.int: http://web.archive.org/web/20250918102008/https://www.icc-cpi.int/drc/ntaganda [18 September 2025]
www.icc-cpi.int: http://web.archive.org/web/20250702073344/https://www.icc-cpi.int/news/ntaganda-case-icc-trial-chamber-vi-orders-reparations-victims [02 July 2025]
www.voanews.com: http://web.archive.org/web/20250514133249/https://www.voanews.com/a/icc-confirms-30-million-reparations-in-dr-congo-warlord-case-/7181570.html [14 May 2025]
nuhanovicfoundation.org: http://web.archive.org/web/20250712062632/https://nuhanovicfoundation.org/database/international-criminal-court-prosecutor-vs-bosco-ntaganda-order-awarding-individual-and-collective-reparations/ [12 July 2025]
nuhanovicfoundation.org: http://web.archive.org/web/20250712062632/https://nuhanovicfoundation.org/database/international-criminal-court-prosecutor-vs-bosco-ntaganda-order-awarding-individual-and-collective-reparations/ [12 July 2025]
nuhanovicfoundation.org: http://web.archive.org/web/20250514181203/https://nuhanovicfoundation.org/database/icc-the-prosecutor-vs-bosco-ntaganda-order-awarding-individual-and-collective-reparations/ [14 May 2025]
nuhanovicfoundation.org: http://web.archive.org/web/20250712062632/https://nuhanovicfoundation.org/database/international-criminal-court-prosecutor-vs-bosco-ntaganda-order-awarding-individual-and-collective-reparations/ [12 July 2025]
nuhanovicfoundation.org: http://web.archive.org/web/20250514181203/https://nuhanovicfoundation.org/database/icc-the-prosecutor-vs-bosco-ntaganda-order-awarding-individual-and-collective-reparations/ [14 May 2025]
nuhanovicfoundation.org: http://web.archive.org/web/20250712062632/https://nuhanovicfoundation.org/database/international-criminal-court-prosecutor-vs-bosco-ntaganda-order-awarding-individual-and-collective-reparations/ [12 July 2025]</t>
  </si>
  <si>
    <t>International Criminal Court (ICC):
On 8 July 2019, ICC Trial Chamber VI found Bosco Ntaganda guilty, beyond reasonable doubt, of 18 counts of war crimes and crimes against humanity, committed in Ituri, DRC, in 2002-2003. On 7 November 2019, Bosco Ntaganda was sentenced to a total of 30 years of imprisonment. The time he spent in ICC detention - from 22 March 2013 to 7 November 2019 - will be deducted from this sentence. On 30 March 2021, the ICC Appeals Chamber confirmed the conviction and the sentence in this case. These two decisions are now final.
Next steps: On 8 March 2021, Trial Chamber VI delivered its Order on Reparations to victims against Mr Ntaganda.The Defence of Mr Ntaganda and the Legal Representative of one of the two groups of victims appealed the order. On 12 September 2022, the Appeals Chamber issued its judgment in the appeals and remanded several issues for the Trial Chamber to issue a new reparations order. On 14 July 2023, Trial Chamber II delivered an Addendum to the Reparations Order of 8 March 2021. Following this Addendum, the Chamber will rule on all aspects of the Draft Implementation Plan that do not require further submissions from the ICC Trust Fund for Victims or the parties. On 14 December 2022, Mr Ntaganda was transferred to the Kingdom of Belgium to serve his sentence of imprisonment at the Leuze-en-Hainaut prison.
International Criminal Court (ICC) - 8 March 2021:
Today, 8 March 2021, Trial Chamber VI of the International Criminal Court ("ICC" or "Court") delivered in a public hearing its Order on Reparations to victims under article 75 of the Rome Statute in the case of The Prosecutor v. Bosco Ntaganda. Judge Chang-ho Chung, Presiding Judge in the reparations proceedings, read a summary of the Order for reparations against Mr Ntaganda, to be made through the Trust Fund for Victims. The Chamber, composed of Judge Chang-ho Chung, Judge Robert Fremr, and Judge Olga Herrera Carbuccia, recalled the large scope of the case and the potential large number of victims eligible to receive reparations. In light of the circumstances of the case and bearing in mind the rights of the convicted person, the Chamber set the total reparations award for which Mr Ntaganda is liable at USD 30,000,000. The Chamber also found Mr Ntaganda to be indigent for the purposes of reparations and encouraged the Trust Fund for Victims to complement the reparation awards to the extent possible within its available resources and to engage in additional fundraising efforts as necessary to complement the totality of the award.
The Chamber, established that, in light of the crimes for which Mr Ntaganda was convicted, eligible victims include: direct and indirect victims of the attacks, of crimes against child soldiers, of rape and sexual slavery, and children born out of rape and sexual slavery. It also defined the harms caused to victims, describing the great suffering and long-lasting consequences they suffered. The Chamber noted that it decided to award collective reparations with individualised components, considering that they were the most appropriate type of reparations for this case, as they may provide a more holistic approach to address the multi-faceted harm suffered by the large number of victims eligible to receive reparations. The modalities of reparations may include measures of restitution, compensation, rehabilitation, and satisfaction, which may incorporate, when appropriate, a symbolic, preventative, or transformative value. The Trust Fund for Victims was instructed to design a draft implementation plan on the basis of all the modalities of reparations identified in the Order, in consultation with the victims.
14 July 2023: Judges added that based on available information, there were an estimated 7,500 direct and indirect victims of violent attacks, as well as 3,000 direct or indirect victims of crimes against child soldiers. (VOA News)</t>
  </si>
  <si>
    <t>The original reparations awarded (on 8 March 2021) was USD 30,000,000, but an addendum to the Reparations Order, issued on 14 July 2023, assessed the amount of Mr Ntaganda’s liability for reparations to victims at USD 31,300,000.
In all the ICC cases imported, the perpetrator has been declared indigent - so reparations are being paid by the Trust Fund for Victims (TFV).</t>
  </si>
  <si>
    <t>imprisonment, icc, convicted, sentenced, crimes, convicting, conviction, victims, prosecutor, criminal</t>
  </si>
  <si>
    <t>Reparations in Central African Republic</t>
  </si>
  <si>
    <t>UN MINUSCA (United Nations Multidimensional Integrated Stabilization Mission in the Central African Republic) - Financed by the United States, as the perpetrators were declared indigent</t>
  </si>
  <si>
    <t>Victims of  massacres (in Koundjili and Lémouna) and sexual violence</t>
  </si>
  <si>
    <t>Central African Republic</t>
  </si>
  <si>
    <t>CAF</t>
  </si>
  <si>
    <t>United Nations Multidimensional Integrated Stabilization Mission in the Central African Republic (also called MINUSCA, which is an initialism of its French name Mission multidimensionnelle intégrée des Nations unies pour la stabilisation en Centrafrique) is a UN peacekeeping mission, which started on April 10, 2014, to protect Central African Republic civilians under Chapter VII of the UN Charter.
(source: https://en.wikipedia.org/wiki/MINUSCA)
Koundjili and Lémouna are two villages located 45 and 50 km from Paoua. These localities were the target of coordinated attacks by armed men from the 3R movement on May 21, 2019. The attacks left 36 people dead in these two villages. The 3R leader at the time, Abass Sidiki, eventually handed over three of his lieutenants to the courts: Issa Sallet Adoum alias Bozizé, Ousman Yaouba and Mahamat Tahir. After an appeal before the SCC, they were finally sentenced to prison terms ranging from 20 to 30 years.
(source: https://www.justiceinfo.net/en/137103-central-african-republic-reparations-what-victims-say-about-first-payments.html)</t>
  </si>
  <si>
    <t>Special Criminal Court (SCC),
UN MINUSCA</t>
  </si>
  <si>
    <t>https://www.justiceinfo.net/en/118225-central-african-republic-special-court-first-reparations-decision.html,
https://www.justiceinfo.net/en/137103-central-african-republic-reparations-what-victims-say-about-first-payments.html,
https://advance.lexis.com/document?crid=b242b6c4-5a6c-407e-bdc2-286a18042196&amp;pddocfullpath=%2Fshared%2Fdocument%2Fnews%2Furn%3AcontentItem%3A6FFD-7KC3-RYVX-N2FF-00000-00&amp;pdsourcegroupingtype=&amp;pdalertemail=False&amp;pdcontentcomponentid=343637&amp;pdmfid=1519360&amp;pdisurlapi=true#</t>
  </si>
  <si>
    <t>19 June 2023:
After several months of hesitation, the Special Criminal Court on June 16 handed down in Bangui a first reparations decision in its first and only trial. [...] Two wells, two memorials, a total of 26 victims and claimants each receiving sums of 200,000 CFA (around 300 euros) to 1 million CFA (around 1,500 euros): this is the total amount of collective and financial reparations pronounced by the Special Criminal Court (SCC) for the victims of an attack perpetrated in Ouham-Pendé, in the northwest of the country, on May 21, 2019. (Justice Info)
15 October 2024:
“For the first time in the history of the Central African Republic, a reparation measure ordered by a court has been implemented for the direct benefit of victims who were civil parties,” wrote the information unit of the Special Criminal Court (SCC) in a press release published on September 16 in Bangui. On August 31, a team from the Service d'aide aux victimes et à la défense (SAVD), the unit responsible for implementing reparations ordered by the SCC, travelled to Paoua in the far north-west of the country to pay the symbolic sum owed to the victims and their heirs. “Forty-one people have received compensation,” said Charles Mugaruka Mupenda, head of the SAVD. “These people represent 32 families from nine civil parties, including 13 families from Koundjili and 19 families from Lémouna. In terms of individual reparations, five women victims of sexual violence, three victims of attempted murder and one victim of kidnapping received financial compensation.”
Implementation of the reparation measures is financed by the United States via MINUSCA, the United Nations mission in the Central African Republic. This funding represents a sum of 30,000 US dollars. “As the convicts are indigent, it was up to the Court to seek funding from its partners,” says Mugaruka. According to the SCC, the total amount of financial reparations awarded, individually and collectively, and handed over on August 31, 2024, amounts to 18,855,000 CFA francs (around $31,000). In addition to financial reparations, victims of sexual violence are also receiving psychosocial support from the Nengo Project.
The mission that arrived in Paoua discreetly gathered the victims together to hand over the financial compensation, in the presence of the local authorities and MINUSCA officials. All the victims contacted by Justice Info confirm that they have received their sum. In accordance with the ruling of the SCC Appeals Chamber, 32 beneficiaries representing the 32 people killed in the Koundjili and Lémouna massacre each received 350,000 CFA francs (around $580). Two rape victims, who were minors at the time of the events, each received one million CFA francs (around $1,660). The three others each received 700,000 francs ($1,160). Three victims of attempted murder from Koundjili received 600,000 francs each ($1,000), while a young man from Lémouna who was tied up during the attack on his village got 200.000 franc.
(Justice Info)
28 March 2025:
In a short period, the SCC has achieved impressive results. Following its first verdict in the Paoua case, more than 40 victims have received reparations, and three individuals have been convicted of crimes against humanity. While these achievements are significant, they require continued support. Consolidating progress in the rule of law, security, and governance demands sustained political, financial, and technical backing. Without this, we risk losing the gains made in recent years. (TendersInfo)</t>
  </si>
  <si>
    <t>peacekeeping, reparations, massacre, massacres, sidiki, reparation, lémouna, civilians, paoua, minusca</t>
  </si>
  <si>
    <t>ICC: The Prosecutor v. Dominic Ongwen</t>
  </si>
  <si>
    <t>Trust Fund for Victims (TFV) - as the perpetrator, Dominic Ongwen (Uganda), was declared indigent</t>
  </si>
  <si>
    <t>Victims who suffered harm as a result of the crimes for which Mr Ongwen was convicted</t>
  </si>
  <si>
    <t>Uganda</t>
  </si>
  <si>
    <t>UGA</t>
  </si>
  <si>
    <t>On 4 February 2021, the Chamber issued its Judgment (‘Conviction Judgment’), convicting Dominic Ongwen (‘Mr Ongwen’) of 61 counts, comprising crimes against humanity and war crimes, committed in Northern Uganda between 1 July 2002 and 31 December 2005, namely: attack against the civilian population as such, murder and attempted murder, torture, enslavement, pillaging, outrages upon personal dignity, destruction of property, persecution, forced marriage, rape, sexual slavery, enslavement, forced pregnancy, conscripting children under the age of 15 into an armed group, and using them to participate actively in hostilities.
(source: https://www.icc-cpi.int/sites/default/files/CourtRecords/0902ebd18078e195.pdf)</t>
  </si>
  <si>
    <t>https://www.legal-tools.org/doc/rm2kju/,
https://www.icc-cpi.int/uganda/ongwen,
https://www.icc-cpi.int/court-record/icc-02/04-01/15-2074,
https://www.icc-cpi.int/news/ongwen-case-icc-trial-chamber-ix-orders-reparations-victims,
https://nuhanovicfoundation.org/database/international-criminal-court-prosecutor-vs-dominic-ongwen-reparations-order/,
https://www.bbc.com/news/world-africa-68428789</t>
  </si>
  <si>
    <t>www.legal-tools.org: http://web.archive.org/web/20240506104041/https://www.legal-tools.org/doc/rm2kju/ [06 May 2024]
www.icc-cpi.int:
https://web.archive.org/web/20250904190147/https://www.icc-cpi.int/uganda/ongwen [04 September 2025]
www.icc-cpi.int: http://web.archive.org/web/20250629073719/https://www.icc-cpi.int/court-record/icc-02/04-01/15-2074 [29 June 2025]
www.icc-cpi.int:
https://web.archive.org/web/20250629073640/https://www.icc-cpi.int/news/ongwen-case-icc-trial-chamber-ix-orders-reparations-victims [29 June 2025]
nuhanovicfoundation.org: http://web.archive.org/web/20250615054852/https://nuhanovicfoundation.org/database/international-criminal-court-prosecutor-vs-dominic-ongwen-reparations-order/ [15 June 2025]
www.bbc.com:
https://web.archive.org/web/20250207103441/https://www.bbc.com/news/world-africa-68428789 [07 February 2025]</t>
  </si>
  <si>
    <t>International Criminal Court (ICC):
The trial began on 6 December 2016. The Prosecution and the Defence have completed the presentation of their evidence. The Legal Representatives of Victims also called witnesses to appear before the Chamber. On 12 December 2019, the presiding judge declared the closure of the submission of evidence in the case. The closing briefs were filed on 24 February 2020. The closing statements took place from 10 to 12 March 2020. On 4 February 2021, Trial Chamber IX found Dominic Ongwen guilty for a total of 61 crimes comprising crimes against humanity and war crimes, committed in Northern Uganda between 1 July 2002 and 31 December 2005. On 6 May 2021, Trial Chamber IX sentenced Dominic Ongwen to 25 years of imprisonment. 
On 15 December 2022, the Appeals Chamber confirmed the decisions of Trial Chamber IX on Dominic Ongwen’s guilt and sentence. On 18 December 2023, Mr Ongwen was transferred to Norway to serve his sentence of imprisonment. Next steps: The conviction and the sentence are now final. A phase dedicated to the reparations to victims is ongoing. On 28 February 2024, Trial Chamber IX delivered its Order on Reparations to victims.
International Criminal Court (ICC) - 28 February 2024:
Today, 28 February 2024, Trial Chamber IX of the International Criminal Court ("ICC" or "Court") composed by Judge Bertram Schmitt, Judge Peter Kovács, and Judge Chang-ho Chung, delivered in a public hearing its Order on Reparations to victims in the case of The Prosecutor v. Dominic Ongwen. The Chamber set the financial liability of Mr Ongwen to € 52,429,000 EUR and ordered collective community-based reparations focused on rehabilitation and symbolic/satisfaction measures, consisting of collective rehabilitation programmes, as well as a symbolic award of €750 EUR for all eligible victims, and other community symbolic measures.
Judge Bertram Schmitt, Presiding Judge, read a summary of the Order for reparations against Mr Ongwen. He explained that the Chamber estimated the number of potentially eligible direct and indirect victims to be approximately 49,772 victims.
The Chamber concluded that the direct victims of the attacks, direct victims of sexual and gender-based crimes, and children born of those crimes, and former child soldiers suffered serious and long-lasting physical, moral and material harm. The indirect victims of all of these crimes suffered moral and material harm.  In addition, the entire community of victims suffered community harm, and children of direct victims and children born out of sexual and gender based crimes suffered transgenerational harm.
The Chamber found Mr Ongwen indigent for the purposes of reparations and encouraged the Trust Fund for Victims (TFV) to complement the reparation awards, to the extent possible, and engage in additional fundraising efforts to the extent necessary to complement the totality of the award.
28 February 2024: Victims of Ugandan warlord Dominic Ongwen have been awarded more than €52m ($56m; £44.5m) by the International Criminal Court (ICC). (BBC News)
International Criminal Court (ICC) - 27 March 2024:
On 25 March 2025, the Appeals Chamber of the International Criminal Court (”ICC” or “Court”) issued an order scheduling the hearing to deliver its judgment on the appeal of Mr Dominic Ongwen against the decision of Trial Chamber IX entitled “Reparations Order”  in open Court on Monday, 7 April 2025 at 14:30 (The Hague Local Time).</t>
  </si>
  <si>
    <t>Note: In all the ICC cases imported, the perpetrator has been declared indigent - so reparations are being paid by the Trust Fund for Victims (TFV) [Ongwen case is still ongoing and he is presumed indigent]</t>
  </si>
  <si>
    <t>prosecution, uganda, ongwen, icc, victims, convicted, convicting, crimes, imprisonment, conviction</t>
  </si>
  <si>
    <t>IFC Reparations to Hondurian Farmers (Juana Doe et al. v. IFC)</t>
  </si>
  <si>
    <t>World Bank’s International Finance Corporation</t>
  </si>
  <si>
    <t>13 anonymous plaintiffs from the Bajo Aguán Valley</t>
  </si>
  <si>
    <t>A Delaware Court has approved a settlement between the World Bank’s International Finance Corporation and several Honduran land defenders who faced violence at the hands of security forces allegedly linked to Dinant Corporation, a Central American palm oil corporation to which the World Bank had loaned $30 million dollars in 2009.
(source: https://news.mongabay.com/2024/10/world-banks-ifc-must-pay-reparations-to-honduran-farmers-us-court-rules/)</t>
  </si>
  <si>
    <t>United States District Court District of Delaware</t>
  </si>
  <si>
    <t>https://news.mongabay.com/2024/10/world-banks-ifc-must-pay-reparations-to-honduran-farmers-us-court-rules/</t>
  </si>
  <si>
    <t>news.mongabay.com: http://web.archive.org/web/20250621102907/https://news.mongabay.com/2024/10/world-banks-ifc-must-pay-reparations-to-honduran-farmers-us-court-rules/ [21 June 2025]</t>
  </si>
  <si>
    <t>10 October 2024: Yet on Oct. 3, a court in the U.S. state of Delaware has approved a historical settlement in a class action lawsuit against the IFC, alleging that the lender was liable for allowing its money to finance violent actors implicated in human rights abuses and killings. As a result of the settlement, the IFC will pay nearly $5 million in reparations to 13 anonymous plaintiffs from the Bajo Aguán Valley who filed for damages after allegedly losing lost loved ones to gunmen linked to Dinant. (Mongabay)</t>
  </si>
  <si>
    <t>reparations, plaintiffs, settlement, lawsuit, damages, ifc, liable, juana, delaware, honduran</t>
  </si>
  <si>
    <t>Nepal Compensates Families of Victims of Helicopter Crash in Ghunsa</t>
  </si>
  <si>
    <t>Government of Nepal</t>
  </si>
  <si>
    <t>Nepal</t>
  </si>
  <si>
    <t>NPL</t>
  </si>
  <si>
    <t>Families of the Nepalese who died in the helicopter crash at Ghunsa, Taplejung</t>
  </si>
  <si>
    <t>On 23 September 2006, a Shree Air Mil Mi-8 helicopter crashed on a chartered flight from Phungling to Ghunsa in Eastern Nepal. The accident killed all 24 passengers and crew on board, including an expedition of World Wide Fund for Nature.
(source: https://en.wikipedia.org/wiki/2006_Shree_Air_Mil_Mi-8_crash)</t>
  </si>
  <si>
    <t>Peace Agreements Database (ID: 1744)</t>
  </si>
  <si>
    <t>Agreement between the GoN and Nepal Adivasi Janajati Mahasangha and Adivasi Janajati Samyukta Sangharsha Samiti</t>
  </si>
  <si>
    <t>Peace Agreements Database (PA-X):
Page 2, 17: Provision shall be made to provide a compensation of Rs. 1 million as relief to the families of each of the Nepalese who died in the helicopter crash at Ghunsa, Taplejung.</t>
  </si>
  <si>
    <t>The Total Amount Pledged is calculated by multiplying the number of victims  (24) and the individual compensation awarded (Rs. 1 million).</t>
  </si>
  <si>
    <t>compensation, nepalese, nepal, helicopter, ghunsa, million, families, victims, compensates, 2006_shree_air_mil_mi</t>
  </si>
  <si>
    <t>Nepal Compensates Family of Mangal Bahadur Gurmachhan</t>
  </si>
  <si>
    <t>Family of Mangal Bahadur Gurmachhan</t>
  </si>
  <si>
    <t>Chure Bhawar Rastriya Ekta Party Nepal (Nepali: चुरे भावर राष्ट्रिय एकता पार्टी नेपाल) is a political party in Nepal. The party was registered with the Election Commission of Nepal ahead of the 2008 Constituent Assembly election. The Chure Bhawar Rastriya Ekta Samaj (CBES), emerged in the northern areas of the central Terai, demanding a Chure federal state comprising bhawar and chure range. The group led a series of protests  thereafter. Before registering as a party, the organization's name was Chure Bhawar Rastriya Ekta Samaj, which was formed in the beginning of 2007 after many Madhesi armed outfits started repeatedly attack and kill people of hilly origin in the Terai region. The party was formed in 2007, seeking to defend the interests of people of Hilly origin living in Terai.
(source: https://en.wikipedia.org/wiki/Chure_Bhawar_Rastriya_Ekta_Party_Nepal)</t>
  </si>
  <si>
    <t>Peace Agreements Database (ID: 1746)</t>
  </si>
  <si>
    <t>Agreement between the GoN and Chure Bhawar Pradesh Ekta Samaj, Nepal</t>
  </si>
  <si>
    <t>https://thehimalayantimes.com/kathmandu/chure-bhabhar-samaj-sets-condition-for-talks-with-govt</t>
  </si>
  <si>
    <t>thehimalayantimes.com: http://web.archive.org/web/20211024053502/https://thehimalayantimes.com/kathmandu/chure-bhabhar-samaj-sets-condition-for-talks-with-govt [24 October 2021]</t>
  </si>
  <si>
    <t>Peace Agreements Database (PA-X):
Page 1, 3: The Government’s decision to provide Rs 1 million to the family of Mangal Bahadur Gurmachhan, who received martyrdom after being killed by the police during the movement of Chure Bhawar Pradesh Ekta Samaj, shall be implemented immediately. Suitable arrangements shall be made to provide medical treatment to those who were injured during the movement and still have not received treatment, including the Vice Chairperson of Chure Bhawar Pradesh Ekta Samaj.</t>
  </si>
  <si>
    <t>chure_bhawar_rastriya_ekta_party_nepal, nepali, nepal, chure, bahadur, rastriya, pradesh, gurmachhan, samaj, ekta</t>
  </si>
  <si>
    <t>Interim Relief and Rehabilitation Programme in Nepal (Standard on Financial Assistance and Relief to the Conflict Victims)</t>
  </si>
  <si>
    <t>Victims of Nepal's Armed Conflict</t>
  </si>
  <si>
    <t>The Nepalese Civil War was a protracted armed conflict that took place in the then Kingdom of Nepal from 1996 to 2006. It saw countrywide fighting between the Kingdom rulers and the Communist Party of Nepal (Maoist), with the latter making significant use of guerrilla warfare. The conflict began on 13 February 1996, when the CPN (Maoist) initiated an insurgency with the stated purpose of overthrowing the Nepali monarchy and establishing a people's republic; it ended with the signing of the Comprehensive Peace Accord on 21 November 2006. 
The civil war was characterized by numerous war crimes and crimes against humanity, including summary executions, massacres, purges, kidnappings, and mass rapes. It resulted in the deaths of over 17,000 people, including civilians, insurgents, and army and police personnel; and the internal displacement of hundreds of thousands of people, mostly throughout rural Nepal.
(source: https://www.ohchr.org/en/documents/country-reports/nepal-conflict-report)</t>
  </si>
  <si>
    <t>https://www.iom.int/sites/g/files/tmzbdl2616/files/2018-07/Mapping-Excercise-of-Interim-Relief-and-Rehabilitation-to-the-Victims-of-Nepals-Armed-Conflict.pdf,
https://www.ictj.org/sites/default/files/ICTJ-Nepal-Reparations-2012-English.pdf</t>
  </si>
  <si>
    <t>December 2010, IOM:
In 2008, as a priority programme the GoN introduced the Interim Relief and Rehabilitation Programme with an aim to provide conflict victims with interim financial support and other forms of relief. As part of its commitment to the peace process , the GoN created the Ministry of Peace and Reconstruction, the Relief and Rehabilitation Unit, Task Force, Nepal Peace Trust Fund and the Local Peace Committees which facilitated the implementation of the Interim Relief and Rehabilitation Programme.
Though termed the Interim Relief and Rehabilitation Programme, this initiative contains some aspects of a reparations programme that cannot be treated in isolation from one envisioned following the future TRC and CoI-D. Categories of conflict victims currently receiving assistance under this programme include families of the deceased, widows of the deceased, children of the deceased, families of the disappeared, children of the disappeared, children of disabled individuals, children with disabilities due to the conflict, individuals abducted during the conflict, individuals injured due to the conflict, persons with disabilities (PWDs) due to the conflict, individuals whose private property was destroyed during the conflict. Benefits range from one time cash payments of NPR 100,000 to families of the deceased and disappeared, scholarships amounts ranging from NPR 10,000-16,000 to children of the deceased, disappeared and disabled individuals including children disabled during the conflict, medical treatment and re-imbursements for treatment followed by individuals injured during the conflict according to the doctor's prescription and bills from government or community hospital in Nepal, cash payment of up to NPR 200,000 to PWDs, and compensation to persons whose private property was damaged or destroyed during the conflict.
October 2012, ICTJ:
So far, the interim relief program (IRP) has provided benefits to over 30,000 people who were categorized as “conflict victims” and approximately 80,000 internally displaced persons (IDPs).
According to the Transitional Justice Evaluation Tools, the cost estimate is:
By end of 2017: $144,180,000 to kin of the deceased; $15,300,000 to kin of the disappeared; $1,162,250 to single widows; $163,000 to single wives of the disappeared; $4,824,040 to the disabled; $3,419,566 in compensation for damaged property; $1,414,750 to detained or kidnapped people; $1,784,500 to children of the deceased or disappeared; and $1,898,000 spent on psychosocial counseling.</t>
  </si>
  <si>
    <t>NOTE ON CONVERSION: The total compensation disbursed is reported as an accumulated figure paid as of 2017. We assume this figure represents the total value of all payments over the entire period. For comparison purposes, we treat it as a 2017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</si>
  <si>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nepal, nepalese, nepali, maoist, insurgency, war, warfare, peace, civilians, conflict</t>
  </si>
  <si>
    <t xml:space="preserve">Nepal Compensates Families of Those Killed During the Madhesh Movement </t>
  </si>
  <si>
    <t xml:space="preserve">Families of those killed during the Madhesh Movement </t>
  </si>
  <si>
    <t>Madhesh Movement (Nepali: मधेस अान्दोलन) was a political movement launched by various political parties, especially those based in Madhes, for equal rights, dignity and identity of Madhesis Tharus, Muslims and Janjati groups in Nepal. In nearly a decade, Nepal witnessed three Madhesh Movements - the first Madhesh Movement erupted in 2007, the second Madhesh Movement in 2008 and the third Madhesh Movement in 2015. Ramesh Mahato was Madhesi martyr in 2007 at Lahan.
(source: https://en.wikipedia.org/wiki/Madhesh_movement)</t>
  </si>
  <si>
    <t>Peace Agreements Database (ID: 1749 - Updated)</t>
  </si>
  <si>
    <t>Agreement between the GoN and Samyukta Loktantrik Madheshi Morcha</t>
  </si>
  <si>
    <t>https://www.business-standard.com/multimedia/video-gallery/world/nepal-govt-announces-rs-1-million-for-families-of-those-killed-in-madhesi-protest-38819.htm,
https://nepalnews.com/s/nation/maintenance-and-scholarship-to-the-families-of-martyrs-of-madhesh-pradesh/</t>
  </si>
  <si>
    <t>Peace Agreements Database (PA-X):
Page 1, 1: The State shall declare those killed during the Madhesh Movement as martyrs, and shall provide appropriate compensation to those maimed and yet to receive compensation. Similarly, arrangements shall be made for those injured during the Movement to receive medical expenses and those martyred shall be given due recognition and their families shall be provided with relief at the rate of Rs 1 million, and those arrested shall be immediately released.
18 August 2016: The Nepal Government has announced to give compensation of Rs 1 million to the families of those killed during the Madhesi movement, at a cabinet meeting held in Singha Durbar on Thursday. The compensation amount will be given to the families of 41 protestors and 11 security personnel. Minister for Information and Communications Ram Karki told reporters that the government decided to distribute the amount upon the recommendation of the Ministry of Home Affairs. The Madhesi parties had been demanding the formation of a probe committee to look into excessive use of force by the security personnel. (Business Standard)
More initiatives:
30 June 2022: The Madhesh state government will provide financial assistance to the families of those martyred during the Madhesh movement and people’s war. The Ministry of Home Affairs and Communications is going to provide financial assistance of Rs. 12,000 per month to the families of the martyrs through the Madhesi Martyrs’ Foundation. 
Secretary of the Ministry Ram Kumar Mahato informed that the children of the martyr’s family will also be given scholarships for free education. “We have issued notice to the families of the martyrs to apply for alimony and scholarships,” he said. “The state government has allocated Rs 10 million for this year. The amount may vary depending on the number of applications. ” Secretary Mahato said that the children of the martyr’s family will be given Rs. 16,000 for classes 1 to 6 and Rs. 18,000 for classes 7 to 12. According to Article 6 of the Rules of Procedure 2079 on Maintenance and Scholarship of the State Government, it has been decided to provide financial assistance to the families of those who were martyred in the Madhes Movement and People’s War. (Nepal News)</t>
  </si>
  <si>
    <t>The Total Amount Pledged is calculated by multiplying the number of beneficiaries  (52) and the individual compensation awarded (Rs. 1 million).</t>
  </si>
  <si>
    <t>madhesi, madhes, madhesh, nepal, nepali, madhesis, martyrs, ramesh, मध, martyr</t>
  </si>
  <si>
    <t>Nepal Compensates Family of Rajkumar Angdembe Mangtok</t>
  </si>
  <si>
    <t>Family of Rajkumar Angdembe Mangtok</t>
  </si>
  <si>
    <t>Rajkumar Angdembe Mangtok 20, a Limbuwan Volunteer, was married and had a four-
month-old daughter when he died. Police shot him dead on October 7, 2007 at Kamal Khola
during a Limbuwan general strike and protest. The government declared him a martyr on
December 10, 2008 after series of talks between the Limbuwan movement and the government.
(source: https://ecommons.cornell.edu/server/api/core/bitstreams/2facd985-6b01-4352-b108-7a42b9bec7c1/content)
Late Rajkumar Angdembe (Mangtok), who lost his life during the Limbuwan Movement, shall be honoured as a martyr and his family shall be provided with a compensation of Rs one million. The Government shall make arrangements for providing compensation for the losses incurred and for the treatment of those injured during the Movement. The Government shall also withdraw the charges filed against the agitator.
(source: Peace Agreements Database)</t>
  </si>
  <si>
    <t>Peace Agreements Database (ID: 1751)</t>
  </si>
  <si>
    <t>Agreement Reached between the Government Talks Team comprising Seven Political Parties and the Federal Limbuwan State Council</t>
  </si>
  <si>
    <t>Peace Agreements Database (PA-X):
Page 1, 2: Late Rajkumar Angdembe (Mangtok), who lost his life during the Limbuwan Movement, shall be honoured as a martyr and his family shall be provided with a compensation of Rs one million. The Government shall make arrangements for providing compensation for the losses incurred and for the treatment of those injured during the Movement. The Government shall also withdraw the charges filed against the agitator.</t>
  </si>
  <si>
    <t>limbuwan, angdembe, mangtok, compensation, nepal, rajkumar, million, family, peace, incurred</t>
  </si>
  <si>
    <t>Grande International Hospital to Pay Reparations for Negligence</t>
  </si>
  <si>
    <t>Grande International Hospital</t>
  </si>
  <si>
    <t>Sanjeev Neupane and Ekta Ghimire</t>
  </si>
  <si>
    <t>Rihan was born to Ekata Ghimire and Sanjeev Neupane through cesarean section on June 26, 2018, at Grande in Dhapasi. Rihan was born slightly early at 36 weeks and was admitted at the neonatal intensive care unit (NICU) of the hospital just half an hour after his birth. He was later put on ventilator. The baby suffered Klebsiella infection, a bacterial infection that generally happens in hospitals, while on ventilator. Surgery on his head was done up to five times as the kid’s health deteriorated from there. The parents were told that the kid was incurable only after the boy was treated for 10 months at the hospital. The parents then moved the NMC accusing the doctors and hospital of gross negligence. The NMC ruled that the doctors and hospital were careless in treatment but did not order any reparations. The couple then moved the court.
(source: https://en.setopati.com/social/158685)</t>
  </si>
  <si>
    <t>Patan High Court</t>
  </si>
  <si>
    <t>Setopati</t>
  </si>
  <si>
    <t>https://en.setopati.com/social/158685</t>
  </si>
  <si>
    <t>en.setopati.com: http://web.archive.org/web/20230128061135/https://en.setopati.com/social/158685 [28 January 2023]</t>
  </si>
  <si>
    <t>24 May 2022: The Patan High Court has ordered Grande International Hospital to pay Sanjeev Neupane and Ekta Ghimire Rs 3.50 million in reparations finding the hospital negligent in treatment of their son. (Setopati)</t>
  </si>
  <si>
    <t>neonatal, negligence, hospital, sanjeev, incurable, cesarean, hospitals, rihan, treated, reparations</t>
  </si>
  <si>
    <t>Compensation for 1947 Dutch Massacre in Rawagadeh, Indonesia</t>
  </si>
  <si>
    <t>Government of the Netherlands</t>
  </si>
  <si>
    <t>Netherlands</t>
  </si>
  <si>
    <t>NLD</t>
  </si>
  <si>
    <t>Families of the victims villagers in Rawagede (Indonesia)</t>
  </si>
  <si>
    <t>On 9 December 1947, during Indonesia's struggle for independence, villagers in Rawagede, Indonesia were killed by Dutch troops. An estimated 430 boys and young men were killed. The Dutch soldiers had been looking for Lukas Kustario, a, Indonesian resistance leader. The boys and men were lined up in rows when they were shot one at a time.
(source: Political Apologies and Reparations Archive)</t>
  </si>
  <si>
    <t>The Netherlands District Court of The Hague</t>
  </si>
  <si>
    <t>http://www.washingtonpost.com/world/europe/6-decades-later-dutch-state-apologizes-to-relatives-over-indonesian-massacre/2011/12/08/gIQAsZEvgO_print.html (NOT WORKING),
https://nuhanovicfoundation.org/database/the-netherlands-district-court-of-the-hague-wisah-binti-silan-and-others-vs-the-state-of-the-netherlands/,
https://indonesiaatmelbourne.unimelb.edu.au/forced-atonement-dutch-apologies-and-compensation-for-colonial-era-rights-violations/,
https://en.wikipedia.org/wiki/Rawagede_massacre</t>
  </si>
  <si>
    <t>Political Apologies and Reparations Archive:
At anannual commemoration held at the Rawagede Hero Cemetery in Rawagede, Indonesia,the Netherlands' ambassador to Indonesia, Tjeerd de Zwaan, apologized for the massacre. de Zwaan said: 'we remember the members of your families and those of your fellow villagers who died 64years ago through the actions of the Dutch military. The apology comes after the Dutch court ruled in September that the state was responsible for the massacre. Ten of the plaintiffs in that case each received 20,000 euro (or $27,000 USD as of December 2011). Prior to that, in 1968, former Foreign Minister, Ben Bot, expressed deep regret for the actions of the Dutch forces in Indonesia, but the government had not formally apologized.
9 December 2011:
The apology — more than six decades later — followed a landmark ruling by a Dutch court in September that said the state was responsible for the massacre. Their lawyer, Liesbeth Zegveld, said her firm has already received euro 20,000 ($27,000) for each of the 10 plaintiffs, three of whom have since died. The money will be transferred to the widows as soon as they have all opened their own bank accounts. (The Washington Post)
28 November 2019: In 1947, Dutch troops entered the village of Rawagede (now Balongsari) in West Java to quash Indonesian pro-independence forces, executing between 150 and 431 male civilians. Sixty-four years later, the Dutch government apologised for the Rawagede tragedy. Importantly, the apology was conducted in Balongsari by the Dutch Ambassador to Indonesia, Tjeerd de Zwaan, in Indonesian and English. In 2011, the Dutch government paid US$26,560 each to nine of the victims’ widows. Since 2011, at least 40 other widows have also received €20,000 in compensation from the Dutch state. (Indonesia at Melbourne)
Wikipedia:
In December 2009, the 10 widows decided to sue the Dutch state in court. On 14 September 2011, the court ruled that the extraordinary nature of the crime exempted it from a statute of limitations. The Dutch state was held fully accountable for the damages caused. Following settlement negotiations, the plaintiffs were awarded €20,000 each in compensation, and the Dutch state issued a formal apology for the massacre. On 9 December 2011, the Dutch ambassador to Indonesia stated, "We remember the members of your families and those of your fellow villagers who died 64 years ago through the actions of the Dutch military... On behalf of the Dutch government, I apologize for the tragedy that took place." Only nine relatives were still alive at the time, and they each received €20,000 in compensation. The money was paid out by 2013.</t>
  </si>
  <si>
    <t>More payments may have been made since 2011.
The following source URL is no longer accessible: http://www.washingtonpost.com/world/europe/6-decades-later-dutch-state-apologizes-to-relatives-over-indonesian-massacre/2011/12/08/gIQAsZEvgO_print.html. A snapshot of the original content is available through the Political Apologies and Reparations Archive (2012.0001.01). See attached snapshots.</t>
  </si>
  <si>
    <t>Netherlands, Dutch, Indonesia, Rawagede, de Zwaan, massacre, Indonesian independence , reparations, dutch, massacre, indonesia, indonesian, netherlands, victims, commemoration, rawagadeh, rawagede</t>
  </si>
  <si>
    <t>Jaloud vs. The Netherlands</t>
  </si>
  <si>
    <t>Mr Azhar Sabah Jaloud</t>
  </si>
  <si>
    <t>In the aftermath of the Iraqi war in 2003, a coalition of military forces, led by the United States (US) and the United Kingdom (UK), formed the Stabilization Force Iraq (SFIR) in order to rebuild Iraq through restoration of stability and security. In this context, a vehicle checkpoint was erected in an area in south-eastern Iraq where the UK was “lead nation”, holding command over the Dutch contingent of SFIR. In the early morning of 21 April 2004, an incident occurred where from inside a car shots were fired at members of the Iraqi Civil Defence Corps (ICDC) who were guarding a checkpoint and who returned fire. No one was hit and the car drove off. Called by the checkpoint commander, soon after the incident a patrol of six Netherlands soldiers led by Lieutenant A. arrived on the scene. Some fifteen minutes later a Mercedes car speedily approached the checkpoint. While hitting one of the barrels which had been set out in the middle of the road to form the checkpoint, the car continued to advance. Shots were fired at the car and the driver stopped. In this shooting, Mr Azhar Sabah Jaloud, seated in the front passenger seat of the car, died. The Royal Military Constabulary –attached to the Dutch military forces in Iraq- was asked to investigate this incident. In their capacity as military police or military police investigators, Royal Military Constabulary personnel are subordinate to the public prosecutor to the Regional Court of Arnhem/The Netherlands. The Dutch Public Prosecutor investigated the incident and declined to prosecute the suspect. In 2007, the applicant lodged a request with the Dutch Court of Appeal, but the Court of Appeal determined that the Public Prosecutor had rightly decided not to prosecute the suspect.
(source: https://nuhanovicfoundation.org/database/european-court-of-human-rights-jaloud-vs-the-netherlands/)</t>
  </si>
  <si>
    <t>https://nuhanovicfoundation.org/database/european-court-of-human-rights-jaloud-vs-the-netherlands/,
https://nuhanovicfoundation.org/database/european-court-of-human-rights-jaloud-vs-the-netherlands/</t>
  </si>
  <si>
    <t>nuhanovicfoundation.org: http://web.archive.org/web/20250803182344/https://nuhanovicfoundation.org/database/european-court-of-human-rights-jaloud-vs-the-netherlands/ [03 August 2025]
nuhanovicfoundation.org: http://web.archive.org/web/20250803182344/https://nuhanovicfoundation.org/database/european-court-of-human-rights-jaloud-vs-the-netherlands/ [03 August 2025]</t>
  </si>
  <si>
    <t>The Nuhanovic Foundation:
The applicant asked the Court to order the Government to “remedy the violations of Article 2” by performing another thorough investigation and to prosecute those involved. He also claimed 25,000 euros (EUR) in respect of non-pecuniary damage.
Regarding the applicant’s request that an effective investigation be carried out, followed by  a prosecution, the Court held – relying on Article 41 ECHR – that the respondent State remains free to choose the means by which it will discharge its legal obligation to execute the judgment, provided that such means are compatible with the conclusions set out in the Court’s judgment, and that it is only in exceptional circumstances that the Court will indicate what steps should be taken (para. 234). As regards the monetary claims, the court awards the applicant a monetary compensation sum of € 25,000.</t>
  </si>
  <si>
    <t>jaloud, iraq, iraqi, checkpoint, soldiers, defence, constabulary, shooting, netherlands, vehicle</t>
  </si>
  <si>
    <t>East Java Torture Victim vs. The State of the Netherlands (District Court) &amp; Heirs Java Torture Victim vs. the State of the Netherlands (Appeals Court)</t>
  </si>
  <si>
    <t>A surviving torture victim from East Java (since plaintiff deceased in September 2017, his heirs litigate in his name)</t>
  </si>
  <si>
    <t>Between 21 July and 5 August 1947, during so called ‘police actions’ Dutch military tried to ‘restore calm and order’ on East Java, where a guerilla war was ongoing. Plaintiff claimed that during these police actions, he was captured and tortured by Dutch military, and now holds the Dutch State liable for the non-monetary damages he has suffered and will continue to suffer in future. In 2018, The Hague District Court found proven that the plaintiff was beaten on the head with a piece of wood and that a cigarette was put out on his head. It decided that the Dutch State’s invocation of the period of limitation with regard to plaintiff’s compensation claim was not reasonable and fair.
(source: https://nuhanovicfoundation.org/database/the-netherlands-the-hague-court-of-appeal-heirs-java-torture-victim-vs-the-state-of-the-netherlands/)</t>
  </si>
  <si>
    <t>The Netherlands District Court of The Hague;
The Netherlands Appeals Court of The Hague</t>
  </si>
  <si>
    <t>https://nuhanovicfoundation.org/database/the-netherlands-the-hague-court-of-appeal-heirs-java-torture-victim-vs-the-state-of-the-netherlands/,
https://nuhanovicfoundation.org/database/the-netherlands-district-court-of-the-hague-east-java-torture-victim-vs-the-state-of-the-netherlands/</t>
  </si>
  <si>
    <t>nuhanovicfoundation.org: http://web.archive.org/web/20250712070729/https://nuhanovicfoundation.org/database/the-netherlands-the-hague-court-of-appeal-heirs-java-torture-victim-vs-the-state-of-the-netherlands/ [12 July 2025]
nuhanovicfoundation.org:
https://web.archive.org/web/20250615051434/https://nuhanovicfoundation.org/database/the-netherlands-district-court-of-the-hague-east-java-torture-victim-vs-the-state-of-the-netherlands/ [15 June 2025]</t>
  </si>
  <si>
    <t>The Nuhanovic Foundation:
The plaintiff claimed that the mistreatment had caused trauma. Although he could not underpin this claim with a psychiatric report, the Court did not doubt the fact that the mistreatment caused anxieties that resulted in trauma, and awards the plaintiff € 5,000 in immaterial damages (paras. 2.65, 2.69).
The Nuhanovic Foundation:
The Court rules that the torture allegations are sufficiently proven on the basis of the witness statements of the plaintiff and his sister, a medical expert report and the Dutch State’s inability to adequately rebut the allegations (paras. 22-23). The court confirms the judgment of the Court of First Instance that awarded € 5,000.- compensation for immaterial damages suffered.</t>
  </si>
  <si>
    <t>tortured, plaintiff, hague, damages, torture, court, judgment, netherlands, compensation, dutch</t>
  </si>
  <si>
    <t>Mothers of Srebrenca vs. The State of the Netherlands</t>
  </si>
  <si>
    <t>Relatives of Srebrenica genocide victims</t>
  </si>
  <si>
    <t>In 1995, in what would be the first legally established case of genocide in Europe since the Holocaust, approximately 8,000 Bosnian Muslims (or Bosniaks) were murdered by Bosnian Serbs in the town of Srebrenica. The Dutch Supreme Court ruled in 2019 that Dutch UN peacekeepers "acted unlawfully" when they evacuated the men from their military base near Srebrenica on July 13, 1995, handing them over to the Bosnian Serb forces despite knowing that they "were in serious jeopardy of being abused and murdered."
(source: https://www.aa.com.tr/en/europe/thousands-of-srebrenica-victims-await-compensation-from-the-netherlands/2781724)</t>
  </si>
  <si>
    <t>The Netherlands Supreme Court</t>
  </si>
  <si>
    <t>https://balkaninsight.com/2024/07/11/netherlands-pays-compensation-for-hundreds-of-srebrenica-victims/,
https://tvpworld.com/79272077/netherlands-pays-compensation-for-srebrenica-genocide-victims,
https://www.aa.com.tr/en/europe/thousands-of-srebrenica-victims-await-compensation-from-the-netherlands/2781724,
https://nuhanovicfoundation.org/database/the-netherlands-supreme-court-mothers-of-srebrenca-vs-the-state-of-the-netherlands/,
https://nuhanovicfoundation.org/database/the-netherlands-appeals-court-of-the-hague-decision-in-the-case-of-the-mothers-of-srebrenica-foundation/,
https://nuhanovicfoundation.org/database/the-netherlands-appeals-court-of-the-hague-decision-in-the-case-of-the-mothers-of-srebrenica-foundation/,
https://nuhanovicfoundation.org/database/the-netherlands-district-court-of-the-hague-mothers-of-srebrenica-vs-the-state-of-the-netherlands/,
https://nuhanovicfoundation.org/database/the-netherlands-appeals-court-of-the-hague-mothers-of-srebrenica-vs-the-state-of-the-netherlands/</t>
  </si>
  <si>
    <t>balkaninsight.com: http://web.archive.org/web/20250719153652/https://balkaninsight.com/2024/07/11/netherlands-pays-compensation-for-hundreds-of-srebrenica-victims/ [19 July 2025]
tvpworld.com: http://web.archive.org/web/20250621174638/https://tvpworld.com/79272077/netherlands-pays-compensation-for-srebrenica-genocide-victims [21 June 2025]
www.aa.com.tr: http://web.archive.org/web/20250117175125/https://www.aa.com.tr/en/europe/thousands-of-srebrenica-victims-await-compensation-from-the-netherlands/2781724 [17 January 2025]
nuhanovicfoundation.org: http://web.archive.org/web/20250615050513/https://nuhanovicfoundation.org/database/the-netherlands-supreme-court-mothers-of-srebrenca-vs-the-state-of-the-netherlands/ [15 June 2025]
nuhanovicfoundation.org: http://web.archive.org/web/20250618094021/https://nuhanovicfoundation.org/database/the-netherlands-appeals-court-of-the-hague-decision-in-the-case-of-the-mothers-of-srebrenica-foundation/ [18 June 2025]
nuhanovicfoundation.org: http://web.archive.org/web/20250618094021/https://nuhanovicfoundation.org/database/the-netherlands-appeals-court-of-the-hague-decision-in-the-case-of-the-mothers-of-srebrenica-foundation/ [18 June 2025]
nuhanovicfoundation.org: http://web.archive.org/web/20250618073118/https://nuhanovicfoundation.org/database/the-netherlands-district-court-of-the-hague-mothers-of-srebrenica-vs-the-state-of-the-netherlands/ [18 June 2025]
nuhanovicfoundation.org: http://web.archive.org/web/20250803025212/https://nuhanovicfoundation.org/database/the-netherlands-appeals-court-of-the-hague-mothers-of-srebrenica-vs-the-state-of-the-netherlands/ [03 August 2025]</t>
  </si>
  <si>
    <t>The Nuhanovic Foundation: Implementing the Supreme Court’s judgment, the Dutch State announced on 17 December 2020 that as from 1 March 2021 the relatives of the 350 murdered Bosniaks can make use of an out-of-court settlement. The arrangement covers both material and immaterial damages and contains fixed compensation amounts: € 15,000 for widows and € 10,000 for next of kin. Acceptance precludes subsequent damages claims in civil procedures against the Dutch State.
9 January 2023: Since June 15, 2021, a total of 6,420 people have applied for compensation as relatives of 350 victims of the Srebrenica genocide during the 1992-1995 war in Bosnia, the spokesman for the Netherlands Compensation Commission Potocari said Friday. Frank Neervoort noted that the commission paid 860 victims' relatives and rejected 730 compensation applications, while there were 4,830 people waiting for their applications to be finalized. The Dutch Ministry of Defense has paid €8.6 million ($9.1 million) in compensation so far, he said, adding "the spouses of those who died in the Srebrenica genocide are paid €15,000, while the children, parents and siblings of the deceased are paid €10,000 each. The commission will continue to receive applications until June 14, 2023, he said, adding "we think these numbers will rise even higher." (Anadolu Agency)
11 July 2024: A commission set up to recompense relatives of certain Srebrenica genocide victims because Dutch peacekeeping troops failed to protect them has paid out millions of euros in compensation for 611 of the victims’ deaths. The Netherlands Potocari Compensation Commission sent its final report to the Mothers of Srebrenica organisation on the eve of the commemoration of the 29th anniversary of the genocide on Wednesday, saying that it has made 2,337 compensation payments for the deaths of 611 victims. The judgment meant that victims’ widows would be given 15,000 euros in compensation and other surviving relatives would get 10,000 euros. In 2021, the Netherlands Compensation Commission Potocari opened an office in Sarajevo and a website to allow the relatives to file their compensation claims.
From June 15, 2021 to June 15, 2023, relatives of genocide victims could submit requests for compensation. The commission received more than 8,000 requests for compensation, which concerned a total of 2,690 victims. The total amount of payments so far has not been announced. In June 2023, it was approximately 12 million euros after 1,145 applications had been approved. (BIRN)
12 July 2024: A Dutch commission set up to compensate family members of the Srebrenica genocide has sent its final report saying that it has paid out millions of euros for the deaths of 611 victims. (TVP World)</t>
  </si>
  <si>
    <t>NOTE ON CONVERSION: The total compensation disbursed (12 million euros) is reported as an accumulated figure paid as of 2023. We assume this figure represents the total value of all payments over the entire period. For comparison purposes, we treat it as a 2023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</si>
  <si>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Belgrade, Serbia and Montenegro, Serbia, Montenegro, Marovic, Bosnia and Herzegovina, Bosnia, Herzegovina, United States, America, Davidson, Srebenica, Milosevic, Netherlands, bosniaks, bosnia, srebrenca, serbs, srebrenica, victims, bosnian, holocaust, genocide, netherlands</t>
  </si>
  <si>
    <t>Compensation for Dutch Massacre in Sulawesi, Indonesia</t>
  </si>
  <si>
    <t>Government of  the Netherlands</t>
  </si>
  <si>
    <t>Widows and children of 11 men summarily executed in South-Sulawesi</t>
  </si>
  <si>
    <t>The Dutch states awards reparations to the widows and children of 11 men summarily executed in South-Sulawesi. On 25 March 2020, a Dutch court awarded reparations to the widows and children of eleven men summarily executed by Dutch soldiers during the Dutch occupation of Indonesia. The case concerns killings carried out in a mass execution in Suppa, and other executions in Bulukumba and Sidenreng Rappang from 1946-47. A large number of victims was interviewed via ‘telehoren’, and the historian Robert Cribb was engaged to evaluate the evidentiary value of evidence provided. The court found that these deaths had resulted from misconduct of military personnel.
(source: https://nuhanovicfoundation.org/database/the-netherlands-district-court-of-the-hague-executions-in-south-sulawesi/)</t>
  </si>
  <si>
    <t>https://indonesiaatmelbourne.unimelb.edu.au/forced-atonement-dutch-apologies-and-compensation-for-colonial-era-rights-violations/,
https://en.wikipedia.org/wiki/South_Sulawesi_campaign_of_1946–1947,
https://nuhanovicfoundation.org/database/the-netherlands-district-court-of-the-hague-executions-in-south-sulawesi/,
https://nuhanovicfoundation.org/database/the-netherlands-district-court-of-the-hague-south-sulawesi-widows-children-foundation-komite-utang-kehormatan-belanda-v-the-netherlands-case-nos-ha-za-12-1165-ha-za-14-96-ha-za-14-653/,
https://www.aljazeera.com/news/2020/10/19/netherlands-to-compensate-children-of-executed-indonesia,
https://reparations.qub.ac.uk/assets/uploads/ECLI_NL_RBDHA_2020_2584-EN.pdf</t>
  </si>
  <si>
    <t>indonesiaatmelbourne.unimelb.edu.au: http://web.archive.org/web/20240924082452/https://indonesiaatmelbourne.unimelb.edu.au/forced-atonement-dutch-apologies-and-compensation-for-colonial-era-rights-violations/ [24 September 2024]
en.wikipedia.org:
https://web.archive.org/web/20250827001639/https://en.wikipedia.org/wiki/South_Sulawesi_campaign_of_1946%E2%80%931947 [27 August 2025]
nuhanovicfoundation.org: http://web.archive.org/web/20250803185919/https://nuhanovicfoundation.org/database/the-netherlands-district-court-of-the-hague-executions-in-south-sulawesi/ [03 August 2025]
nuhanovicfoundation.org: http://web.archive.org/web/20250712062240/https://nuhanovicfoundation.org/database/the-netherlands-district-court-of-the-hague-south-sulawesi-widows-children-foundation-komite-utang-kehormatan-belanda-v-the-netherlands-case-nos-ha-za-12-1165-ha-za-14-96-ha-za-14-653/ [12 July 2025]
www.aljazeera.com: http://web.archive.org/web/20250811090526/https://www.aljazeera.com/news/2020/10/19/netherlands-to-compensate-children-of-executed-indonesia [11 August 2025]
reparations.qub.ac.uk: http://web.archive.org/web/20240714110330/https://reparations.qub.ac.uk/assets/uploads/ECLI_NL_RBDHA_2020_2584-EN.pdf [14 July 2024]</t>
  </si>
  <si>
    <t>28 November 2019: Over about three months from late 1946 into early 1947, Dutch troops led by Captain Raymond Westerling killed thousands of civilians in South Sulawesi in an attempt to quash opposition to Dutch rule. In 2013, Ambassador de Zwaan apologised for the Westerling massacres and the Dutch government issued a written apology. The same year, the government provided US$27,000 to 10 of these victims’ widows. (Indonesia at Melbourne)
The Nuhanovic Foundation:
The court awarded €10,000 in non-pecuniary damages to the son who witnessed his father’s execution, in recognition of the psychological harm done by the shock. The other children and widows were awarded material damages only, reflecting the lost income that would have been earned by their fathers and husbands as the main bread-winners. As the men were mostly farmers, earning about €100 per year, the damages were very small by Dutch standards, ranging from €3,600 to €123,00
Wikipedia:
In 2013, the Dutch ambassador in Indonesia, apologized on behalf of the Dutch government. In 2014, the Dutch Honorary Debts Committee Foundation, represented by human rights lawyer Liesbeth Zegveld, filed a lawsuit against the Dutch state on behalf of widows and children of the murdered men. A Dutch court ruled in 2015 that the Dutch state was liable for damages because Sulawesi (Celebes until December 1946) had been Dutch territory at the time of the campaign, and its people inhabitants of the Kingdom of the Netherlands. In March 2020, Hague District Court ordered the Dutch government to pay damage compensation ranging from €123 to €10,000 to relatives of 11 men executed in South Sulawesi campaign.
19 October 2020: The government of the Netherlands has said it will offer compensation to the children of Indonesians who were executed by Dutch soldiers during the Indonesian War of Independence between 1945 and 1950. The announcement on Monday follows a court ruling earlier this year that ordered the state to compensate widows and children of 11 men killed between 1946 and 1947 in Indonesia’s southern Sulawesi island, then called Celebes. [...] “Children who can prove that their father was a victim of summary execution as described … are eligible for compensation,” the two ministers said, adding that the compensation amounted to 5,000 euros ($5,890). However, those claiming compensation needed to conform to a set of criteria including proof that the parent had indeed been killed in a documented execution and proof of paternity through identity papers. (Al Jazeera)</t>
  </si>
  <si>
    <t>The Total Amount Pledged is calculated by multiplying the number of beneficiaries  (11 families) and the individual compensation awarded (5,000 euros). But some source reprt compensation ranging from €123 to €10,000, so our data may not be accurate.</t>
  </si>
  <si>
    <t>indonesians, sulawesi, indonesia, indonesian, dutch, massacres, massacre, victims, executions, netherlands</t>
  </si>
  <si>
    <t>Ex-Gratia Payments to Iraqi Victim of Dutch Bombing</t>
  </si>
  <si>
    <t>Basim Razzo (victim of a Dutch airstrike in Mosul, Iraq on 20 September 2015)</t>
  </si>
  <si>
    <t xml:space="preserve">The Netherlands has made an ex gratia payment to Basim Razzo, one of the victims of a Dutch airstrike in Mosul, Iraq on 20 September 2015. The operation was conducted in the context of the Dutch participation in the United States-led coalition fighting ISIS in Iraq and in Syria. Razzo lost four family members in the airstrike after his home was misidentified as an ISIS target. It took four years for the Dutch Defence Minister to acknowledge that Dutch F-16s were indeed responsible for the bombing of Razzo’s house.
(source: https://nuhanovicfoundation.org/database/2020-dutch-ex-gratia-payment-to-iraqi-victim-of-dutch-bombing/)
</t>
  </si>
  <si>
    <t>https://nuhanovicfoundation.org/database/the-netherlands-dutch-ex-gratia-payment-to-iraqi-victim-of-dutch-bombing/,
https://www.theguardian.com/world/2020/sep/09/mosul-civilian-first-to-be-compensated-for-mistaken-coalition-bombing</t>
  </si>
  <si>
    <t>nuhanovicfoundation.org: http://web.archive.org/web/20250712073541/https://nuhanovicfoundation.org/database/the-netherlands-dutch-ex-gratia-payment-to-iraqi-victim-of-dutch-bombing/ [12 July 2025]
www.theguardian.com:
https://web.archive.org/web/20250806163958/https://www.theguardian.com/world/2020/sep/09/mosul-civilian-first-to-be-compensated-for-mistaken-coalition-bombing [06 August 2025]</t>
  </si>
  <si>
    <t>The Nuhanovic Foundation:
The Netherlands has made an ex gratia payment to Basim Razzo, one of the victims of a Dutch airstrike in Mosul, Iraq on 20 September 2015. The operation was conducted in the context of the Dutch participation in the United States-led coalition fighting ISIS in Iraq and in Syria. Razzo lost four family members in the airstrike after his home was misidentified as an ISIS target. It took four years for the Dutch Defence Minister to acknowledge that Dutch F-16s were indeed responsible for the bombing of Razzo’s house. The Dutch Minister of Defences’s openness about Dutch involvement in the Mosul airstrike ultimately resulted in an on-line meeting with Basim Razzo and the offer for an ex gratia payment on humanitarian grounds. In her letter of 8 September 2020 to the Dutch parliament the Minister underscores that the Netherlands does not acknowledge legal liability for the harm inflicted on Razzo, reasoning that the Dutch airstrike on his house was a mistake yet not unlawful. Meanwhile the parties have reached a voluntary compensation agreement, the details of which were not disclosed.
9 September 2020: An Iraqi man who lost his wife, daughter, brother and nephew in an airstrike after US intelligence misidentified his home as an Islamic state headquarters, is believed to be the first civilian awarded compensation by coalition forces. Basim Razzo, 61, who cannot walk because of his injuries, has been made a “voluntary offer” of nearly €1m by the Dutch government, whose F16 jets were responsible for the attack near the city of Mosul five years ago. [...] Details of the compensation were not made public but the sum is understood to be nearly €1m (about £909,000). (The Guardian)</t>
  </si>
  <si>
    <t>mosul, razzo, bombing, isis, iraqi, syria, dutch, netherlands, iraq, nuhanovic</t>
  </si>
  <si>
    <t>New Zealand History of Settlements with Māori Tribes (The Treaty of Waitangi Act 1975)</t>
  </si>
  <si>
    <t>Government of New Zealand</t>
  </si>
  <si>
    <t>New Zealand</t>
  </si>
  <si>
    <t>NZL</t>
  </si>
  <si>
    <t>Multiple Māori tribes</t>
  </si>
  <si>
    <t>In 1975 the Waitangi Tribunal was formed to investigate Māori grievances. It had the power to make findings of fact and recommendations, not binding decisions. The tribunal began hearings in 1977, but at first it could only investigate grievances that had occurred since 1975. In 1985 a law change allowed the tribunal to consider Māori grievances dating back to 1840. The hearing and settlement of historical claims would become a major focus of Māori energies, and some landmark settlements and decisions have been made.
(source: https://digitalnz.org/stories/5fa1f9df77df6b000148cce8)</t>
  </si>
  <si>
    <t>1-Jan-1840</t>
  </si>
  <si>
    <t>1975: The government established a tribunal to investigate modern Māori grievances / settlement system.
1986: The very first settlement was filed by the Ngāi Tahu tribe.
1998: The first settlement was finalised.
2022: As of 2022, 97 deeds of settlement have been signed and another 73 have passed into law.
Reparations payments are still ongoing.</t>
  </si>
  <si>
    <t>https://ssir.org/articles/entry/a_story_of_reparations_and_healing_from_new_zealand,
https://www.theguardian.com/world/2022/sep/23/maori-tribe-secures-landmark-apology-and-compensation-over-colonial-atrocities</t>
  </si>
  <si>
    <t>ssir.org:
https://web.archive.org/web/20250904084442/https://ssir.org/articles/entry/a_story_of_reparations_and_healing_from_new_zealand [04 September 2025]
www.theguardian.com:
https://web.archive.org/web/20250926161534/https://www.theguardian.com/world/2022/sep/23/maori-tribe-secures-landmark-apology-and-compensation-over-colonial-atrocities [26 September 2025]</t>
  </si>
  <si>
    <t>12 July 2023: At the Land March of 1975, a watershed moment in Māori activism, protesters who marched for miles to Wellington, the nation’s capital, chanted, “Not one more acre.” A year after the march, the government established a tribunal to investigate modern Māori grievances. In 1985, the government amended the tribunal’s jurisdiction, giving it the power to investigate Māori grievances going back to 1840, the year Māori and the British signed a key sovereignty agreement. This opened the door to settlements with the nearly 150 Māori tribes across New Zealand. The very first settlement was filed by the Ngāi Tahu tribe in 1986 and finalized in 1998. The tribe received an apology signed by Queen Elizabeth herself, $170 million in compensation, and the return of the sacred mountain Aoraki, or Mount Cook, among other settlement wins. [...] By mid-2018, the New Zealand government had signed 73 settlements into law, valuing $2.24 billion. Māori tribes have used the money to rebuild, from constructing schools and launching intra-tribal health care initiatives to restoring land and building infrastructure for businesses. The compensation has allowed Māori to build wealth for future generations and the apologies have helped them move forward. (Standford University)
23 September 2022: It took decades of fighting for reparations but a Māori tribe has finally secured a long-awaited apology and millions of dollars in redress for atrocities committed by the crown, including for its “indiscriminate” killings and “massive” alienation of tribal land. [...] On Wednesday, a charter train wound its way down the spine of New Zealand’s North Island, picking up hundreds of Ngāti Maniapoto iwi (tribe) members. The iwi travelled for nine hours until they reached Wellington where, the next day, they joined many more members in the parliament’s public gallery to witness the Maniapoto claims settlement bill become law. The gallery erupted into waiata (song) and haka (ceremonial dance) as the House unanimously voted to pass the law. As well as an apology, the Waikato-based iwi of nearly 46,000 members received NZ$177m in financial redress – New Zealand’s fifth-largest sum of its kind – and the return of 36 sites of cultural significance. [...] New Zealand has established processes where indigenous people can seek reparations for the atrocities committed through colonisation. The settlement system was set up in 1975 to remedy the crown’s breaches of the country’s founding document between the British crown and Māori, the Treaty of Waitangi. As of 2022, 97 deeds of settlement have been signed and another 73 have passed into law. There are approximately 40 remaining settlements to go. (The Guardian)</t>
  </si>
  <si>
    <t>NOTE ON CONVERSION: The total compensation disbursed ($2.24 billion) is reported as an accumulated figure paid as of 2018. We assume this figure represents the total value of all payments over the entire period. For comparison purposes, we treat it as a 2018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number of beneficiaries refer to Tribes, not individuals.</t>
  </si>
  <si>
    <t>māori, zealand, wellington, settlements, tribunal, settlement, tribe, tribes, grievances, tribal</t>
  </si>
  <si>
    <t>The Chinese Poll Tax Heritage Trust (New Zealand)</t>
  </si>
  <si>
    <t>Chinese New Zealanders</t>
  </si>
  <si>
    <t>In 1881, the New Zealand Parliament passed discriminatory laws against Chinese attempting to immigrate to New Zealand. The law, the Chinese Immigrants Act, imposed a tax of £10 (GBP) on any Chinese person immigrating to New Zealand and restricted the number of Chinese immigrants to one individual per every ten tonnes of ship cargo. Fifteen years later, the New Zealand Parliament lifted the tax to £100 (GBP) per Chinese immigrant. The immigration acts were not rescinded until 1951.
(source: Political Apologies and Reparations Archive)</t>
  </si>
  <si>
    <t>1-Jan-1881</t>
  </si>
  <si>
    <t>NZD</t>
  </si>
  <si>
    <t>Fund (community payments in form of grants)</t>
  </si>
  <si>
    <t>Political Apologies and Reparations Archive (2004.0084.01 - Updated)</t>
  </si>
  <si>
    <t>https://www.beehive.govt.nz/release/chinese-poll-tax-heritage-trustees-announced</t>
  </si>
  <si>
    <t>www.beehive.govt.nz:
https://web.archive.org/web/20190206171613/https://www.beehive.govt.nz/release/chinese-poll-tax-heritage-trustees-announced [06 February 2019]</t>
  </si>
  <si>
    <t>25 August 2004: Ethnic Affairs Minister Chris Carter today announced the appointment of eight trustees to the newly formed Chinese Poll Tax Heritage Trust. The trustees will administer a $5 million grant on behalf of their community. The trust will fund projects to boost the study and preservation of Chinese New Zealand history, culture and language. (Government of New Zealand)</t>
  </si>
  <si>
    <t>New Zealand, Chinese, New Zealanders, Chinese Immigrant Act, Clark, head taks, zealand, zealanders, chinese, tax, immigrants, immigrant, immigration, heritage, ethnic, trustees</t>
  </si>
  <si>
    <t>Maritime New Zealand Pays Reparations for Vessel Sink</t>
  </si>
  <si>
    <t>Maritime New Zealand (NZ)</t>
  </si>
  <si>
    <t>Crew of Maritime NZ</t>
  </si>
  <si>
    <t>A Wellington-based fishing company, its sole director, and a master were fined a total of $449,500 over the sinking of the grossly overloaded fishing boat ‘Victory II’ in June 2017. The company was also ordered to pay $64,800 in reparation to the crew for unpaid wages and emotional harm.
(source: https://safety4sea.com/new-zealand-company-to-pay-514300-in-fines-and-reparation-after-overloaded-fishing-vessel-sinks/)</t>
  </si>
  <si>
    <t>SAFETY4SEA</t>
  </si>
  <si>
    <t>https://safety4sea.com/new-zealand-company-to-pay-514300-in-fines-and-reparation-after-overloaded-fishing-vessel-sinks/</t>
  </si>
  <si>
    <t>safety4sea.com: http://web.archive.org/web/20250522080054/https://safety4sea.com/new-zealand-company-to-pay-514300-in-fines-and-reparation-after-overloaded-fishing-vessel-sinks/ [22 May 2025]</t>
  </si>
  <si>
    <t>4 March 2020: A Wellington-based fishing company, its sole director, and a master were fined a total of $449,500 over the sinking of the grossly overloaded fishing boat ‘Victory II’ in June 2017. The company was also ordered to pay $64,800 in reparation to the crew for unpaid wages and emotional harm. (SAFETY4SEA)</t>
  </si>
  <si>
    <t>boat, sinking, pays, maritime, fined, reparations, wages, vessel, pay, reparation</t>
  </si>
  <si>
    <t>New Zealand Pays Reparations over Volcanic Eruption</t>
  </si>
  <si>
    <t>Islands' owner Whakaari Management Limited, White Island Tours and the helicopter company Volcanic Air Safaris</t>
  </si>
  <si>
    <t>Victims of the Whakaari/White Island eruption and their families</t>
  </si>
  <si>
    <t>Tour booking agents and managers of a New Zealand island where a volcanic eruption killed 22 people in 2019 were ordered Friday to pay nearly $13 million (US$7.8 million) in fines and reparations. The holding company of the island’s owners, a boat tour operator and three companies that operated helicopter tours had been found guilty of safety breaches at a three-month trial last year. White Island, the tip of an undersea volcano also known by its Indigenous Māori name Whakaari, was a popular tourist destination before the eruption. There were 47 tourists and tour guides on the island when superheated steam erupted on Dec. 9, 2019, killing some people instantly and leaving survivors with agonizing burns. “There is no way to measure the emotional harm survivors and affected families have endured and will continue to endure,” Judge Evangelos Thomas said during the sentencing in an Auckland court. “Reparation in a case like this can be no more than token recognition of that harm.”
(source: https://apnews.com/article/new-zealand-volcano-eruption-sentencing-6daec69131b119e1c29d8ec3636286c6)</t>
  </si>
  <si>
    <t>Auckland District Court</t>
  </si>
  <si>
    <t>https://apnews.com/article/new-zealand-volcano-eruption-sentencing-6daec69131b119e1c29d8ec3636286c6,
https://www.rnz.co.nz/news/Whakaari-White-Island/510592/whakaari-white-island-eruption-victims-awarded-more-than-10m-in-reparations</t>
  </si>
  <si>
    <t>apnews.com: http://web.archive.org/web/20241113003441/https://apnews.com/article/new-zealand-volcano-eruption-sentencing-6daec69131b119e1c29d8ec3636286c6 [13 November 2024]
www.rnz.co.nz: http://web.archive.org/web/20250915005551/https://www.rnz.co.nz/news/Whakaari-White-Island/510592/whakaari-white-island-eruption-victims-awarded-more-than-10m-in-reparations [15 September 2025]</t>
  </si>
  <si>
    <t>1 March 2024: Tour booking agents and managers of a New Zealand island where a volcanic eruption killed 22 people in 2019 were ordered Friday to pay nearly $13 million (US$7.8 million) in fines and reparations. (AP News)
1 March 2024: Whakaari Management Limited was fined $1.045 million and ordered to pay $4.88 million in reparations to all of the victims and their families. White Island Tours, which took visitors to the island via boat, was fined $517,000 and ordered to pay $5 million in reparations to the victims involved in its tours. Volcanic Air Safaris Ltd, one of three helicopter operators that conducted tours, was fined $506,000 and ordered to pay $330,000 in reparations to the victims involved in its tours. (Radio New Zealand)</t>
  </si>
  <si>
    <t>eruption, volcano, māori, volcanic, auckland, zealand, victims, reparations, reparation, island</t>
  </si>
  <si>
    <t>Compensation for Certain Activities Carried Out by Nicaragua in the Border Area (Costa Rica v. Nicaragua)</t>
  </si>
  <si>
    <t>Government of Nicaragua</t>
  </si>
  <si>
    <t>Nicaragua</t>
  </si>
  <si>
    <t>NIC</t>
  </si>
  <si>
    <t>Government of Costa Rica</t>
  </si>
  <si>
    <t>Costa Rica</t>
  </si>
  <si>
    <t>CRI</t>
  </si>
  <si>
    <t>On 18 November 2010, Costa Rica filed proceedings against Nicaragua in relation to dredging on the San Juan River, as well as violations of Costa Rican territorial sovereignty by Nicaragua's excavation of a canal (referred to as a caño) to connect the San Juan River with Harbour Head Lagoon. During the proceedings, Costa Rica raised Nicaragua's excavation of two further caños in 2013, which it also claimed violated its sovereignty. In accordance with a 2013 Order of the Court and to prevent further environmental damage, in 2015 Costa Rica constructed a dyke to ensure the San Juan River was not diverted through the eastern of the two 2013 caños.
(source: https://www.hsfkramer.com/notes/publicinternationallaw/2018-04/icj-determines-first-ever-compensation-claim-for-environmental-harm)</t>
  </si>
  <si>
    <t>Compensation was to be paid by 2 April 2018. The full amount was transferred in March 2018.</t>
  </si>
  <si>
    <t>International Court of Justice</t>
  </si>
  <si>
    <t>Herbert Smith Freehills Kramer</t>
  </si>
  <si>
    <t>https://www.hsfkramer.com/notes/publicinternationallaw/2018-04/icj-determines-first-ever-compensation-claim-for-environmental-harm,
https://www.icj-cij.org/case/150</t>
  </si>
  <si>
    <t>13 April 2018: On 2 February 2018, the International Court of Justice (the "ICJ" or the "Court") delivered judgment in the case concerning Certain Activities Carried Out by Nicaragua in the Border Area (Costa Rica v Nicaragua), determining the amount of compensation due to Costa Rica for environmental harm caused by Nicaragua's activities in the northern part of Isla Portillos. This judgment, along with the related judgment delivered the same day in the joined cases concerning Maritime Delimitation in the Caribbean Sea and the Pacific Ocean and Land Boundary in the Northern Part of Isla Portillos (Costa Rica v Nicaragua) aims to bring to a conclusion the boundary dispute between the two neighbouring states stretching back to the 1850s. The judgment is particularly noteworthy as it is the first time the Court has determined a damages claim for environmental harm. While the award fell short of the amount claimed by Costa Rica, both states have hailed the judgment as an important step in the normalisation of the relations between the two states. [...] By letter dated 22 March 2018, Nicaragua informed the Court that it had transferred the total amount of compensation of US$378,890.59 to Costa Rica on 8 March 2018. (Herbert Smith Freehills Kramer)
International Court of Justice:
The Court concluded that the total amount of compensation to be awarded to Costa Rica was US$378,890.59, to be paid by Nicaragua by 2 April 2018. In a letter dated 22 March 2018, Nicaragua informed the Registry of the Court that, on 8 March 2018, it had transferred to Costa Rica the total amount of compensation awarded to it.</t>
  </si>
  <si>
    <t>rica, nicaragua, costa, caribbean, rican, judgment, juan, caños, court, sovereignty</t>
  </si>
  <si>
    <t>Nigeria Government Ordered to Pay for Human Rights Violations</t>
  </si>
  <si>
    <t>Government of Nigeria</t>
  </si>
  <si>
    <t>Victims and survivors of the Odi community massacre</t>
  </si>
  <si>
    <t>In November 1999, gang members from the oil-rich Odi community located in the Nigeria Niger Delta killed twelve police officers. Three weeks later, the Nigerian government dispatched military units to raze all buildings Odi, home to 15,000 individuals from the Ijaw ethnicity. Reports are conflicting, but hundreds, if not thousands of individuals from Odi died at the hands of the soldiers. Victims claim they were targeted due to their ethnicity while the Nigerian government has maintained that it was correct in rooting out domestic terrorists in Odi in late November 1999. The event took place under the regime of former Nigerian President Olusegun Obasanjo.
(source: Political Apologies and Reparations Archive)</t>
  </si>
  <si>
    <t>According to the agreement, the reparations were scheduled to be paid within three weeks from the date the agreement was reached.</t>
  </si>
  <si>
    <t>NGN</t>
  </si>
  <si>
    <t>Political Apologies and Reparations Archive (2013.0004.01 - Updated)</t>
  </si>
  <si>
    <t>https://www.vanguardngr.com/2013/02/odi-invasion-court-orders-fg-to-pay-n37-6bn-compensation/,
https://www.voanews.com/a/nigeria-gpverment-ordered-to-pay-for-human-rights-violations/1607340.html,
https://thenationonlineng.net/a-peace-mission-and-a-massacre/,
https://allafrica.com/stories/201412240765.html,
https://en.wikipedia.org/wiki/Odi_massacre</t>
  </si>
  <si>
    <t>19 February 2013: A Federal High Court, sitting in Port Harcourt Tuesday ordered the Federal Government to pay N37.6b compensation to the people of Odi community in Kolokuma/Opokuma Local Government Area of Bayelsa State over the invasion of their community by armed soldiers during the administration of President Olusegun Obasanjo. Justice Lambi Akanbi of the Federal High Court, Port Harcourt, who gave the order while delivering judgment in a N100 billion suit filed by the people of Odi community against the Federal Government also ordered that the compensation should be paid within three weeks. They prayed the court to award them the amount as damages for the destruction of lives and property in Odi. The judge however awarded a total sum of N37.618 billion compensation in favour of the community for the wanton destruction of the place by Nigeria soldiers. The community asked for N17.618billion as general damages and N20billion for special damages. They also demanded public apology and the re-building of Odi community by the FG. The Judge however granted two of their prayers and rejected the other two. (Vanguard Media Limited)
20 February 2013: Fourteen years after the Odi community in Nigeria's Niger Delta was flattened in what many call a 'massacre,' a Nigerian court this week ordered the government to pay the community nearly $240 million within the next three weeks. [...] This week, a Nigerian judge ordered the government to pay the town nearly $240 million within 21 days for what it called a "brazen violation of the fundamental human rights of the victims to movement, life and to own property and live peacefully in their ancestral home." (VOA News)
23 March 2024: In 2013, Justice Lambo Akanbi of the Federal High Court ordered the Federal Government to pay the victims of the Odi Massacre N37.6 billion as compensation. On May 26, 2014, former President Goodluck Jonathan negotiated an out-of-court settlement of N15 billion, and the compensation was paid. (The Nation Newspaper)
24 December 2014: The Odi Community Compensation Trust Fund Management Committee has said the federal government has completed the payment of compensation to the community over the 1999 invasion and destruction by the military. (AllAfrica)
Wikipedia:
In February 2013, the Federal High Court ordered the Federal Government to pay N37.6 billion compensation to the people of Odi community in kolokuma/Opokuma Local Government Area of Bayelsa state. Justice ordered that the compensation should be paid within three weeks. [...] The case led to the payment of N15 billion from the Goodluck Jonathan-led administration as an out-of-court settlement. According to Prof. Kobina Imananagha (Chairman of the Odi Destruction Case Prosecution Committee (ODCPC)), “The London court issued threats that it was going to enforce the full judgement of the court (payment of N37.6billion) if by October 21, 2014, government fails to negotiate settlement and pay agreed compensation to Odi. This seeming that compelled the Federal Ministry of Justice and the leadership of the legal team, ODCPC and the king of Odi to the negotiation table on May 26, 2014 where N15billion (as the only payment) offer as compensation to Odi was made by the Federal Government." The government later paid the sum of N15 billion which led to further conflict in the community and the subsequent kidnap of the committee Chairman Prof. Zibokere who was later released.</t>
  </si>
  <si>
    <t>Nigeria, Odi, Odi community, compensation, massacre, military attack, Olusegun Obasanjo, niger, nigerian, harcourt, justice</t>
  </si>
  <si>
    <t>El Masri vs. Former Yugoslav Republic of Macedonia</t>
  </si>
  <si>
    <t>Government of Macedonia</t>
  </si>
  <si>
    <t>North Macedonia</t>
  </si>
  <si>
    <t>MKD</t>
  </si>
  <si>
    <t>Khaled El-Masri (German citizen tortured by CIA)</t>
  </si>
  <si>
    <t>On 31 December 2003, Khaled El-Masri, born in Kuwait to Lebanese parents and a German national, travelled by bus from Ulm, Germany to Skopje in Macedonia. At arrival at the Serbian/Macedonian border, Macedonian law enforcement officials took his passport and kept him for several hours before he was transferred to a hotel in Skopje, where he was detained without charge for 23 days. Whilst repeatedly interrogated on suspicion of Al Qaeda membership, he was denied to see a lawyer, translator, or German consular official. In January 2004, El-Masri was transferred to Skopje Airport and handed over into the custody of a United States CIA “rendition” team that severely ill-treated him. Subsequently, and in the context of the U.S. “Extraordinary Rendition” program, El-Masri was put on a plane to Afghanistan where, again, he was kept incommunicado with the outside world in degrading conditions, while at no point criminal charges were filed against him. Four months later, in May 2004, apparently after the CIA found out that they were mistaken about El-Masri’s identity, he was flown on board a CIA- plane into Albania where he was released and from where he returned to Germany.
(source: https://nuhanovicfoundation.org/database/2012-european-court-of-human-rights-el-masri-vs-former-yugoslav-republic-of-macedonia-application-no-39630-09-13-december-2012/)</t>
  </si>
  <si>
    <t>The judgment specified that the amount should be paid within three months of the ruling, with interest accruing if delayed.</t>
  </si>
  <si>
    <t>https://nuhanovicfoundation.org/database/2012-european-court-of-human-rights-el-masri-vs-former-yugoslav-republic-of-macedonia-application-no-39630-09-13-december-2012/,
https://www.aclu.org/press-releases/macedonia-issues-apology-involvement-torture-cia</t>
  </si>
  <si>
    <t>nuhanovicfoundation.org: http://web.archive.org/web/20250803014759/https://nuhanovicfoundation.org/database/2012-european-court-of-human-rights-el-masri-vs-former-yugoslav-republic-of-macedonia-application-no-39630-09-13-december-2012/ [03 August 2025]
www.aclu.org:
https://web.archive.org/web/20250619091454/https://www.aclu.org/press-releases/macedonia-issues-apology-involvement-torture-cia [19 June 2025]</t>
  </si>
  <si>
    <t>The Nuhanovic Foundation:
The applicant claimed 300,000 euros (EUR) in respect of nonpecuniary damage and requested the Court to order the Macedonian government to conduct an effective and thorough investigation into the facts of his case. Responding to his claim for reparation, the ECtHR considers that El-Masri suffered non-pecuniary damage resulting from the extremely serious violations established and awards him 60,000 EUR, plus any tax that may be chargeable on that amount (paras. 269-270).
3 April 2018: On December 13, 2012, in a case brought on El-Masri’s behalf by the Open Society Justice Initiative, the Grand Chamber of the European Court of Human Rights found the FYROM in breach of several provisions of the European Convention of Human Rights and awarded compensation of €60,000, which the government subsequently paid. (American Civil Liberties Union)</t>
  </si>
  <si>
    <t>detained, macedonia, skopje, albania, masri, yugoslav, macedonian, el, serbian, consular</t>
  </si>
  <si>
    <t>Norway Pays Compensation to Norwegian Jews</t>
  </si>
  <si>
    <t>Government of Norway</t>
  </si>
  <si>
    <t>Norway</t>
  </si>
  <si>
    <t>NOR</t>
  </si>
  <si>
    <t>Norwegian Jews, the Romani people, disabled persons, homosexuals, and other victims of Hitler's regime</t>
  </si>
  <si>
    <t>Between 1933 and 1945, an estimated six million Jews were murdered by officials of Adolf Hitler's Nazi government in Germany, and millions more were displaced; between three and five million Poles, Roma, Sinti, Soviet prisoners or war, andothers were also killed. During World War II (WWII), Norway's leader, Vidkun Quisling, ordered 2,100 of Norway's Jews to be registered. More than a third of them were deported to death camps; others fled to Sweden. In 1998, Norway acknowledged the state's role in the Holocaust and paid approximately $60 million in compensation toNorwegian Jews and Jewish organizations for lost property. At that point, Norway had not made a full apology.
(source: Political Apologies and Reparations Archive)</t>
  </si>
  <si>
    <t>The compensation amount was proposed on 15 May 1998, then accepted on 11 March 1999, and paid subsequently.</t>
  </si>
  <si>
    <t>NOK</t>
  </si>
  <si>
    <t>Political Apologies and Reparations Archive (2012.0024.02)</t>
  </si>
  <si>
    <t>http://www.reuters.com/article/2012/01/27/us-norway-holocaust-idUSTRE80Q19S20120127,
https://www.bbc.com/news/world-europe-16761558,
https://en.wikipedia.org/wiki/The_Holocaust_in_Norway</t>
  </si>
  <si>
    <t>www.reuters.com:
https://web.archive.org/web/20120510040901/http://www.reuters.com/article/2012/01/27/us-norway-holocaust-idUSTRE80Q19S20120127 [10 May 2012]
www.bbc.com: http://web.archive.org/web/20210530211146/https://www.bbc.com/news/world-europe-16761558 [30 May 2021]
en.wikipedia.org: http://web.archive.org/web/20250820232243/https://en.wikipedia.org/wiki/The_Holocaust_in_Norway [20 August 2025]</t>
  </si>
  <si>
    <t>27 January 2012: In 1998 Norway acknowledged the state's role in the Holocaust and paid some $60 million to Norwegian Jews and Jewish organizations in compensation for property seized. (Reuters)
27 January 2012: The Norwegian prime minister has apologised for the role his country played in deporting its own Jews as Europe marks Holocaust Remembrance Day.
More than a third of Norway's 2,100 Jews were deported to death camps. Others fled to neighbouring Sweden, which remained neutral during World War II. Norway acknowledged its role in the Holocaust in 1998 and paid some $60m (£38m) to Norwegian Jews and Jewish organisations in compensation for property seized. (BBC News)
Wikipedia:
On 15 May 1998, the Prime Minister of Norway, Kjell Magne Bondevik, proposed compensation of 450 million kr, covering both a 'collective' and an 'individual' restitution. On 11 March 1999, the Stortinget voted to accept the proposition for 450 million kr. The collective part, totaling 250 million kr, was divided into three:
- Funds to sustain the Jewish community in Norway (150 million kr).
- Support for development, outside Norway, of the traditions and culture which the Nazis wished to exterminate, to be distributed by a foundation where the executive committee members are to be appointed one each by the Norwegian Government, the Norwegian Parliament, the Jewish community in Norway, and the World Jewish Congress/World Jewish Restitution Organization. Eli Wiesel was suggested to lead the executive committee (60 million kr).
- The formation of a national museum for tolerance, established as the Norwegian Center for Studies of Holocaust and Religious Minorities (40 million kr).
The individual part was estimated to total not more than 200 million kr, as compensation to individuals and their survivors, with a maximum of 200,000 kr each. By 31 November 1999, the last date for individuals to apply for compensation, 980 people had received 200,000 kr (≈US$26,000) each, totaling 196 million kr (≈US$25 million).</t>
  </si>
  <si>
    <t>World War Two, World War II, WW2, WWII, Norway, Holocaust, Nazi occupation, deportations, Jews, Jens Stoltenberg, holocaust, norway, norwegian, nazi, jews, nazis, sweden, jewish, compensation, hitler</t>
  </si>
  <si>
    <t>Filartiga vs. Pena-Irala Case</t>
  </si>
  <si>
    <t>Americo Norberto Peña-Irala (former Paraguayan police official)</t>
  </si>
  <si>
    <t>Paraguay</t>
  </si>
  <si>
    <t>PRY</t>
  </si>
  <si>
    <t xml:space="preserve">The Filártiga family </t>
  </si>
  <si>
    <t>In this groundbreaking case a domestic legal instrument, the US Alien Tort Claims Act of 1789 (ATCA), provided the means of awarding civil redress to victims of human rights violations that were contrary to customary international law.  The Alien Tort Claims Act provides that: [t]he district courts shall have original jurisdiction of any civil action by an alien for a tort only, committed in violation of the law of nations or a treaty of the United States. This case arose in the context of violent oppression of political opponents during the dictatorship of the Paraguayan President Alfredo Stroessner (1954-1989), rather than in the context of a war. Americano Pena-Irala was sued for redress for acts of torture committed by him as inspector general in the Department of Investigation for the Police of Asunsion, Paraguay, against a 17-year-old Paraguayan boy who was the son of an outspoken opponent of the Paraguyan government.
(source: https://nuhanovicfoundation.org/database/us-court-of-appeals-filartiga-vs-pena-irala/)</t>
  </si>
  <si>
    <t>United States,
US Court of Appeals</t>
  </si>
  <si>
    <t>https://nuhanovicfoundation.org/database/us-court-of-appeals-filartiga-vs-pena-irala/,
https://ccrjustice.org/home/what-we-do/our-cases/fil-rtiga-v-pe-irala,
https://en.wikipedia.org/wiki/Filártiga_v._Peña-Irala</t>
  </si>
  <si>
    <t>nuhanovicfoundation.org: http://web.archive.org/web/20250803013257/https://nuhanovicfoundation.org/database/us-court-of-appeals-filartiga-vs-pena-irala/ [03 August 2025]
ccrjustice.org: http://web.archive.org/web/20250824132726/https://mailto:askCCR@ccrjustice.org/home/what-we-do/our-cases/fil-rtiga-v-pe-irala [24 August 2025]
en.wikipedia.org: http://web.archive.org/web/20250819234506/https://en.wikipedia.org/wiki/Fil%C3%A1rtiga_v._Pe%C3%B1a-Irala [19 August 2025]</t>
  </si>
  <si>
    <t>The Nuhanovic Foundation:
In this groundbreaking case a domestic legal instrument, the US Alien Tort Claims Act of 1789 (ATCA), provided the means of awarding civil redress to victims of human rights violations that were contrary to customary international law. The Alien Tort Claims Act provides that: [t]he district courts shall have original jurisdiction of any civil action by an alien for a tort only, committed in violation of the law of nations or a treaty of the United States. This case arose in the context of violent oppression of political opponents during the dictatorship of the Paraguayan President Alfredo Stroessner (1954-1989), rather than in the context of a war.  Americano Pena-Irala was sued for redress for acts of torture committed by him as inspector general in the Department of Investigation for the Police of Asunsion, Paraguay, against a 17-year-old Paraguayan boy who was the son of an outspoken opponent of the Paraguyan government. The plaintiffs, his sister and father, were awarded over $10 million.
Center for Constitutional Rights:
Upon remand by the circuit in June 1980, the district court granted plaintiffs’ motion for a default judgment against Peña-Irala for failure to answer the complaint and referred the case to a magistrate for determination of the damages due the Filártiga family. The magistrate awarded the Filártigas over $10 million in damages. Given the lack of the defendant’s resources, it has not been possible to collect on the award.</t>
  </si>
  <si>
    <t>paraguayan, paraguay, filártigas, tort, filártiga, filartiga, defendant, constitutional, plaintiffs, investigation</t>
  </si>
  <si>
    <t>Law on the Compensation for Victims of Violations of Human Rights during the Dictatorship (Law 838/96)</t>
  </si>
  <si>
    <t>Government of Paraguay</t>
  </si>
  <si>
    <t>Former political prisoners and other victims of the dictatorship of Alfredo Stroessner</t>
  </si>
  <si>
    <t>Paraguay begins the implementation of the Law of Reparation to Victims of the Dictatorship (passed in 1996), and started paying reparations to former political prisoners and other victims of the dictatorship of Alfredo Stroessner.
(source: The Transitional Justice Data Base)</t>
  </si>
  <si>
    <t>Reparations payments are still ongoing, but data on payments are as of 2024.
Some limited payments were made before 2004, but systematic payments are tracked from 2004 onward.</t>
  </si>
  <si>
    <t>PYG</t>
  </si>
  <si>
    <t>https://www.latinamericanstudies.org/paraguay/victims.htm,
https://ihl-databases.icrc.org/en/national-practice/law-compensation-victims-violations-human-rights-during-dictatorship-1996,
https://portal.damh.gov.py/resumen-pagadas-2/</t>
  </si>
  <si>
    <t>www.latinamericanstudies.org: http://web.archive.org/web/20250828062329/https://www.latinamericanstudies.org/paraguay/victims.htm [28 August 2025]
ihl-databases.icrc.org:
https://web.archive.org/web/20251003084441/https://ihl-databases.icrc.org/en/national-practice/law-compensation-victims-violations-human-rights-during-dictatorship-1996 [03 October 2025]
portal.damh.gov.py:
https://web.archive.org/web/20251223105950/https://portal.damh.gov.py/resumen-pagadas-2/ [23 December 2025]</t>
  </si>
  <si>
    <t>8 April 2004: Paraguay's government made payments totaling US$270,000 Wednesday to 34 former political prisoners and other victims of Gen. Alfredo Stroessner's 35-year dictatorship. At a ceremony in the capital, Economy Minister Dionisio Borda handed out checks ranging from US$500 to US$15,000 to people who had been imprisoned during Stroessner's 1954-1989 iron-fisted rule. Borda said those awarded compensation included a 90-year-old former president of the communist party who spent 18 years behind bars until his release in 1972. The man was reported held for years without trial. The economy minister said many of the past victims are now aging or in ill health and that the awards will help several pay for medical treatment. He added that more compensation will be awarded to other victims. Some 400 people, including political opponents, labor organizers, journalists, students and other professionals, have been verified so far as victims of torture, detention or both during Stroessner's long rule, and qualified for compensation. (CNN World News)
The Transitional Justice Data Base: 
Paraguay begins the implementation of the Law of Reparation to Victims of the Dictatorship (passed in 1996), and started paying reparations to former political prisoners and other victims of the dictatorship of Alfredo Stroessner.
According to the the Transitional Justice Evaluation Tools, the total number of beneficiaries amounts to 20,000.
According to the Ministerio de Economia y Finanzas (Paraguay), as of 2024:
The beneficiaries count was: 10,814.
The amount paid in Paraguay guarani was: 748,812,835,503</t>
  </si>
  <si>
    <t>NOTE ON CONVERSION: The total compensation disbursed (₲748,812,835,503) is reported as an accumulated figure paid as of 2024.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Update as of September 2025 (according to the Ministerio de Economia y Finanzas of Paraguay):
The beneficiaries count was: 11,140.
The amount paid in Paraguay guarani was: 776,997,082,203.</t>
  </si>
  <si>
    <t>reparations, reparation, compensation, victims, payments, paraguay, dictatorship, imprisoned, prisoners, pay</t>
  </si>
  <si>
    <t>Truth and Reconciliation Commission and Comprehensive Reparations Plan (Law 28592) in Peru</t>
  </si>
  <si>
    <t>Government of Peru</t>
  </si>
  <si>
    <t>Peru</t>
  </si>
  <si>
    <t>PER</t>
  </si>
  <si>
    <t>Peoples and communities affected by the violence between 1980 and 2000</t>
  </si>
  <si>
    <t>Beginning in 1980, economic mismanagement by the democratically elected governments of Fernando Belaunde Terry and Alan Garcia contributed to violent political upheaval in Peru, including the rise of the radical and violent Marxist rebel group known as Shining Path. The atrocities committed by Shining Path, as well as the repressive and violent response of the Peruvian governments, resulted in the deaths of more than 69,000 individuals over the course of approximately 20 years.The election of Alejandro Toledo in 2001 led to an improvement in the human rights situation in Peru, and in 2003, the Toledo government, assisted by the United Nations, formed an official Truth and Reconciliation Commission to study the 20 years of violence.
(source: Political Apologies and Reparations Archive)</t>
  </si>
  <si>
    <t>PEN</t>
  </si>
  <si>
    <t>Ley 28592: Ley Que Crea el Plan Integral de Reparaciones (PIR)</t>
  </si>
  <si>
    <t>https://ihl-databases.icrc.org/en/national-practice/law-creating-programme-comprehensive-reparation-law-no-28592,
http://www.ipsnews.net/print.asp?idnews=28534,
https://en.wikipedia.org/wiki/Truth_and_Reconciliation_Commission_(Peru),
https://www.ictj.org/sites/default/files/ICTJ_Report_Peru_Reparations_2013.pdf,
https://www.ictj.org/news/victims-peru-civil-war-still-await-reparations</t>
  </si>
  <si>
    <t>ihl-databases.icrc.org:
https://web.archive.org/web/20251001135013/https://ihl-databases.icrc.org/en/national-practice/law-creating-programme-comprehensive-reparation-law-no-28592 [01 October 2025]
www.ipsnews.net: http://web.archive.org/web/20050503144417/http://ipsnews.net:80/print.asp?idnews=28534 [03 May 2005]
en.wikipedia.org: http://web.archive.org/web/20250831030633/https://en.wikipedia.org/wiki/Truth_and_Reconciliation_Commission_(Peru) [31 August 2025]
www.ictj.org: http://web.archive.org/web/20250804232135/https://www.ictj.org/sites/default/files/ICTJ_Report_Peru_Reparations_2013.pdf [04 August 2025]
www.ictj.org: http://web.archive.org/web/20240623104821/https://www.ictj.org/news/victims-peru-civil-war-still-await-reparations [23 June 2024]</t>
  </si>
  <si>
    <t>Political Apologies and Reparations Archive: The Commission for the Design and Monitoring of a Policy of Peace, Collective Reparations and National Reconciliation (CMAN) has asked the government of Peru for a budget increase of $15 million; the money will go to communities who were affected by the violence between 1980 and 2001. Many also see a great need to establish a National Registry of Victims to determine who was affected and who will receive reparations. (IPS News)
The Transitional Justice Evaluation Tools:
Cost estimate: 96088029.00 Peruvian Sol as of 2018
Beneficiaries count: 232841
Wikipedia - Truth and Reconciliation Commission (Peru)
Peru's Truth and Reconciliation Commission (TRC; Spanish: Comisión de la Verdad y Reconciliación, CVR) (13 July 2001 – 28 August 2003) was a truth and reconciliation commission established by President Alejandro Toledo to investigate the human rights abuses committed during the internal conflict in Peru between 1980s and 1990s.
[...] The TRC's two years of investigations and research led to several conclusions that were presented in the final report, released on 28 August 2003.[32] Based on evidence discovered during the investigations of deaths and disappearances, the TRC was able to provide an accurate estimation of the number deaths that were the result of the internal conflict. It was originally estimated that only 24,000 people died or disappeared, however the TRC concluded that approximately 69,280 died or disappeared as a result of the internal conflict in Peru between 1980 and 2000.
[...] The TRC recommended the creation of an Integral Reparations Plan to provide reparations to victims &amp; victims' families.
[...] In 2005, a Comprehensive Reparations Plan was approved and issued by executive decree 2006, comprising six programs: Restitution of Civil Rights, Education, Health Care, Collective Reparations, Symbolic Reparations, Promotion and Access to Housing, and Economic Reparations or Compensation.
[...] In 2008, The National Council for Reparation began registering victims in order to provide individual reparations according to the TRC recommendations. By 2013, the council had registered 160,429 individual victims and 7,678 communities, including 32 organizations of displaced people. In 2012, the High Level Multi-Sectoral Commission proposed the Comprehensive Reparations Plan, a 5-year financial compensation program. By December 2012, 17,652 victims were beneficiaries of compensation, a total investment of 96 million soles ($36.7 million US).
International Center for Transitional Justice (Reparations in Peru: From Recommendations to Implementation) - 26 June 2013:
A fuller version of the Comprehensive Reparations Plan was approved in July 2005, when most of the proposed plan was passed into law. It was later detailed in an executive decree issued in 2006. Comprising six programs, the plan defined beneficiaries to include victims of displacement, arbitrary imprisonment, torture, rape, and kidnapping, as well as members of the military, the police, and self-defense committees injured as a result of the conflict. Relatives of the disappeared and killed were also eligible, as were some indirect victims: children born from rape, children conscripted by self-defense committees, those unfairly indicted under terrorism or treason charges, and those who became undocumented as the result of the conflict. [...] The Humala administration has continued paying reparations with the amounts defined by the García administration. As of July 2012, 1,878 people had received some form of compensation, totaling 11 million soles (USD 4.2 million). In the second half of 2012, this program received strong support and funding, and by December the total number of beneficiaries increased to 17,652 victims, completing a total investment of 96 million soles (USD 36.7 millions). However, this amount still falls short of the more than 21,000 beneficiaries announced in April 2012, and the commitment of reaching 22,000 made by the state at the United Nations Human Rights Council in its report for Universal Periodic Review.
Reparations, Responsibility &amp; Victimhood in Transitional Societies (Reparations in Peru) - September 2019:
[p. 37] The table containing information on the number of beneficiaries that have been repaired by Individual Economic Reparations Program (PREI) until April 26, 2018.
Beneficiaries: 98,132 
Amount: 96,088,029.00 (S/.)</t>
  </si>
  <si>
    <t>NOTE ON CONVERSION: The total compensation disbursed (96,088,029.00 (S/.)) is reported as an accumulated figure paid as of 2018. We assume this figure represents the total value of all payments over the entire period. For comparison purposes, we treat it as a 2018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number of beneficiaries refers to individual reparations as of 2018 (Moffett, 2019). Other sources report different numbers.</t>
  </si>
  <si>
    <t>Peru, Shining Path, Sendero Luminoso, Toledo, reparations, reparation, peru, peruvian, reconciliación, reconciliation, restitution, violence, victims, governments</t>
  </si>
  <si>
    <t>Residents of La Oroya v. Peru Case</t>
  </si>
  <si>
    <t>Residents of La Oroya</t>
  </si>
  <si>
    <t>In December 2002, a group of residents of La Oroya, located in the Peruvian highlands, filed a compliance lawsuit against the Ministry of Health and the General Directorate of Environmental Health of Peru, seeking protection of their right to health and a healthy environment. The community argued that the company managing the La Oroya Metallurgical Complex (CMLO) failed to comply with environmental protection standards, leading to extremely high levels of lead and other contaminants in the blood of children and pregnant mothers in the community.
(source: https://www.jurist.org/news/2024/03/iachr-orders-peru-to-compensate-victims-of-lead-poisoning-living-near-mine/)</t>
  </si>
  <si>
    <t>https://www.jurist.org/news/2024/03/iachr-orders-peru-to-compensate-victims-of-lead-poisoning-living-near-mine/,
https://www.escr-net.org/caselaw/2024/inter-american-court-of-human-rights-rules-industrial-contamination-in-peru-violated-convention-rights/</t>
  </si>
  <si>
    <t>www.jurist.org: http://web.archive.org/web/20241006074822/https://www.jurist.org/news/2024/03/iachr-orders-peru-to-compensate-victims-of-lead-poisoning-living-near-mine/ [06 October 2024]
www.escr-net.org: http://web.archive.org/web/20250719235902/https://www.escr-net.org/caselaw/2024/inter-american-court-of-human-rights-rules-industrial-contamination-in-peru-violated-convention-rights/ [19 July 2025]</t>
  </si>
  <si>
    <t>23 March 2024: The Inter-American Court of Human Rights (IACHR) conducted the notification of the judgment in the case of Residents of La Oroya v. Peru this Friday, addressing the Peruvian State’s responsibility for the damage suffered by 80 residents of La Oroya and ordered the payment of compensation to the victims for the damage incurred.
ESCR-Net: The court ordered that each victim receive between US$30,000 and US$65,000, depending on their situation, which allots for compensation for health costs, lost earnings, and pain and suffering.</t>
  </si>
  <si>
    <t>The total amount was estimated by multiplying the number of affected residents (80) by the minimum compensation each could receive (USD 30,000). Therefore, the actual total may be higher, depending on how many individuals qualified for higher compensation.</t>
  </si>
  <si>
    <t>peruvian, peru, lawsuit, compensation, victims, court, judgment, oroya, incurred, rights</t>
  </si>
  <si>
    <t>Indemnification of the Victims of Human Rights Violations Under the Marcos Regime (The Oslo Joint Statement)</t>
  </si>
  <si>
    <t>Government of Philippines</t>
  </si>
  <si>
    <t>Philippines</t>
  </si>
  <si>
    <t>PHL</t>
  </si>
  <si>
    <t>Victims of human rights violations during the Marcos regime</t>
  </si>
  <si>
    <t>Oslo Joint Statement:
The Negotiating Panel of the Government of the Republic of the Philippines (GRP) and the Negotiating Panel of the National Democratic Front of the Philippines (NDFP) resumed formal talks from 10 to14 February 2004, in Oslo, Norway upon the hosting and facilitation of the Royal Norwegian Government. The parties recognize the importance of resuming formal talks towards resolving the armed conflict. The goal of the GRP-NDFP peace negotiations is the attainment of a just and lasting peace by addressing the root causes of the armed conflict, pursuing social, economic, political and constitutional reforms, improving the living conditions of the Filipino people and expanding their freedom.
(source: https://www.hdcentre.org/wp-content/uploads/2016/07/Oslo-Joint-Statement-14-Feb-2004.pdf)</t>
  </si>
  <si>
    <t>PHP</t>
  </si>
  <si>
    <t>Swiss Supreme Court</t>
  </si>
  <si>
    <t>Peace Agreements Database (ID: 335)</t>
  </si>
  <si>
    <t>Oslo Joint Statement (and The Second Oslo Joint Statement)</t>
  </si>
  <si>
    <t>https://www.hdcentre.org/wp-content/uploads/2016/07/Oslo-Joint-Statement-14-Feb-2004.pdf</t>
  </si>
  <si>
    <t>www.hdcentre.org: http://web.archive.org/web/20220126103939/https://www.hdcentre.org/wp-content/uploads/2016/07/Oslo-Joint-Statement-14-Feb-2004.pdf [26 January 2022]</t>
  </si>
  <si>
    <t>Oslo Joint Statement, 14 Feb 2004:
Page 3, Article 6. Indemnification of the Victims of Human Rights Violations Under the Marcos Regime In keeping with its obligation under Articles 3, 4 and 5 of Part III of CARHRIHL, and taking into consideration the Swiss Supreme Court Decision of 10 December 1997, the GRP undertakes to preserve at least PhP8 billion (approximately USD150 million) plus interest and earnings from the USD684 million forfeited Marcos ill-gotten wealth to be deposited in the form of US dollars. The GRP Panel hereby recommends to its principal, following the precedents in the contingency legal expenses and lawyers fees incurred by the PCGG, and subject to law and jurisprudence, to retain in an escrow account with the Philippine National Bank the said amount solely for the purpose of indemnifying victims of human rights violations during martial law. From this amount and such additional amounts as may be necessary, the GRP shall indemnify martial law victims of human rights violations, giving priority to the successful plaintiffs in the Human Rights Litigation against Marcos who shall be indemnified without further delay and in the most expeditious manner.
The Second Oslo Joint Statement, 3 Apr 2004:
Page 4, Article 5. On the indemnification of victims of human rights violations of the Marcos Regime [...] In compliance with and suppletory to Item 6 of the Oslo Joint Statement of 14 February 2004, the GRP shall take appropriate steps to segregate the amount of USD 150 million (at least PhP 8 billion) from the assets covered by the Custodianship Agreement between the Republic of the Philippines and the Philippine National Bank executed on 30 January 2004. With the approval of its principal and subject to GRP law, the GRP shall work for the amendment of the said Custodianship Agreement for the purpose of depositing the segregated amount in a separate
interest-bearing account. Towards this end, the NDFP-proposed amendment to the said Custodianship Agreement, attached hereto as Annex "B", is hereby endorsed to the appropriate GRP officials and agencies for their consideration. Page 4, Article 5. On the indemnification of victims of human rights violations of the Marcos Regime [...] Furthermore, the GRP shall exert its utmost initiative to obtain passage of an administration bill for the compensation of martial law victims of human rights violations satisfactory to the victims, giving priority to the successful plaintiffs in the Human Rights Litigation against Marcos who shall be indemnified without further delay and in the most expeditious manner. Page 4, Article 5. On the indemnification of victims of human rights violations of the Marcos Regime [...] ANNEX B Text of Proposed Amendment to the Custodianship Agreement between the Republic of the Philippines and Philippine National Bank executed on January 30, 2004</t>
  </si>
  <si>
    <t>philippines, marcos, philippine, filipino, negotiating, peace, ndfp, ndf, negotiations, norway</t>
  </si>
  <si>
    <t>Human Rights Victims Reparation and Recognition Act of 2013 (Republic Act 10368)</t>
  </si>
  <si>
    <t>At 7:15 p.m. on September 23, 1972, President Ferdinand Marcos announced on television that he had placed the Philippines under martial law, stating he had done so in response to the "communist threat" posed by the newly founded Communist Party of the Philippines (CPP), and the sectarian "rebellion" of the Muslim Independence Movement (MIM). Opposition figures of the time (such as Lorenzo Tañada, Jose W. Diokno, and Jovito Salonga) accused Marcos of exaggerating these threats and using them as an excuse to consolidate power and extend his tenure beyond the two presidential terms allowed by the 1935 constitution. Marcos signed Proclamation No. 1081 on September 21, 1972, marking the beginning of a fourteen-year period of one-man rule, which effectively lasted until Marcos was exiled from the country on February 25, 1986. Proclamation No. 1081 was formally lifted on January 17, 1981, although Marcos retained essentially all of his powers as dictator until he was ousted in February 1986. This nine-year period in Philippine history is remembered for the Marcos administration's record of human rights abuses, particularly targeting political opponents, student activists, journalists, religious workers, farmers, and others who fought against the Marcos dictatorship. Based on the documentation of Amnesty International, Task Force Detainees of the Philippines, and similar human rights monitoring entities, historians believe that the Marcos dictatorship was marked by 3,257 known extrajudicial killings, 35,000 documented tortures, 737 "disappeared", and 70,000 incarcerations.
(source: https://en.wikipedia.org/wiki/Martial_law_under_Ferdinand_Marcos)
The Human Rights Victims Reparation and Recognition Act of 2013 provides reparation and recognition to victims of human rights violations during the Marcos regime in the Philippines, establishing a board to process claims, determining awards based on a point system, and enshrining the names of victims in a Roll of Human Rights Victims.
(source:https://jur.ph/law/summary/human-rights-victims-reparation-and-recognition-act-of-2013)</t>
  </si>
  <si>
    <t>Transitional Justice Evaluation Tools (ID: 106)</t>
  </si>
  <si>
    <t>https://www.voanews.com/a/philippines-martial-law-victims-to-receive-reparations/1610111.html,
https://www.philstar.com/headlines/2017/05/09/1692186/martial-law-victims-receive-compensation,
https://legacy.senate.gov.ph/press_release/2018/1106_prib2.asp,
https://asia-ajar.org/resources/books-research/transitional-justice-fact-sheet-countries/,
https://aithor.com/essay-examples/impact-of-republic-act-no-10368-on-human-rights-in-the-philippines</t>
  </si>
  <si>
    <t>According to the Transitional Justice Evaluation Tools, the cost estimate is: 10 billion pesos (about US$245 million) plus accrued interest.
25 February 2013: The new law sets aside $250 million to compensate victims or families of victims, determined by an independent panel, to have been murdered, tortured or suffered other injustices at the hands of law enforcement and the military of the Marcos administration. (VOA News)
9 May 2017: More than 300 victims of human rights violations during martial law were awarded monetary compensation by the Human Rights Victims’ Claims Board (HRVCB) yesterday. The 317 victims constitute the first batch of 4,000 claimants approved under Republic Act 10368 or the Human Rights Victims Reparation and Recognition Act of 2013. [...] HRVCB chair Lina Sarmiento said a total amount of P300 million has been released for this purpose. (PhilStar)
6 November 2018: As of May 11, 2018, the Human Rights Victims Claims Board had been able to approve and duly recognize 11,103 claimants out of more than 75,000 applicants. The senator noted that as of June 28, 2018, the Human Rights Victims Claims Board account with the LBP reported a balance of P792.629 million. (Senate of the Philippines)
3 June 2022:
Congress established the Human Rights Victims’ Claims Board (HRVCB) in 2013 to provide
reparations to victims of the Marcos-era martial law violations. By December 2017, it
had already distributed an initial payment to victims. Of the 75,730 applications received, 96% have been adjudicated. (AJAR - Transitional Justice Fact Sheet: Philippines)
15 June 2024:
Right after the enactment of the Republic Act No. 10368, otherwise known as the Human Rights Victims Reparation and Recognition Act of 2013, a total of 75,000 human rights violations were filed. The said Republic Act was enacted to recognize the heroism and sacrifices of all Filipinos who were victims of gross human rights violations during the Martial Law regime. (Aithor)</t>
  </si>
  <si>
    <t>Some payments were disbursed starting in 2017, but there was no available information on the full amount paid to the beneficiaries.</t>
  </si>
  <si>
    <t>marcos, philippines, philippine, filipinos, dictator, dictatorship, proclamation, 1972, detainees, 1981</t>
  </si>
  <si>
    <t>Poland Pays Compensation to Bug River Inhabitants (The Bug River Law)</t>
  </si>
  <si>
    <t>Government of Poland</t>
  </si>
  <si>
    <t>Poland</t>
  </si>
  <si>
    <t>POL</t>
  </si>
  <si>
    <t>Bug River inhabitants</t>
  </si>
  <si>
    <t>At the end of the Second World War, Poland’s eastern border was fixed along the Bug river. Lands to the east, once Polish, became part of the Soviet Union. Over a million people were sent west, forced to abandon their homes. Poland later agreed to compensate those people who had lost their properties. Most claims were settled immediately after the war.
(source: https://www.coe.int/en/web/impact-convention-human-rights/-/tens-of-thousands-of-people-compensated-over-world-war-ii-property-claims)</t>
  </si>
  <si>
    <t>https://www.coe.int/en/web/impact-convention-human-rights/-/tens-of-thousands-of-people-compensated-over-world-war-ii-property-claims,
https://hudoc.echr.coe.int/eng#{%22itemid%22:[%22001-61828%22]}</t>
  </si>
  <si>
    <t>www.coe.int: http://web.archive.org/web/20231213113132/https://www.coe.int/en/web/impact-convention-human-rights/-/tens-of-thousands-of-people-compensated-over-world-war-ii-property-claims [13 December 2023]
hudoc.echr.coe.int: http://web.archive.org/web/20250930143956/https://hudoc.echr.coe.int/eng [30 September 2025]</t>
  </si>
  <si>
    <t>Council of Europe: Following the European court’s judgment in his case, Jerzy and the Polish government agreed on a lump sum equal to €60,000 as compensation for his grandmother’s lost property. In 2004, Poland’s top court declared certain parts of the December 2003 law to be unconstitutional, including the section that had cancelled the state’s obligations to people, like Jerzy, who had already received some compensation. The following year, Poland passed a new law allowing Bug River claimants to choose to either take part in a land auction or receive a cash payment through a special fund. These changes prompted the European court to bring its pilot judgment procedure to a successful end in October 2008. The court closed over a hundred pending Bug River cases. By the end of July 2009, Poland had made 19,444 compensation payments to Bug River claimants, amounting to €206,500,000.</t>
  </si>
  <si>
    <t>NOTE ON CONVERSION: The total compensation disbursed (€206,500,000) is reported as an accumulated figure paid as of 2009. We assume this figure represents the total value of all payments over the entire period. For comparison purposes, we treat it as a 2009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</si>
  <si>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poland, polish, compensation, court, jerzy, judgment, river, payments, claimants, bug</t>
  </si>
  <si>
    <t>Abu Zubaydah vs. Poland</t>
  </si>
  <si>
    <t>Abu Zubaydah</t>
  </si>
  <si>
    <t>Saudi Arabia</t>
  </si>
  <si>
    <t>SAU</t>
  </si>
  <si>
    <t>Abu Zubaydah, a Saudi Arabia national suspected of terrorist acts, is one of the victims of the CIA ‘extraordinary rendition’ programme. He was abducted from Pakistan in 2002 and secretly detained and tortured in numerous states worldwide, including Poland and Lithuania. At present, he remains in custody in Guantanamo Bay, where he was transferred in 2006, without having ever been charged of any crime. On 24 July 2014, the ECtHR condemned Poland for allowing the United States to secretly detain and torture Abu Zubaydah on its territory and for failing to conduct a meaningful investigation into these crimes.
(source: https://nuhanovicfoundation.org/case/abu-zubaydah-vs-poland-and-lithuania-european-court-of-human-rights/)</t>
  </si>
  <si>
    <t>Human Rights in Practice</t>
  </si>
  <si>
    <t>https://nuhanovicfoundation.org/database/european-court-of-human-rights-abu-zubaydah-vs-poland/,
https://www.rightsinpractice.org/new-blog/2022/6/27/poland-pays-damages-to-abu-zubaydah</t>
  </si>
  <si>
    <t>nuhanovicfoundation.org: http://web.archive.org/web/20250514172051/https://nuhanovicfoundation.org/database/european-court-of-human-rights-abu-zubaydah-vs-poland/ [14 May 2025]
www.rightsinpractice.org: http://web.archive.org/web/20240907090240/https://www.rightsinpractice.org/new-blog/2022/6/27/poland-pays-damages-to-abu-zubaydah [07 September 2024]</t>
  </si>
  <si>
    <t>The Nuhanovic Foundation:
On 24 July 2014, the ECtHR condemned Poland for allowing the United States to secretly detain and torture Abu Zubaydah on its territory and for failing to conduct a meaningful investigation into these crimes. Significantly, the Court awarded Abu Zubaydah 100.000 euros as compensation for moral damage. This judgment represents the first acknowledgment by a court of law of Mr. Zubaydah’s rendition and torture since the starting of his arbitrary detention in 2002. On 17 February 2015, the judgment became final, as the ECtHR rejected Poland’s request for rehearing. The Polish government is now legally obliged to implement the Court’s findings.
27 June 2022: On the international day in support of victims of torture, we received the important news that Poland has finally paid damages to our client, CIA torture victim and Guantanamo detainee Abu Zubaydah. Compensation has been slow -  the sums paid were awarded by the European Court of Human Rights in its 2014 judgment. It has been a fraught process, littered with obstacles. Monetary relief is also plainly insufficient, and can only ever be part of the much fuller reparation due to victims such as Abu Zubaydah. (Human Rights in Practice)</t>
  </si>
  <si>
    <t>NOTE ON CONVERSION: The total compensation disbursed (100.000 euros) is reported as an accumulated figure paid as of 2022. We assume this figure represents the total value of all payments over the entire period. For comparison purposes, we treat it as a 2022 value and convert it to our year of interest (2024).</t>
  </si>
  <si>
    <t>guantanamo, zubaydah, tortured, torture, poland, saudi, condemned, nuhanovic, detained, terrorist</t>
  </si>
  <si>
    <t>Reparations for the 12-3 incident</t>
  </si>
  <si>
    <t>Government of Portugal</t>
  </si>
  <si>
    <t>Portugal</t>
  </si>
  <si>
    <t>PRT</t>
  </si>
  <si>
    <t>Chinese community in Macau</t>
  </si>
  <si>
    <t>MAC</t>
  </si>
  <si>
    <t>The 12-3 incident was a series of political demonstrations and riots against Portuguese colonial rule in Macau which occurred on December 3, 1966.
(source: https://en.wikipedia.org/wiki/12-3_incident)</t>
  </si>
  <si>
    <t>MOP</t>
  </si>
  <si>
    <t>https://en.wikipedia.org/wiki/12-3_incident</t>
  </si>
  <si>
    <t>en.wikipedia.org: http://web.archive.org/web/20250902014046/https://en.wikipedia.org/wiki/12-3_incident [02 September 2025]</t>
  </si>
  <si>
    <t>Wikpedia: Alongside the apology, the Portuguese agreed to reinforce the role of the Macau Chinese business elite in running the governmental affairs of Macau, promised to never again use force against the Chinese community of Macau, and agreed to pay reparations to the Chinese community in Macau to the sum of 2 million Macanese pataca as compensation for the eight dead and 212 injured. In contrast, the agreement signed with the Guangdong government was more favorable to the Portuguese; per the agreement, the Chinese government would take back all refugees who arrived in Macau from January 30, 1967, onwards, a promise China would keep until 1978.</t>
  </si>
  <si>
    <t>macau, reparations, 3_incident, refugees, riots, guangdong, chinese, colonial, portuguese, pataca</t>
  </si>
  <si>
    <t>Romania War Reparations (Treaty of Paris of 1947)</t>
  </si>
  <si>
    <t>Government of Romania</t>
  </si>
  <si>
    <t>Soviet Union</t>
  </si>
  <si>
    <t>Under a peace treaty, Romania had to pay $300 million to the Soviet Union, for the damage it caused with its “military operations”. According to the treaty, it was to be made “payable over eight years from September 12, 1944, in commodities.”
(source: https://www.cnbc.com/2015/03/18/who-still-owes-what-for-the-two-world-wars.html)</t>
  </si>
  <si>
    <t>According to the treaty, it was to be made “payable over eight years from September 12, 1944, in commodities.</t>
  </si>
  <si>
    <t>Hinrichsen (2023): The amounts for Romania, Hungary, and Finland were 300 million US dollars from each, while Bulgaria had to pay 70 million US dollars. The payments were meant to be paid in kind (i.e., in non-monetary goods) but because all countries but Finland and Italy fell under the Soviet umbrella, reparations were later officially cancelled for Hungary, Romania, and Bulgaria (Nevakivi 1996, pp. 95–97). [Pag. 133]</t>
  </si>
  <si>
    <t>The reparations were mostly paid as goods and services.
Reparations were later officially cancelled (Hinrichsen 2023).</t>
  </si>
  <si>
    <t>Case of Finogenov and Others v. Russia</t>
  </si>
  <si>
    <t>Government of Russia</t>
  </si>
  <si>
    <t>RUS</t>
  </si>
  <si>
    <t>Victims of the Moscow theater hostage crisis</t>
  </si>
  <si>
    <t>Approximately 40 Chechen militants besieged a Moscow theatre, taking 850 hostages. The group called the Special Purpose Islamic Regiment (SPIR) claimed to be part of the Chechen separatist movement. The armed militants demanded that Russia remove its troops from Chechnya or the hostages would be killed. The hostage crisis lasted for over two days, and came to an end when Russian forces gassed and then stormed the theatre. Approximately 170 people died, including approximately 120 of the hostages. Many of the hostages died from effects of the gas used by the Russian forces.
(source: Political Apologies and Reparations Archive)</t>
  </si>
  <si>
    <t>Political Apologies and Reparations Archive (2005.0046.01 - Updated)</t>
  </si>
  <si>
    <t>https://www.bbc.com/news/world-europe-20067384,
https://www.globalhealthrights.org/wp-content/uploads/2015/02/Finogenov-v.-Russia.pdf,
https://en.wikipedia.org/wiki/Moscow_theater_hostage_crisis</t>
  </si>
  <si>
    <t>www.bbc.com: http://web.archive.org/web/20250907135049/https://www.bbc.com/news/world-europe-20067384 [07 September 2025]
www.globalhealthrights.org:
https://web.archive.org/web/20240527091412/https://www.globalhealthrights.org/wp-content/uploads/2015/02/Finogenov-v.-Russia.pdf [27 May 2024]
en.wikipedia.org:
https://web.archive.org/web/20250926124421/https://en.wikipedia.org/wiki/Moscow_theater_hostage_crisis [26 September 2025]</t>
  </si>
  <si>
    <t>24 October 2012: In December 2011, the European Court of Human Rights in Strasbourg ruled in favour of 64 victims and ordered the Russian government to pay them about a million euros in compensation. (BBC News)
From Wikipedia: On 20 December 2011, the European Court of Human Rights published its judgement in the case, ordering Russia to pay the 64 applicants a total of 1.3 million euros in compensation. The court also found that Russia had violated Article 2 of the European Convention on Human Rights when handling the hostage crisis, "with inadequate planning and conduct of the rescue operation", and with the "authorities' failure to conduct an effective investigation into the rescue operation", although the Court found that there had been "no violation of Article 2 of the Convention on account of the decision by the authorities to resolve the hostage crisis by force and to use the gas."</t>
  </si>
  <si>
    <t>Chechnya, Theatre, Terrorism, Rebels, Hostage, Russia, Chechen, gas, hostage, hostages, chechnya, victims, chechen, moscow, russian, compensation, finogenov, russia</t>
  </si>
  <si>
    <t>Russia Pays Compensation after Georgia War</t>
  </si>
  <si>
    <t>Government of Georgia</t>
  </si>
  <si>
    <t>Georgia</t>
  </si>
  <si>
    <t>GEO</t>
  </si>
  <si>
    <t>Russia has been ordered to pay around 130 million euros ($143 million) in compensation to Georgia almost 15 years after the war in the South Caucasus, the European Court of Human Rights announced on April 28. The order follows a ruling by the court in 2021, when the judges found that Russia had been responsible for "inhumane" acts against Georgian citizens after the end of the fighting, which lasted from August 9 until August 12, 2008.
(source: https://www.rferl.org/a/russia-georgia-war-european-court/32383747.html)</t>
  </si>
  <si>
    <t>https://www.rferl.org/a/russia-georgia-war-european-court/32383747.html,
https://www.justiceinfo.net/en/134838-georgia-2008-war-when-russia-wont-pay-victims-solutions-still-exist.html</t>
  </si>
  <si>
    <t>www.rferl.org: http://web.archive.org/web/20250603171304/https://www.rferl.org/a/russia-georgia-war-european-court/32383747.html [03 June 2025]
www.justiceinfo.net:
https://web.archive.org/web/20250516023307/https://www.justiceinfo.net/en/134838-georgia-2008-war-when-russia-wont-pay-victims-solutions-still-exist.html [16 May 2025]</t>
  </si>
  <si>
    <t>28 April 2023: Russia has been ordered to pay around 130 million euros ($143 million) in compensation to Georgia almost 15 years after the war in the South Caucasus, the European Court of Human Rights announced on April 28. The order follows a ruling by the court in 2021, when the judges found that Russia had been responsible for "inhumane" acts against Georgian citizens after the end of the fighting, which lasted from August 9 until August 12, 2008. Georgia lost control of its breakaway regions of Abkhazia and South Ossetia in the war against Russia. The court concluded that Russia could not be held responsible for human rights violations during the five-day war. (Radio Free Europe/Radio Liberty) 
1 August 2024: On April 28, 2023, the Strasbourg-based European Court of Human Rights (ECHR) ruled that the Russian Federation must pay 130 million euros to Georgia for the August War, based on its January 21, 2021 judgment in an interstate case. However, the crucial question remains: when will this judgment be enforced, ensuring compensation for the victims? As of now, no payments have been made, and the total owed, including accrued interest, stands at approximately 133.4 million euros. (Justice Info)</t>
  </si>
  <si>
    <t>caucasus, georgia, georgian, russia, compensation, abkhazia, russian, court, 2023, rights</t>
  </si>
  <si>
    <t>Genocide Survivors Assistance Fund (FARG) in Rwanda</t>
  </si>
  <si>
    <t>Government of Rwanda</t>
  </si>
  <si>
    <t>Rwanda</t>
  </si>
  <si>
    <t>RWA</t>
  </si>
  <si>
    <t>Victims of Genocide and Massacres Committed in Rwanda Between 1 October 1990 and 31 December 1994</t>
  </si>
  <si>
    <t>The Rwandan genocide, also known as the genocide against the Tutsi or the Tutsi genocide, occurred from 7 April to 19 July 1994 during the Rwandan Civil War. Over a span of around 100 days, members of the Tutsi ethnic group, as well as some moderate Hutu and Twa, were systematically killed by Hutu militias. While the Rwandan Constitution states that over 1 million people were killed, most scholarly estimates suggest between 500,000 and 662,000 Tutsi died, mostly men. The genocide was marked by extreme violence, with victims often murdered by neighbours, and widespread sexual violence, with between 250,000 and 500,000 women raped.
(source: https://en.wikipedia.org/wiki/Rwandan_genocide)
Survivors Fund (SURF), founded in 1997, represents and supports survivors of the Genocide against the Tutsi in Rwanda (Rwandan genocide) in Rwanda. It is the principal international charity with a specific remit to assist survivors of the Genocide against the Tutsi in Rwanda, and has offices in London and Kigali.
(source: https://en.wikipedia.org/wiki/Survivors_Fund)</t>
  </si>
  <si>
    <t>Reparations payments are still ongoing but data on payments are as of 2021.</t>
  </si>
  <si>
    <t>RWF</t>
  </si>
  <si>
    <t>3 Good Health and Well-being
4 Quality Education
8 Decent Work and Economic Growth
10 Reduced Inequalities</t>
  </si>
  <si>
    <t>https://www.refworld.org/legal/legislation/natlegbod/1998/en/27352,
https://www.refworld.org/sites/default/files/attachments/52df99854.pdf,
https://reliefweb.int/report/rwanda/moving-rwanda’s-100-days-genocide</t>
  </si>
  <si>
    <t>According to the Transitional Justice Evaluation Tools, the Cost Estimate is: Rwf333 Billion (approx. $323,929,959 USD).
Law No. 11/1998 of 1998 Amending and Completing the Law No. 2/1998:
Article 1: Article 12 (1) of Law n° 02/98 of January 22, 1998 establishing a National Assistance Fund for the neediest victims of genocide and massacres committed in Rwanda between October 1, 1990 and December 31, 1994 is amended as follows: The State allocates annually to the fund an amount of 5% of the State's own domestic revenue of the budget.
Article 2: Without prejudice to the provisions of the first article of this law, the state's allocated Fund for the year 1998 is fixed to Tree Billions Eight Hundred Thirteen Millions One Hundred Thirty Nine Thousand one Hundred Twenty Six Rwandan Francs (3,813,139,126 Frw).
7 April 2013: The fund was set up by the government in 1998 to support the almost 300,000 genocide survivors and receives about six percent of Rwanda’s annual budget. (ReliefWeb)
19 April 2021: FARG has spent Rwf 333 billion so far. (Survivors Fund)</t>
  </si>
  <si>
    <t>NOTE ON CONVERSION: The total compensation disbursed (Rwf 333 billion) is reported as an accumulated figure paid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</si>
  <si>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rwanda, rwandan, genocide, fund, billions, provisions, budget, millions, allocated, victims</t>
  </si>
  <si>
    <t>Serbia Pays Reparations to Ex-Kosovo Mayor</t>
  </si>
  <si>
    <t>Government of Serbia</t>
  </si>
  <si>
    <t>Mustafa Kolgeci (former mayor of the Kosovo municipality of Suva Reka)</t>
  </si>
  <si>
    <t>The First Basic Court in Belgrade has ruled on Friday that Serbia is responsible for the torture of Mustafa Kolgeci, an ethnic Albanian from the Kosovo municipality of Suva Reka, committed by Serbian police, which held him in custody from September 1998 until January 2000. The Trial Chamber has concluded that during the 16 months custody the police tortured Kolgeci physically and mentally on a daily basis and ordered the Serbian authorities to pay out 380,000 dinars [about € 3,300] as a compensation for the pain he suffered.
(source: https://balkaninsight.com/2012/10/15/serbia-gives-reparation-to-ex-kosovo-mayor/)</t>
  </si>
  <si>
    <t>https://balkaninsight.com/2012/10/15/serbia-gives-reparation-to-ex-kosovo-mayor/</t>
  </si>
  <si>
    <t>balkaninsight.com: http://web.archive.org/web/20240623075457/https://balkaninsight.com/2012/10/15/serbia-gives-reparation-to-ex-kosovo-mayor/ [23 June 2024]</t>
  </si>
  <si>
    <t>15 October 2012: The First Basic Court in Belgrade has ruled on Friday that Serbia is responsible for the torture of Mustafa Kolgeci, an ethnic Albanian from the Kosovo municipality of Suva Reka, committed by Serbian police, which held him in custody from September 1998 until January 2000. The Trial Chamber has concluded that during the 16 months custody the police tortured Kolgeci physically and mentally on a daily basis and ordered the Serbian authorities to pay out 380,000 dinars [about € 3,300] as a compensation for the pain he suffered. (BIRN)</t>
  </si>
  <si>
    <t>kosovo, belgrade, serbian, serbia, mustafa, tortured, torture, albanian, kolgeci, reka</t>
  </si>
  <si>
    <t>Sierra Leone Truth and Reconciliation Commission and the Sierra Leone
Reparation Programme</t>
  </si>
  <si>
    <t>Government of Sierra Leone</t>
  </si>
  <si>
    <t>Sierra Leone</t>
  </si>
  <si>
    <t>SLE</t>
  </si>
  <si>
    <t>Victims of the Civil War in Sierra Leone</t>
  </si>
  <si>
    <t>The Sierra Leone Civil War began on March 23, 1991. The Revolutionary United Front, supported by the National Patriotic Front of Liberia, attempted to overthrow the Joseph Momoh government. This attempt resulted in the Sierra Leone Civil War, that lasted 11 years, leaving over 50,000 dead. The Truth and Reconciliation Commission was created as part of the Lomé Peace Accord, signed on July 7, 1999, which was intended to end the civil war in Sierra Leone. This accord was signed by then President Ahmad Tejan Kabbah and the leader of the Revolutionary United Front (RUF) Foday Sankoh.
(source: https://en.wikipedia.org/wiki/Truth_and_Reconciliation_Commission_(Sierra_Leone))</t>
  </si>
  <si>
    <t>From 2002 to 2004, the Sierra Leone Truth and Reconciliation Commission (SLTRC) recommended putting in place a comprehensive reparations program. In 2008, the United Nations Peacebuilding Fund finally provided funding for initiating such a program.</t>
  </si>
  <si>
    <t>Sierra Leone Truth and Reconciliation Commission</t>
  </si>
  <si>
    <t>Peace Research Institute Frankfurt</t>
  </si>
  <si>
    <t>https://www.sierraleonetrc.org/index.php/view-the-final-report/table-of-contents,
https://www.justiceinfo.net/en/43710-reparations-in-sierra-leone-news-from-the-periphery-of-transitional-justice.html,
https://www.prif.org/fileadmin/Daten/Publikationen/Prif_Reports/2014/prif129.pdf</t>
  </si>
  <si>
    <t>www.sierraleonetrc.org: http://web.archive.org/web/20250923160728/https://www.sierraleonetrc.org/index.php/view-the-final-report/table-of-contents [23 September 2025]
www.justiceinfo.net: http://web.archive.org/web/20250903052042/https://www.justiceinfo.net/en/43710-reparations-in-sierra-leone-news-from-the-periphery-of-transitional-justice.html [03 September 2025]
www.prif.org:
https://web.archive.org/web/20250307021937/https://www.prif.org/fileadmin/Daten/Publikationen/Prif_Reports/2014/prif129.pdf [07 March 2025]</t>
  </si>
  <si>
    <t>According to the Transitional Justice Evaluation Tools:
Cost estimate is approx. $4.1 million USD (from two UN Peacebuilding Fund grants, 2008-9 and 2011-12).
Peace Research Institute Frankfurt (PRIF 2014):
From 2002 to 2004, the Sierra Leone Truth and Reconciliation Commission (SLTRC) recommended putting in place a comprehensive reparations program. In 2008, the United Nations Peacebuilding Fund finally provided funding for initiating such a program. Over the years, the program received 8.5 million USD in funds that were invested into measures such as one-time interim relief payments, medical operations for serious injuries, vocational training and micro-grants. Due to the high number of victims, benefits were distributed selectively to specific target groups, such as amputees and sexually abused women, leaving the bulk of victims with a one-time payment of roughly 100 USD.
Peace Accords Matrix (PAM):
2000: The Parliament of Sierra Leone approved The Truth and Reconciliation Commission Act 2000 on February 10, 2000. This act provided institutional means of establishing the Truth and Reconciliation Commission in line with Article XXVI of the Lomé Peace Agreement and to provide for related matters. In spite of the Parliamentary ruling, issues remained on the subject of reparations and the establishment of a special fund.
2004: “Following a two-year investigation into atrocities committed during the war, the Sierra Leone Truth and Reconciliation Commission said both Libya and Liberia had played a key role in the West African conflict.” The report recommended that Libya pay reparations for having trained top rebel military commanders. The Commission recommended measures to control corruption as well as provide free physical and mental healthcare for amputees and rape victims. The TRC also recommended a monthly pension for all war wounded. The money to fund the monthly pension was expected to be provided by the Government, with the hope that the international community would also provide funds. International funding was insufficient, however. “[A] recent United Nations inter-agency appeal for funds for Sierra Leone’s recovery and rehabilitation had yielded only 10 per cent of the funding goal of $60 million.”
2008: “National commission for social action (NaCSA), the institution responsible for the reparation of refugees was experiencing a slow pace with the programme due to delay in accessing the $3USM allocated to them. The said amount was earmarked by the peace building commission to fast track the reparation process in Sierra Leone.”
2009: The chief of the Human Rights Section of the United Nations Integrated Peacebuilding Office in Sierra Lone (UNIPSIL) said, at the official launch of the reparations program by the National Commission for Social Action (NaCSA), that the lack of political will result in implementation delays. The National Commission for Social Action (NaCSA), which was running the reparations program, lacked funding to run the program. Of the US$14 million required for 2009-10, NaCSA had less than US $3.5 million for the program. The bulk of the funding for 2009 came from the UN Peacebuilding Fund. Reparations to victims came in the form of housing, skills training, health care, education and agricultural assistance, as well as symbolic activities such as reburials, memorials and remembrance ceremonies. Up to 100,000 Sierra Leoneans, among them amputees and other war-wounded, victims of sexual violence, war widows and children who were eligible for post-war reparations, had yet to receive any compensation.</t>
  </si>
  <si>
    <t>See also: https://www.globalsurvivorsfund.org/fileadmin/uploads/gsf/Documents/Resources/Policy_Briefs/Reparations_are_affordable_brief_UNGA_WEB__1_.pdf
NOTE ON CONVERSION: The total compensation disbursed (8.5 million USD) is reported as an accumulated figure paid as of 2014. We assume this figure represents the total value of all payments over the entire period. For comparison purposes, we treat it as a 2014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initial amount pledged in 2008 was USD 3 million (from the UN Peacebuilding Fund).</t>
  </si>
  <si>
    <t>sierra_leone, truth_and_reconciliation_commission_, leone, leoneans, reconciliation, peacebuilding, peace, cost, liberia, accord</t>
  </si>
  <si>
    <t>Compensation of Communist-era Political Prisoners in Slovakia</t>
  </si>
  <si>
    <t>Government of Slovakia</t>
  </si>
  <si>
    <t>SVK</t>
  </si>
  <si>
    <t>[...] the Slovak parliament approved a law compensating political prisoners of the communist regime almost 13 years after the fall of totalitarianism.According to the law, people who spent at least one year in communist prisons are entitled to Sk80,000 ($1,780) and Sk3,000 ($66) for each additional year.Those who spent at least three months in prison will receive Sk20,000 ($440), while widows and widowers of former political prisoners will be entitled to half that sum.
(source: https://spectator.sme.sk/politics-and-society/c/political-prisoners-to-be-compensated)</t>
  </si>
  <si>
    <t>SKK</t>
  </si>
  <si>
    <t>Transitional Justice Evaluation Tools (ID: 97)</t>
  </si>
  <si>
    <t>https://spectator.sme.sk/politics-and-society/c/political-prisoners-to-be-compensated,
https://spectator.sme.sk/politics-and-society/c/compensation-for-communist-prisoners,
https://www.justice.gov/sites/default/files/pages/attachments/2016/02/09/dos-hrr_2003_slovak.pdf</t>
  </si>
  <si>
    <t>spectator.sme.sk:
https://web.archive.org/web/20251003085145/https://spectator.sme.sk/politics-and-society/c/political-prisoners-to-be-compensated [03 October 2025]
spectator.sme.sk:
https://web.archive.org/web/20251003085552/https://spectator.sme.sk/politics-and-society/c/compensation-for-communist-prisoners [03 October 2025]
www.justice.gov: http://web.archive.org/web/20210519144635/https://www.justice.gov/sites/default/files/pages/attachments/2016/02/09/dos-hrr_2003_slovak.pdf [19 May 2021]</t>
  </si>
  <si>
    <t>Transitional Justice Evaluation Tools: Government provided $7 million USD (86 million SKK)
22 July 2002: At its last session before dissolution ahead of September elections the Slovak parliament approved a law compensating political prisoners of the communist regime almost 13 years after the fall of totalitarianism. According to the law, people who spent at least one year in communist prisons are entitled to Sk80,000 ($1,780) and Sk3,000 ($66) for each additional year. Those who spent at least three months in prison will receive Sk20,000 ($440), while widows and widowers of former political prisoners will be entitled to half that sum. The cabinet has granted Sk24 million to covering the compensations, while the same sum was provided by the now defunct Slovak Democratic Coalition (SDK) party. After the fall of communism, local courts exonerated around 70,000 Slovak political prisoners. The number of people entitled to compensation is 7,050. The payments will come in three stages through the state-run Social Insurance company (Sociálna poisťovňa - SP). In the first stage, to be completed by the end of 2002, the insurance company will pay money to the 2,370 living victims of the communist regime. Everyone entitled to the payments should receive their money by the end of 2004. But as the remaining funds, Sk455 million ($10 million), will have to be found by the next cabinet, some MPs dubbed the law irresponsible. *The total funds required to compensate all political prisoners and relatives is Sk503 million ($11 million). (The Slovak Spectator)
20 November 2002: Parliament approved a bill to pay compensation to former political prisoners of the communist regime through 2004, giving each a basic amount of about $2,000 for each year served in jail. (The Slovak Spectator)
25 February 2004: In July [2002], Parliament approved $7 million (86 million SKK) to compensate former political prisoners under the communist regime, with individual payments ranging from $650 (20,750 SKK) to $2,220 (83,740 SKK), depending on the total time incarcerated; over 4,000 persons applied for remuneration. (U.S. Department of State, Country Reports on Human Rights Practices, "Slovak Republic")</t>
  </si>
  <si>
    <t>slovakia, slovak, skk, prisoners, sk3, sk80, prisons, communist, sk24, compensations</t>
  </si>
  <si>
    <t>Reparations Scheme in the Townsville Peace Agreement of 2000</t>
  </si>
  <si>
    <t>Government of Solomon Islands</t>
  </si>
  <si>
    <t>Solomon Islands</t>
  </si>
  <si>
    <t>SLB</t>
  </si>
  <si>
    <t>Victims of the ethnic conflict in Solomon Islands</t>
  </si>
  <si>
    <t>The Townsville Peace Agreement was signed in Townsville, Australia on 15 October 2000 between the Malaita Eagle Force and the Isatabu Freedom Movement. The Agreement successfully calmed the situation in Honiara and the Islands in general after the coup d'état of June that year.
(source: https://en.wikipedia.org/wiki/Townsville_Peace_Agreement)
The Townsville Peace Agreement called for the Solomon Islands Government to compensate victims of the conflict for loss of lives, property, employment or investment.
(source: https://peaceaccords.nd.edu/accord/townsville-peace-agreement)</t>
  </si>
  <si>
    <t>Find a complete implementation timeline here: https://peaceaccords.nd.edu/accord/townsville-peace-agreement</t>
  </si>
  <si>
    <t>SBD</t>
  </si>
  <si>
    <t xml:space="preserve">Townsville Peace Agreement;
Solomon Islands - TRUTH AND RECONCILIATION COMMISSION Final Report </t>
  </si>
  <si>
    <t>https://peacemaker.un.org/sites/default/files/document/files/2024/05/sb001015townsvillepeaceagreement.pdf,
https://solomons.gov.sb/wp-content/uploads/2022/07/FINAL-Volume-2.pdf,
https://peaceaccords.nd.edu/accord/townsville-peace-agreement</t>
  </si>
  <si>
    <t>peacemaker.un.org:
https://web.archive.org/web/20251003085547/https://peacemaker.un.org/sites/default/files/document/files/2024/05/sb001015townsvillepeaceagreement.pdf [03 October 2025]
solomons.gov.sb: http://web.archive.org/web/20250709220417/https://solomons.gov.sb/wp-content/uploads/2022/07/FINAL-Volume-2.pdf [09 July 2025]
peaceaccords.nd.edu:
https://web.archive.org/web/20250716151714/https://peaceaccords.nd.edu/accord/townsville-peace-agreement [16 July 2025]</t>
  </si>
  <si>
    <t>Transitional Justice Evaluation Tools:
Solomon Islands mandated one reparations policy in 2001. TJET found no information on the total number of beneficiaries. TJET found no evidence on implementation.
According to the Transitional Justice Evaluation Tools, the Cost Estimate is: 371119008 SBD
SOLOMON ISLANDS - TRUTH AND RECONCILIATION COMMISSION (Final Report - February 2012): Until the present, no apology or reparation has been offered by the Government to the victims.
Peace Accords Matrix:
2000: The Townsville Peace Agreement called for the Solomon Islands Government to compensate victims of the conflict for loss of lives, property, employment or investment. No efforts towards compensation were observed in this year.
2001: The Solomon Islands Government began issuing compensation to victims of conflict on July 24, 2001, with 300 victims to receive payment. However, allegations of corruption and fraud plagued the process, and a task force to investigate the compensation payments was formulated in August. In addition, payments were suspended in August because all the funds from the first installment of compensation loans from Taiwan ($8 million) had been used. The $8 million had funded approximately 600 compensation claims. In September, a review of the Townsville Peace Agreement suspended compensation payments for death, injury and harassment claims indefinitely citing the need to reformulate compensation policy. The government resumed compensation payments in late October once additional funds were received. However, these funds were quickly used. In November, payments were delayed as the government refused to transfer the appropriate funds to the bank responsible for allocating payments.
2002: The Solomon Islands Government continued issuing compensation payments to victims until October 7, 2002 because the loan allocated for compensation had been exhausted.</t>
  </si>
  <si>
    <t xml:space="preserve">Some compensation was disbursed since July 2001, but exact comprehensive totals are not documented in official sources.
See here details on the provision and on the implementation timeline: https://peaceaccords.nd.edu/accord/townsville-peace-agreement
See here for more compensation cases within the country: https://www.cdacollaborative.org/wp-content/uploads/2016/02/Attempts-at-Building-Peace-in-the-Solomon-Islands-Disconnected-Layers.pdf </t>
  </si>
  <si>
    <t>reparations, reparation, reconciliation, townsville, peace, agreement, hostilities, justice, islands, solomon</t>
  </si>
  <si>
    <t>Reparations for Apartheid Victims in South Africa</t>
  </si>
  <si>
    <t>Government of South Africa</t>
  </si>
  <si>
    <t>South Africa</t>
  </si>
  <si>
    <t>ZAF</t>
  </si>
  <si>
    <t>Victims of human rights abuses under Apartheid</t>
  </si>
  <si>
    <t>From 1948 until 27 April 1994, South Africa existed under a government of apartheid (or separateness), an institution that systematically and explicitly discriminated against black South Africans, forcing them to live, practice business, and go to school in legally segregated and inferior neighbourhoods. Apartheid laws were upheld by violent means, when necessary, and resulted in a radically lower quality of life for black South Africans. The apartheid system was officially abolished in 1994 with the election of the African National Congress, which has continued to govern until the present day.
(source: Political Apologies and Reparations Archive)</t>
  </si>
  <si>
    <t>A Truth and Reconcilitaion Commission (TRC) was established in 1995. Some interim payments were made since 2001. In 2003, then-president Thabo Mbeki announced that people identified by the TRC as victims of human rights abuses under apartheid would each receive a R30,000 grant.</t>
  </si>
  <si>
    <t>ZAR</t>
  </si>
  <si>
    <t>Truth and Reconciliation Commission</t>
  </si>
  <si>
    <t>South Africa Truth and Reconciliation Commission Final Report, Vol 5, Chapter 5: Reparation and Rehabilitation Policy;
National Government of South Africa;
Department of Justice and Constitutional Development</t>
  </si>
  <si>
    <t xml:space="preserve">http://news.bbc.co.uk/2/hi/africa/2950199.stm,
https://www.nytimes.com/2003/04/16/world/south-africa-to-pay-3900-to-each-family-of-apartheid-victims.html,
 https://nationalgovernment.co.za/units/view/269/president-s-fund#,
https://reparationscomm.org/reparations-news/south-africa-nearly-r2-billion-for-apartheid-reparations-is-unspent/,
https://www.justice.gov.za/reportfiles/other/PresFund_ANR_2006-07.pdf,
 https://www.dailymaverick.co.za/article/2014-10-14-the-presidents-fund-where-is-the-money-for-apartheid-victims-actually-going/,
https://www.vox.com/2014/5/23/5741352/six-times-victims-have-received-reparations-including-four-in-the-us,
https://www.justice.gov.za/m_speeches/2025/20250503-TRC-Reburial-Min.html
</t>
  </si>
  <si>
    <t>news.bbc.co.uk: http://web.archive.org/web/20210201152946/http://news.bbc.co.uk/2/hi/africa/2950199.stm [01 February 2021]
www.nytimes.com: http://web.archive.org/web/20250917160428/https://www.nytimes.com/2003/04/16/world/south-africa-to-pay-3900-to-each-family-of-apartheid-victims.html [17 September 2025]
nationalgovernment.co.za: http://web.archive.org/web/20250419205009/https://nationalgovernment.co.za/units/view/269/president-s-fund [19 April 2025]
reparationscomm.org: http://web.archive.org/web/20250719134444/https://reparationscomm.org/reparations-news/south-africa-nearly-r2-billion-for-apartheid-reparations-is-unspent/ [19 July 2025]
www.justice.gov.za: http://web.archive.org/web/20250609072312/https://justice.gov.za/reportfiles/other/PresFund_ANR_2006-07.pdf [09 June 2025]
www.dailymaverick.co.za: http://web.archive.org/web/20240520084503/https://www.dailymaverick.co.za/article/2014-10-14-the-presidents-fund-where-is-the-money-for-apartheid-victims-actually-going/ [20 May 2024]
www.vox.com: http://web.archive.org/web/20250919171808/https://www.vox.com/2014/5/23/5741352/six-times-victims-have-received-reparations-including-four-in-the-us [19 September 2025]
www.justice.gov.za:
https://web.archive.org/web/20250522164002/https://www.justice.gov.za/m_speeches/2025/20250503-TRC-Reburial-Min.html [22 May 2025]</t>
  </si>
  <si>
    <t>15 April 2003: In a statement to parliament on the final report from the Commission, President Thabo Mbeki said a one-off payment of just over $3,800 (29,173 rand) would be given to those designated by the TRC. (BBC News)
16 April 2003: President Thabo Mbeki of South Africa said today that his government would pay reparations totaling $85 million to more than 19,000 victims of apartheid crimes who testified about their suffering before the Truth and Reconciliation Commission. In a speech before Parliament, President Mbeki said the family of each victim would receive a one-time payment of about $3,900. That compares with the average annual salary here of about $3,000. ''We hope that these disbursements will help acknowledge the suffering that these individuals experienced, and offer some relief,'' he said. (The New York Times)
According to the Transitional Justice Evaluation Tools:
The cost estimate is: $72 million USD.
The beneficiaries count is: 22000.
National Government of South Africa:
The President's Fund offers reparation measures to victims on the recommendation of the State President, and the subsequent consideration and recommendation of the ad hoc Joint Committee on Reparations of both Houses of Parliament on the tabling of the final two volumes of the Truth and Reconciliation Commission (TRC) Reports. It does this as follows: a once-off individual grant of R30 000 to those individuals or survivors identified by the TRC.
23 May 2014:
One of the duties of South Africa’s post-apartheid Truth and Reconciliation Commission, besides investigating human rights abuses committed by the apartheid government, was recommending reparations and other policies to redress those abuses and aid victims of the former regime. The commission recommended about $360 million in reparations, to be distributed in six annual payments to victims identified by the Commission, but in 2003 president Thabo Mbeki announced in 2003 that he would authorize only $85 billion, to be given in one-time payments of $3,900 (above the average annual salary in the country at that time). The recipients numbered 16,397 as of 2012, a tiny fraction of the actual number of people victimized by the regime. (Vox)
13 December 2022:
The President’s Fund was established to pay reparations to victims of human rights abuses under apartheid. Over the past five years, the Fund has received R531-million in investment revenue but only disbursed R97.7-million in reparations. (NAARC)
3 May 2025:
On the implementation of the once off final reparation of R 30 000, the TRC identified 21676 victims, we have already paid 17428 of the victims to the tune of close to R 500 million. (Department of Justice and Constitutional Development)</t>
  </si>
  <si>
    <t>Some interim reparations were disbursed also before 2003 (see: https://www.amnesty.org/en/wp-content/uploads/2021/06/afr530012003en.pdf).
NOTE ON CONVERSION:
The most recent cumulative figures available on disbursed payments are reported as of 2025. Since our database covers events up to 2024, we treat these figures as an approximation for 2024, while acknowledging that they may not be perfectly precise.</t>
  </si>
  <si>
    <t>South Africa, National Party, apartheid, Truth and Reconciliation Commission, racism, discrimination, reparations, transitional justice, President’s Fund, apartheid, reparations, reparation, africans, payments, victims, africa, african, payment, segregated</t>
  </si>
  <si>
    <t>Economic Reparations to Victims of the Civil War and Francoism Under the 1977 Amnesty Law (Law 46/1977) and the Historic Memory Law (Law 52/2007)</t>
  </si>
  <si>
    <t>Government of Spain</t>
  </si>
  <si>
    <t>Spain</t>
  </si>
  <si>
    <t>ESP</t>
  </si>
  <si>
    <t>Victims of the Civil War and Francoism in Spain</t>
  </si>
  <si>
    <t>The repression of the losers of the Civil War lasted throughout the 40 years that the dictatorship lasted. In 1979, a process of economic reparation began that the memorialist movement and some political parties did not consider settled at all.
(source translated from: https://www.eldiario.es/sociedad/ajuste-cuentas-democracia-franquismo-21-750-millones-victimas-guerra-civil-dictadura_1_8218631.html)
Law 52/2007, commonly known as Historical Memory Law (Sp: Ley de Memoria Histórica), recognises and broadens "the rights and establishes measures in favour of those who suffered persecution or violence during the civil war and the dictatorship."
(source: https://en.wikipedia.org/wiki/Historical_Memory_Law)</t>
  </si>
  <si>
    <t>Spain implemented two reparations policies between 1979 and 2023:
In 1977: Law 46/1977, Law 18/1984, and Law 4/1990 providing compensation for people who were imprisoned for political and non-political reasons under the Franco regime.
2007: Law 52/2007, of 26 December, which recognizes and extends rights and establishes measures in favour of those who suffered persecution or violence during the civil war and the dictatorship.
Economic reparations started in 1979.
The 2007 Law was then replaced by the more comprehensive Democratic Memory Law (Ley 20/2022) in 2022.</t>
  </si>
  <si>
    <t>Law 52/2007, of 26 December, which recognizes and extends rights and establishes measures in favour of those who suffered persecution or violence during the civil war and the dictatorship</t>
  </si>
  <si>
    <t>https://reparations.qub.ac.uk/assets/uploads/Ley-52-2007-Spain-EN.pdf,
http://news.bbc.co.uk/2/hi/europe/5192228.stm
https://www.eldiario.es/sociedad/ajuste-cuentas-democracia-franquismo-21-750-millones-victimas-guerra-civil-dictadura_1_8218631.html</t>
  </si>
  <si>
    <t>reparations.qub.ac.uk: http://web.archive.org/web/20250730040104/https://reparations.qub.ac.uk/assets/uploads/Ley-52-2007-Spain-EN.pdf [30 July 2025]
news.bbc.co.uk: http://web.archive.org/web/20250819035727/http://news.bbc.co.uk/2/hi/europe/5192228.stm [19 August 2025]
www.eldiario.e:
https://web.archive.org/web/20250103191601/https://www.eldiario.es/sociedad/ajuste-cuentas-democracia-franquismo-21-750-millones-victimas-guerra-civil-dictadura_1_8218631.html [03 January 2025]</t>
  </si>
  <si>
    <t>Political Apologies and Reparations Archive:
In 2006 the Spanish government drafted a bill aimed at recognizing the victims of the Franco dictatorship. The legislation plans to provide compensation to the victims and possibly the creation of an educational centre about fascism. This article discusses the controversies about acknowledging the history of Franco’s regime. 
Law 52/2007: Articles 5 to 9 provide for the recognition of various improvements to economic rights already contained in our legislation. In the same direction, it provides for the right to compensation in favour of all those people who lost their lives in defence of democracy, of the democracy we all enjoy today, and who had not received due compensation until now (art. 10)
According to the Transitional Justice Evaluation Tools (TJET), the cost estimate is: 397 million euros for imprisonment, 2.8 million euros for democracy fighters, 624,000 euros for LGBTQ+ people.
Spain implemented two reparations policies between 1979 and 2023. According to available information, there was a total of 60427 individual beneficiaries:
Law 46/1977, Law 18/1984, and Law 4/1990 providing compensation for people who were imprisoned for political and non-political reasons under the Franco regime.
Law 52/2007, of 26 December, which recognizes and extends rights and establishes measures in favour of those who suffered persecution or violence during the civil war and the dictatorship.
(see: TJET https://transitionaljusticedata.org/en/Europe/Spain.html)
16 August 2021: The repression of the losers of the Civil War lasted throughout the 40 years that the dictatorship lasted. In 1979, a process of economic reparation began that the memorialist movement and some political parties did not consider settled at all. The Government, according to an internal study to which elDiario.es has had access, recognizes that 21,749 million euros (until December 2020) is the total of what the General Administration of the State has dedicated to economic reparations to the victims of the Civil War and Francoism. It is the highest amount that the State has ever spent on compensating victims, followed by far by those affected by rapeseed oil. This amount includes reparations in the form of pensions to military personnel, combatants, mutilated, as well as their relatives in case of death and those killed and missing; these are 547,670 beneficiaries and an amount of 21,349 million euros, the bulk of the compensation being in the non-professional military. On the other hand, the reparations to people who suffered imprisonment are also included, both in the compensation of Social Security contributions and in compensation; this has affected 60,683 people, with an amount of 397 million euros. Finally, the 49 compensations to the heirs of people who gave their lives in defense of democracy between 1968 and 1977 are also included, whose files were accepted from among the 190 that were presented; this was 2.8 million euros. (Translated from: elDiario.es)</t>
  </si>
  <si>
    <t>NOTE ON CONVERSION: The total compensation disbursed (21,749 million euros) is reported as an accumulated figure paid as of 2020. We assume this figure represents the total value of all payments over the entire period. For comparison purposes, we treat it as a 2020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Payments recorded here include compensation that pre-date the 2007 Law and compensation made under the 2007 Law.</t>
  </si>
  <si>
    <t>Spain, Spanish Civil War, Francisco Franco, Franco, amnesty, International Brigade, CEDA, Jose Sanjurjo, Sanjurjo, fascism, dictatorship, mass graves, graves, concentration camps, memorials, truth, franco, reparations, legislation, dictatorship, fascism, memoria, imprisonment, democracy, compensation, justice</t>
  </si>
  <si>
    <t>Compensation for 1983 Anti-Tamil Pogrom in Sri Lanka</t>
  </si>
  <si>
    <t>Government of Sri Lanka</t>
  </si>
  <si>
    <t>Sri Lanka</t>
  </si>
  <si>
    <t>LKA</t>
  </si>
  <si>
    <t>Tamils People</t>
  </si>
  <si>
    <t>The Tamil people, an ethnic group in Southeast Asia, have historically been ruled over by a different ethnicity; in contemporary times, beginning in the 1970s, the Tamils of Sri Lanka have claimed repression by the Sinhalese majority, and have demanded an independent Tamil state. In 1983, the Sri Lankan government sponsored an anti-Tamil pogrom that resulted in the deaths of over 1,000 Tamils and significant destruction of Tamil-owned property. The 1983 Anti-Tamil pogroms in Sri Lanka, commonly referred to as Black July, was a brutal state-sponsored genocide lasting from July 23rd to July 30th. Armed with voter registration lists, provided by the Government, Sinhalese mobs took at least 3,000 Tamils lives, destroyed 18,000 homes, destroyed 5,000 businesses, and displaced 90,000-150,000 Tamils. Many Tamil women were raped and many families were burned alive. It also prompted the first large exodus of Tamils: 500,000 fled the island, giving seed to a global Tamil diaspora. The events resulted in US $300 million in property damage.
(source: Political Apologies and Reparations Archive)</t>
  </si>
  <si>
    <t>LKR</t>
  </si>
  <si>
    <t>Political Apologies and Reparations Archive (2005.0011.01 - Updated)</t>
  </si>
  <si>
    <t>https://www.wsws.org/en/articles/2004/08/sril-a06.html</t>
  </si>
  <si>
    <t>www.wsws.org: http://web.archive.org/web/20250921215635/https://www.wsws.org/en/articles/2004/08/sril-a06.html [21 September 2025]</t>
  </si>
  <si>
    <t>6 August 2004: Speaking at a meeting to mark the 21st anniversary of the pogrom, Kumaratunga declared: “Every citizen in this country should collectively accept the blame and make an apology to the tens of thousands who suffered. I would like to assign to myself that task on behalf of the State of Sri Lanka, the government and on behalf of all of us; all the citizens of Sri Lanka to extend that apology.” The “apology” was accompanied by nominal compensation to some of the victims. Just 72.3 million rupees [$US702,000] will be paid to 937 people or an average of 77,000 rupees [$750] for the injuries and destruction they suffered. Leaving aside the cost in lives, the loss of property alone in 1983 has been estimated to run into billions of rupees. (wsws.org)</t>
  </si>
  <si>
    <t>Sri Lanka, Tamil, Kumaratunga, Sinhalese, lankan, tamil, tamils, lanka, genocide, victims, sri, deaths, destruction, 1983</t>
  </si>
  <si>
    <t>The 2021 Reparations Policies &amp; Guidelines (Formulated in Terms of the Reparations Act of 2018)</t>
  </si>
  <si>
    <t>Persons who have suffered damage as a result of loss of life or damage to their person or property…in the course of, consequent to, or in connection with the conflict which took place in the Northern and Eastern Provinces or its aftermath</t>
  </si>
  <si>
    <t>The Office for Reparations Act No. 34 of 2018 (“the Reparations Act”) was passed in October, 2018 by the Parliament of the Democratic Socialist Republic of Sri Lanka and came into operation with effect from October 22nd, 2018.The principal objective of the Reparations Act is to provide for a framework for the grant by Government, of remedies or relief to its citizens who have suffered grievances under specific circumstances, with a view to assisting and supporting such persons to rebuild and restore their lives. As expressly set out in the preamble to the Act, the intention is to contribute to the promotion of reconciliation for the wellbeing and security of all Sri Lankans, including future generations. This is to be achieved through assisting all citizens of Sri Lanka who have suffered under the specific circumstances listed under Section 27 of the Reparations Act, to rebuild and restore their lives, and thereby to advance the wellbeing and security of all Sri Lankans, including future generations.
(source: https://www.reparations.gov.lk/web/images/2021/Policy_and_Guidelines_final.pdf)</t>
  </si>
  <si>
    <t>Transitional Justice Evaluation Tools (ID: 114)</t>
  </si>
  <si>
    <t>Reparations Policies &amp; Guidelines 2021 Formulated by the Office for Reparations in compliance with Section 2(a) read with Section 11(1)(g) of the Office for Reparations Act, No. 34 of 2018 and approved by the Cabinet of Ministers.</t>
  </si>
  <si>
    <t>https://www.reparations.gov.lk/web/images/2021/Policy_and_Guidelines_final.pdf?TSPD_101_R0=08b8f4acecab200079d5b0f0320466e05abf485d3c515f20c1b0b4e9050425bff491871c522a27920864c78e5b1430001bcd15a2eaa3a1f2a2d4b10f4208cb5d8357f7f031394ca0ae7de48006ad2d9b2abeac9d29d3043f621be8790806a16a</t>
  </si>
  <si>
    <t>www.reparations.gov.lk:
https://web.archive.org/web/20251003085802/https://www.reparations.gov.lk/web/images/2021/Policy_and_Guidelines_final.pdf?TSPD_101_R0=08b8f4acecab200079d5b0f0320466e05abf485d3c515f20c1b0b4e9050425bff491871c522a27920864c78e5b1430001bcd15a2eaa3a1f2a2d4b10f4208cb5d8357f7f031394ca0ae7de48006ad2d9b2abeac9d29d3043f621be8790806a16a
[03 October 2025]</t>
  </si>
  <si>
    <t>According to the Transitional Justice Evaluation Tools, the coest estimate is: 900 million Sri Lankan Rupees (2,500,710 USD); and the beneficiaries count is: 15212.</t>
  </si>
  <si>
    <t>reparations, reconciliation, lankans, lanka, sri, grievances, policies, relief, provide, supporting</t>
  </si>
  <si>
    <t>Reparations for the Easter Sunday Attack (The Easter Attack Victim Fund)</t>
  </si>
  <si>
    <t>Multiple individuals</t>
  </si>
  <si>
    <t xml:space="preserve">Victims of the Easter Attack of 2019 </t>
  </si>
  <si>
    <t>Nine suicide bombers belonging to local Islamist group National Thawheed Jamaat, which is linked to ISIS, carried out a series of deadly blasts at three Catholic churches and three luxury hotels on April 21, 2019, killing 279 people, including foreigners, and injuring more than 500 people.
(source: https://www.ucanews.com/news/sri-lankan-court-firm-on-compensation-to-easter-attack-victims/106561)</t>
  </si>
  <si>
    <t>All respondents have paid the full amounts ordered by the Supreme Court as of October 2024.
Then, 99.78% of the funds collected was disbursed by May 2025.</t>
  </si>
  <si>
    <t>https://www.sundaytimes.lk/241027/news/office-of-reparations-unveils-plans-for-easter-attack-victim-fund-575310.html,
https://island.lk/highest-amount-of-compensation-ever-paid-in-fr-case-those-affected-by-easter-sunday-carnage-receive-rs-310-million/</t>
  </si>
  <si>
    <t>27 October 2024: Chairperson Dhara Wijayatilake says all respondents have now paid the full amounts ordered by the Supreme Court, into the Fund. […] In January 2023, in its judgment on the fundamental rights actions filed by Petitioners in relation to the Easter Attack of 2019, the Supreme Court directed that fines be paid by the respondents and directed the OR to establish a Fund to which these monies should be paid. The Court also directed the OR to formulate a scheme to make payments out of the Fund. Since the establishment of The Easter Attack Victim Fund by the OR in January, 2023 in line with the SC’s judgement, a total of Rs 311 million in compensation has been deposited in the Fund in installments by the respondents as ordered by the SC. The respondents were former President Maithripala Sirisena (Rs. 100 million), former Inspector General of Police Pujith Jayasundara (Rs. 75 million), former Director of the State Intelligence Service Nilantha Jayawardena, former Secretary to the Ministry of Defence Hemasiri Fernando (Rs. 50 million), former Chief of National Intelligence Sisira Mendis (Rs. 10 million) and the State (Rs. 1 million). As at October 25, 2024, more than Rs. 62 million has been disbursed as compensation from the Fund. The majority of the fines started to come in during July, August and September this year, Ms Wijayatilake noted. Having the full picture of the amount that can be disbursed, the OR has accordingly identified five categories of victims to whom relief will be provided. (The Sunday Times)
26 May 2025: The SC was told by May 20, 2025 a total amount of Rs. 310,418,586.20/- had been disbursed to all the victims (99.78% of total funds collected). According to the Office of reparations, altogether 661 beneficiaries had been paid by the Fund. (The Island)</t>
  </si>
  <si>
    <t>The “Total Amount Paid” reflects cumulative disbursements reported as of 2025. As the database records payments up to 2024, this figure is treated as a 2024 value for conversion purposes, acknowledging that it is an approximation rather than an exact match in timing.</t>
  </si>
  <si>
    <t>reparations, easter, payments, fund, compensation, victims, funds, disbursed, judgment, paid</t>
  </si>
  <si>
    <t>The Darfur Peace Agreement (DPA/Abuja Agreement) of 2006</t>
  </si>
  <si>
    <t>Government of Sudan</t>
  </si>
  <si>
    <t>Sudan</t>
  </si>
  <si>
    <t>SDN</t>
  </si>
  <si>
    <t>Victims of the Conflict in Darfur (Sudan)</t>
  </si>
  <si>
    <t>The war in Darfur erupted in 2002-03 when the Sudan Liberation Movement/Army (SLM/A) and Justice and Equality Movement (JEM) emerged to fight the Government of Sudan (GoS). The conflict is rooted in ongoing political, economic and cultural marginalisation since the colonial-era absorption of the Western Territories into Anglo-Egyptian Sudan. Violent conflict in the region had been steadily increasing since the 1980s when drought intensified the competition for scarce land and water resources. Amidst increased resource-competition, 'Arab' and 'African' identities were invoked and used to incite violence. Add to this extensive interference in Darfur by Libya and Chad, and with the availability of modern weaponry to supersede traditional forms of conflict resolution, the combination proved fatal.
(source: https://www.c-r.org/accord/sudan/darfur-peace-agreement-expectations-unfulfilled)
The Darfur Peace Agreement, signed May 5, 2006, by the largest rebel group, the Sudan Liberation Movement, led by Mini Menawi, and the Sudanese Government, is an important achievement for peace in Darfur. It is a fair agreement that addresses the long-standing marginalization of Darfur, and charts a path for lasting peace for the innocent victims of the crisis.
(source: https://2001-2009.state.gov/r/pa/prs/ps/2006/65972.htm)</t>
  </si>
  <si>
    <t>Peace Agreements Database (ID: 647)</t>
  </si>
  <si>
    <t>Darfur Peace Agreement</t>
  </si>
  <si>
    <t>https://2001-2009.state.gov/r/pa/prs/ps/2006/65972.htm,
https://www.c-r.org/accord/sudan/darfur-peace-agreement-expectations-unfulfilled</t>
  </si>
  <si>
    <t>2001-2009.state.gov: http://web.archive.org/web/20250823032217/https://2001-2009.state.gov/r/pa/prs/ps/2006/65972.htm [23 August 2025]
www.c-r.org: http://web.archive.org/web/20250915175618/https://www.c-r.org/accord/sudan/darfur-peace-agreement-expectations-unfulfilled [15 September 2025]</t>
  </si>
  <si>
    <t>8 May 2006: The Darfur Peace Agreement, signed May 5, 2006, by the largest rebel group, the Sudan Liberation Movement, led by Mini Menawi, and the Sudanese Government, is an important achievement for peace in Darfur. It is a fair agreement that addresses the long-standing marginalization of Darfur, and charts a path for lasting peace for the innocent victims of the crisis. The accord commits the international community to holding a donors’ conference to pledge additional funds for Darfur, and invites the TDRA Chairperson to present to that conference a summary of needs and priorities. The GNU is mandated to contribute $300 million initially and then $200 million/year for the next two years to rebuild the region. A Joint Assessment Mission – modeled on the one done for Southern reconstruction after the Comprehensive (North-South) Peace Agreement – will be established to determine the specific reconstruction and development needs of Darfur. Buffer zones are to be established around camps for internally displaced persons and humanitarian assistance corridors, and a commission has been created to work with the United Nations to help refugees and displaced persons return to their homes. The agreement provides that the Sudanese Government will provide $30 million in compensation to victims of the conflict. (U.S. Department of State)
December 2006:
Given the lack of oil or mineral assets within Darfur, the major wealth-sharing provisions are: [...] A Darfur Reconstruction and Development Fund (DRDF), to which the GNU will contribute US$300 million for 2006 and US$200 million for each of 2007 and 2008. The agreement also provides for a Compensation Commission, with membership nominated by the parties, to define mechanisms for reviewing and enforcing the Commissions' decisions. The GNU has agreed to provide a first down-payment of US$30 million. Finally, a commission will have to be established to work with the UN in assisting refugees and displaced persons to return to their homes.
(Conciliation Resources)
Peace Agreements Database (PA-X), Darfur Peace Agreement:
Page 46, CHAPTER TWO: WEALTH SHARING, ARTICLE 21 213. The GoS has indicated that it will put US $ 30,000,000 (Thirty Million U.S. Dollars) as an immediate contribution to the compensation fund. [Pages 103-105 contain table detailing URGENT PROGRAMS FOR INTERNALLY DISPLACED PERSONS (IDPs), REFUGEES AND OTHER WAR-AFFECTED PERSONS, AND COMPENSATION FOR WAR-AFFECTED PERSONS.  [see more in the PA-X Database]</t>
  </si>
  <si>
    <t>darfur, sudan, humanitarian, peace, sudanese, war, conflict, libya, liberation, violence</t>
  </si>
  <si>
    <t>The Doha Document for Peace in Darfur (DDPD) of 2011</t>
  </si>
  <si>
    <t>IDPs, refugees and any other victims of the conflict in Darfur (Sudan)</t>
  </si>
  <si>
    <t>The war in Darfur erupted in 2002-03 when the Sudan Liberation Movement/Army (SLM/A) and Justice and Equality Movement (JEM) emerged to fight the Government of Sudan (GoS). The conflict is rooted in ongoing political, economic and cultural marginalisation since the colonial-era absorption of the Western Territories into Anglo-Egyptian Sudan. Violent conflict in the region had been steadily increasing since the 1980s when drought intensified the competition for scarce land and water resources. Amidst increased resource-competition, 'Arab' and 'African' identities were invoked and used to incite violence. Add to this extensive interference in Darfur by Libya and Chad, and with the availability of modern weaponry to supersede traditional forms of conflict resolution, the combination proved fatal.
(source: https://www.c-r.org/accord/sudan/darfur-peace-agreement-expectations-unfulfilled)
The Doha Document for Peace in Darfur (DDPD) was finalized at the All Darfur Stakeholders Conference in May 2011, in Doha, Qatar. On 14 July, the Government of Sudan and the Liberation and Justice Movement signed a protocol agreement committing themselves to the Document, which is now the framework for the comprehensive peace process in Darfur. 
(source: https://unsmil.unmissions.org/en/unamid/unamid-doha-document-peace-darfur)</t>
  </si>
  <si>
    <t>Peace Agreements Database (ID: 853)</t>
  </si>
  <si>
    <t>Doha Document for Peace in Darfur (DDPD)</t>
  </si>
  <si>
    <t>https://unamid.unmissions.org/sites/default/files/ddpd_english.pdf</t>
  </si>
  <si>
    <t>unamid.unmissions.org:
https://web.archive.org/web/20250715193024/https://unamid.unmissions.org/sites/default/files/ddpd_english.pdf [15 July 2025]</t>
  </si>
  <si>
    <t>Peace Agreements Database (PA-X):
Page 46, CHAPTER IV, ARTICLE 43: COMPENSATION FOR HARM AND LOSSES 225. All victims of conflict, including IDPs and refugees, shall have the right to financial compensation for the harm and losses they have incurred as a result of the conflict, including loss of lives, physical injury, mental an emotional suffering and economic losses. Page 49, CHAPTER IV, ARTICLE 50 249. The Parties agree that the necessary conditions for return of IDPs and refugees are the following: ... iv. The restitution of property to IDPs and refugees; v. Assistance in erecting fixed shelters in the return villages for IDPs and refugees and repair of or compensation for the damaged properties; ... vii. The provision of the sum of US$ 250 (US dollars two hundred and fifty) per family as part of the return package to help meet IDPs and refugees’ immediate needs upon return. This package is intended to enable them to restart their livelihood and commence effective reintegration. The package shall also include access to potable water, food and shelter materials, as well as agricultural inputs for both crops and livestock such as seeds, seedlings, veterinary services, tools and essential equipment; ... ix. Rehabilitation of damaged agricultural land; Page 50, CHAPTER IV, ARTICLE 51: VOLUNTARY RETURN AND RESETTLEMENT COMMISSION 252. A Voluntary Return and Resettlement Commission shall be established as a matter of priority. It shall comprise: ... ii. A Property Claims and Restitution Committee (PCRC); iii. A Compensation/Jabr Al-Darar Fund (JAF). Page 52, CHAPTER IV, ARTICLE 52: HOUSING, LAND AND PROPERTY RESTITUTION 260. IDPs and refugees have the right to have their houses, land and properties which they were unlawfully deprived of, restored to them. In the event that recovery of such property is not possible, they shall be entitled to compensation, in accordance with international principles. Page 52, CHAPTER IV, ARTICLE 52 261. This right applies to IDPs and refugees whether they choose to return to their place of origin or to resettle elsewhere. Page 52, CHAPTER IV, ARTICLE 52 263. The PCRC shall: i. Receive property restitution claims from IDPs, refugees and other conflict affected victims in Darfur; ii. Determine, upon receipt of a claim, the lawful owner of the property with respect to which the claim is made; iii. If the claimant is the lawful owner, order the restitution of the property to him or her; iv. Where this is not possible, order the award of compensation to him/her; Page 53, CHAPTER IV, ARTICLE 53: COMPENSATION/JABRAL-DARAR FUND 270. The Compensation/Jabr Al- Darar Fund shall be established for payment of compensation awards ordered by: i. the PCRC in accordance with Article 52; ii. the Justice Committee in accordance with Article 58. Page 53, CHAPTER IV, ARTICLE 54: FUNDING 273. The initial amount of the JAF for the settlement of compensation for any loss and/or damage suffered by IDPs, refugees and any other victims of the conflict in Darfur shall be US$ 300,000,000 (US dollars three hundred million), out of which the GoS undertakes to pay US$ 200,000,000 (US dollars two hundred million), and the balance of US$ 100,000,000 (US dollars one hundred million) will be sourced from donors. Page 56, CHAPTER V, ARTICLE 55 288. The importance of drawing upon African and international experiences and best practices with respect to accountability, reconciliation and truth seeking in addressing what occurred in Darfur and the use of the mechanisms of justice, compensation and reconciliation for the settlement of the conflict. Page 57, CHAPTER V, ARTICLE 56 298. The GoS undertakes to provide technical assistance and support to enhance coordination between the courts and the commissions or the special committees pertaining to blood money (dia) or compensation, and other means of reconciliation with a view to creating the required cohesion, thereby increasing their capacity, and avoiding inconsistencies and overlaps. Page 57, CHAPTER V, ARTICLE 57: COMPENSATION/JABR AL-DARAR 301. All victims, including IDPs and refugees, who suffered loss or damage, including loss of life, physical injury, mental harm and emotional suffering, because of the conflict in Darfur, have the right to prompt and adequate compensation/Jabr Al-Darar in accordance with international experiences and best practices in similar situations. Page 57, CHAPTER V, ARTICLE 57: COMPENSATION/JABR AL-DARAR 302. Compensation/Jabr Al-Darar for loss of housing, land and property shall be addressed through the procedures set out in Article 53. Page 58, CHAPTER V, ARTICLE 57 303. Compensation/Jabr Al-Darar for other forms of loss and damage shall be addressed in accordance with the procedures set out in Article 58. Page 58, CHAPTER V, ARTICLE 57 304. Compensation/Jabr Al-Darar shall be paid in one instalment whenever possible. Otherwise, it shall be paid in two instalments provided that the whole period for the settlement of such compensation/Jabr Al-Darar, does not exceed two years from the date of assessment of the damage. Page 59, CHAPTER V, ARTICLE 58: TRUTH AND RECONCILIATION 311. Without prejudice to the jurisdiction of the Sudanese courts, including the Special Court for Darfur, an independent Truth, Justice and Reconciliation Commission (TJRC) shall be established. The TJRC shall be composed of the following two Committees: i. The Justice Committee; and ii. The Truth and Reconciliation Committee. Page 59, CHAPTER V, ARTICLE 58 - JUSTICE COMMITTEE 312. The Justice Committee shall be responsible for receiving, examining and assessing claims, and determining the nature of compensation/Jabr Al-Darar as well as the amount to be paid to the victims as appropriate. The victims shall be given a period of 10 years for filing claims before the Justice Committee, starting from the initial date fixed by the Committee for submission of individual claims. Page 59, CHAPTER V, ARTICLE 58 314. The Justice Committee shall adopt its rules of procedure and modus operandi. Its procedures shall be simple and accessible. Page 59, CHAPTER V, ARTICLE 58 315. Technical and administrative committees shall assist the Justice Committee in determining the nature and the extent of the individual damages and losses. These committees shall be composed of, among others, specialized physicians, lawyers, Native Administration, the elders of the camps, representatives of the victims and other relevant experts. These committees shall work in close collaboration with the local government. The GoS undertakes to bear the expenses of their work. Page 88, CHAPTER VII, ARTICLE 76 473. Primarily, the DIDC will, through popular consultation and dialogue seek to consolidate peace in Darfur, promote confidence-building and encourage reconciliation as well as unity among the people of Darfur and Sudan in general. Specifically, the DIDC will aim at: ... vi. Raising awareness and mobilizing support for all measures taken regarding civilian arms control, the promotion of women, youth development, the safe return of IDPs and refugees and their reintegration into the society, property restitution and compensation, as provided for in this Agreement;</t>
  </si>
  <si>
    <t>darfur, sudan, doha, libya, qatar, peace, arab, sudanese, refugees, conflict</t>
  </si>
  <si>
    <t>Sudan Pays Compensation to US Terror Victims and Families</t>
  </si>
  <si>
    <t xml:space="preserve">Survivors and victims’ families from past terrorist attacks in the United States </t>
  </si>
  <si>
    <t>Sudan has paid $335m to compensate victims of past attacks against the United States as part of an agreement that removed the struggling country from Washington’s list of “state sponsors of terrorism” – also known as its “terror blacklist” – Secretary of State Antony Blinken said. Khartoum’s transitional, civilian-backed government provided the funds for survivors and victims’ families from attacks including the 1998 bombings of the US embassies in Kenya and Tanzania by al-Qaeda, which was backed by Sudan’s then-leader, Omar al-Bashir. The compensation will also cover the 2000 attack by al-Qaeda on the USS Cole off Yemen’s coast and the killing of US development worker John Granville in Khartoum in 2008.
(source: https://www.aljazeera.com/news/2021/4/1/sudan-pays-355-mn-to-us-in-deal-including-terror-list-removal)</t>
  </si>
  <si>
    <t>Al Jazeera</t>
  </si>
  <si>
    <t>https://www.aljazeera.com/news/2020/10/19/us-to-remove-sudan-from-state-terrorism-sponsors-list-trump,
https://www.aljazeera.com/news/2021/4/1/sudan-pays-355-mn-to-us-in-deal-including-terror-list-removal</t>
  </si>
  <si>
    <t>www.aljazeera.com: http://web.archive.org/web/20250423231846/https://www.aljazeera.com/news/2020/10/19/us-to-remove-sudan-from-state-terrorism-sponsors-list-trump [23 April 2025]
www.aljazeera.com: http://web.archive.org/web/20250622124746/https://www.aljazeera.com/news/2021/4/1/sudan-pays-355-mn-to-us-in-deal-including-terror-list-removal [22 June 2025]</t>
  </si>
  <si>
    <t>19 October 2020: Trump, who is seeking re-election next month, said in a Twitter post on Monday Sudan had agreed to pay $335m to “US terror victims and families”. (Al Jazeera)
1 April 2021: Sudan has paid $335m to compensate victims of past attacks against the United States as part of an agreement that removed the struggling country from Washington’s list of “state sponsors of terrorism” – also known as its “terror blacklist” – Secretary of State Antony Blinken said. (Al Jazeera)</t>
  </si>
  <si>
    <t>sudan, khartoum, terrorism, terrorist, qaeda, terror, yemen, bombings, victims, compensation</t>
  </si>
  <si>
    <t>Compensation to the Victims of the Moiwana Massacre in Suriname</t>
  </si>
  <si>
    <t>Government of Suriname</t>
  </si>
  <si>
    <t>Suriname</t>
  </si>
  <si>
    <t>SUR</t>
  </si>
  <si>
    <t>Victims and relatives of the victims of the Moiwana massacre in Suriname</t>
  </si>
  <si>
    <t>As part of an ongoing operation against a group referred to as the Jungle Commando, which was an armed rebellion against the military government of then president Desi Bouterse, a unit of the Suriname army entered the village of Moiwana on the morning of November 29, 1986. At least 39 unarmed civilians were subsequently massacred by the soldiers. In a ruling dated July 15, 2005, the Inter-American Court of Human Rights ordered the present government of Suriname to issue a public apology recognising its international responsibility, pay compensation to the victims, and institute criminal investigations and prosecutions of those responsible for the massacre.
(source: Political Apologies and Reparations Archive)</t>
  </si>
  <si>
    <t>Political Apologies and Reparations Archive (2007.0024.01a)</t>
  </si>
  <si>
    <t>http://www.caribbeannewsnow.com/caribnet/cgi-script/csArticles/articles/000023/002390.htm (NOT WORKING),
https://mg.co.za/article/2006-07-16-suriname-apologises-for-1986-massacre/</t>
  </si>
  <si>
    <t>Political Apologies and Reparations Archive:
President Venetian apologised to the people of Suriname, the victims of the massacre and their families and the international community for the attack on the village of Moiwana. He also announced compensation to the victims and their relatives in the amount of US$13,000 each and pledged to carry out the criminal investigations in accordance with the ruling of the Inter-American Court of Human Rights.
18 July 2006:
MOENGO, Suriname: In the presence of hundreds of surviving relatives, Suriname's president on Saturday July 15 formally apologized for the slaying of at least 39 unarmed civilians by an army unit. The ceremony took place in a soccer stadium, in the former bauxite mining town of Moengo, 100 kilometers east of the capital, Paramaribo. The brutal killings were carried out on November 29, 1986. The official apology to the relatives, the whole nation and the international community, is part of a July 15, 2005 ruling of the Inter-American Court of Human Rights (LACHR). In this judgment Suriname was ordered to cary out a public ceremony, whereby Suriname recognizes its international responsibility and issues an apology. It was also ordered to pay compensation for material and moral damages to 130 Moiwana community members and surviving relatives of the victims. Each affected person was granted a sum of US$13,000. (Caribbean Net News)
16 July 2006: At a ceremony in a soccer stadium, Suriname’s president on Saturday apologised for an army massacre of at least 39 unarmed civilians carried out by the military regime in 1986. Last year the Inter-American Court of Human Rights, linked to the Organisation of American States, ordered Suriname to make the apology and pay nearly $3-million in compensation to 130 survivors of the attack, known as the Moiwana massacre. [...] Each of the 130 survivors has been paid $13 000 as part of the court ordered compensation, Justice Minister Chandrikapersad Santokhi said on Saturday. Suriname was also ordered to set up a $1,2-million development fund for the region and to provide assistance for refugees returning to the area. (Mail &amp; Guardian)</t>
  </si>
  <si>
    <t>The following source URL is no longer accessible: http://www.caribbeannewsnow.com/caribnet/cgi-script/csArticles/articles/000023/002390.htm. A snapshot of the original content is available through the Political Apologies and Reparations Archive (2007.0024.01a). See attached snapshots.</t>
  </si>
  <si>
    <t>Suriname, compensation, apology, investigation, massacre, Moiwana, Venetiaan, Bouterse, Inter-American Court of Human Rights, victims, moiwana, massacred, killings, reparations, civilians, compensation, regime</t>
  </si>
  <si>
    <t>Swedish Act (1999:332) on Compensation for Sterilized Persons in Certain Cases</t>
  </si>
  <si>
    <t>Government of Sweden</t>
  </si>
  <si>
    <t>Sweden</t>
  </si>
  <si>
    <t>SWE</t>
  </si>
  <si>
    <t>Surviving victims of the government’s 1934-1975 forced sterilization program</t>
  </si>
  <si>
    <t>Sweden set up a eugenics plan, based on the science of racial biology, between 1934 and 1976 under which it sterilized up to 63,000 mostly women.
(source: https://www.aa.com.tr/en/europe/why-did-sweden-sterilize-more-than-60-000-people-against-their-will/3160534)</t>
  </si>
  <si>
    <t>SEK</t>
  </si>
  <si>
    <t>The 1999 Act on Compensation to Sterilized Persons in Certain Cases [Act (1999:332)] (retrieved on: www.riksdagen.se)</t>
  </si>
  <si>
    <t>https://www.theguardian.com/world/1999/mar/06/stephenbates,
https://www.deseret.com/1999/11/2/19473563/sweden-pays-sterilization-victims/,
https://www.loc.gov/item/global-legal-monitor/2018-05-10/sweden-law-providing-compensation-to-sterilized-or-infertile-gender-change-surgery-recipients-takes-effect/,
https://www.riksdagen.se/sv/dokument-och-lagar/dokument/svensk-forfattningssamling/lag-1999332-om-ersattning-till-steriliserade-i_sfs-1999-332/,
https://www.latimes.com/archives/la-xpm-1999-nov-13-mn-33058-story.html,
https://www.regjeringen.no/globalassets/upload/fad/vedlegg/sami/nasjmin/rapport_tvangsster_romani_en.pdf</t>
  </si>
  <si>
    <t>www.theguardian.com:
https://web.archive.org/web/20250925122105/https://www.theguardian.com/world/1999/mar/06/stephenbates [25 September 2025]
www.deseret.com:
https://web.archive.org/web/20251003091132/https://www.deseret.com/1999/11/2/19473563/sweden-pays-sterilization-victims/ [03 October 2025]
www.loc.gov: http://web.archive.org/web/20250202030144/https://www.loc.gov/item/global-legal-monitor/2018-05-10/sweden-law-providing-compensation-to-sterilized-or-infertile-gender-change-surgery-recipients-takes-effect/ [02 February 2025]
www.riksdagen.se: http://web.archive.org/web/20250128212154/https://www.riksdagen.se/sv/dokument-och-lagar/dokument/svensk-forfattningssamling/lag-1999332-om-ersattning-till-steriliserade-i_sfs-1999-332/ [28 January 2025]
www.latimes.com: http://web.archive.org/web/20240924211846/https://www.latimes.com/archives/la-xpm-1999-nov-13-mn-33058-story.html [24 September 2024]
www.regjeringen.no:
https://web.archive.org/web/20250223090300/https://www.regjeringen.no/globalassets/upload/fad/vedlegg/sami/nasjmin/rapport_tvangsster_romani_en.pdf [23 February 2025]</t>
  </si>
  <si>
    <t>5 March, 1999: The Social Affairs Ministry announces that it will pay up to £13,430 to each surviving victim of the government’s 1934-1975 forced sterilization program, based on a report published by an official commission in January 1999. The payments were made through 2002. (The Guardian)
27 May, 1999 (www.riksdagen.se): The 1999 Act on Compensation to Sterilized Persons in Certain Cases offered compensation to persons who had been sterilized between 1936 and 1976 and who applied for compensation prior to December 31, 2002. (3 &amp; 6 §§ Lagen om ersättning till steriliserade i vissa fall.) It provided for compensation of a one-time payment of SEK175,000 (which roughly equals the compensation now given to persons sterilized because of gender change) (see Rodney Edvinsson, Historical Currency Converter (last updated Jan. 10, 2016)). (www.loc.gov)
2 November, 1999: Leif Persson, vice chairman of the Swedish Sterilization Compensation board, said 178 people had so far received 175,000 crowns ($21,250) each. (Deseret News)
13 November, 1999: Checks for more than $22,000 each have been mailed to about 200 Swedes who were forcibly sterilized in past decades after authorities deemed them socially undesirable and unfit to bear children. But the start of compensation in no way signals closure in one of the most devastating scandals to shake modern Sweden. (Los Angelese Times)
According to the Transitional Justice Evaluation Tools, the cost estimate is 280 million SEK.
The Transitional Justice Data Base:
The Social Affairs Ministry announces that it will pay reparations to surviving victims of the government’s 1934-1975 forced sterilization program, based on a report published by an official commission in January 1999. The payments were made through 2002.
Compensation to Romani/Taters subjected to coercive sterilization (2003, pag. 28):
During the period from July 1999 to the end of 2002, Sweden had a special Act concerning compensation to persons subjected to sterilization during the period 1934– 1975. Of 2113 claims received, 1564 persons were granted compensation. A total of SEK 280 million was paid out. The arrangement is currently under reconsideration.</t>
  </si>
  <si>
    <t>NOTE ON CONVERSION: The total compensation disbursed (280 million SEK) is reported as an accumulated figure paid as of 2002. We assume this figure represents the total value of all payments over the entire period. For comparison purposes, we treat it as a 2002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</si>
  <si>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sterilization, sterilize, sterilized, eugenics, steriliserade, sweden, compensation, reparations, victims, swedes</t>
  </si>
  <si>
    <t>Swedish Act (2018: 162) on State Compensation in Certain Cases to Persons Who Have Had Their Changed Gender Verified</t>
  </si>
  <si>
    <t>Persons who underwent gender-change surgery and were either simultaneously sterilized or otherwise proved they were infertile between July 1, 1972, and June 30, 2013.</t>
  </si>
  <si>
    <t>Sweden is now the first country in the world to offer compensation to transgender people who were forced to undergo sterilization in order to be allowed to change their sex. Up until 2013, Swedish citizens had to accept sterilization before sex changes could be officially recognized by the state.
(source: https://www.liberties.eu/en/stories/historic-sweden-judgment-for-sterilized-transsexuals-sn-21723/40342)</t>
  </si>
  <si>
    <t>Transitional Justice Evaluation Tools (ID: 127)</t>
  </si>
  <si>
    <t>Lag (2018:162) om statlig ersättning till personer som har fått ändrad könstillhörighet fastställd i vissa fall</t>
  </si>
  <si>
    <t>https://www.riksdagen.se/sv/dokument-och-lagar/dokument/svensk-forfattningssamling/lag-2018162-om-statlig-ersattning-till-personer_sfs-2018-162/,
https://www.liberties.eu/en/stories/historic-sweden-judgment-for-sterilized-transsexuals-sn-21723/40342,
https://mbcpathway.com/2018/04/05/sweden-1st-to-offer-payouts-to-sterilized-transsexuals/</t>
  </si>
  <si>
    <t>www.riksdagen.se: http://web.archive.org/web/20250120181001/https://www.riksdagen.se/sv/dokument-och-lagar/dokument/svensk-forfattningssamling/lag-2018162-om-statlig-ersattning-till-personer_sfs-2018-162/ [20 January 2025]
www.liberties.eu: http://web.archive.org/web/20230608090356/https://www.liberties.eu/en/stories/historic-sweden-judgment-for-sterilized-transsexuals-sn-21723/40342 [08 June 2023]
mbcpathway.com: http://web.archive.org/web/20250617021134/https://mbcpathway.com/2018/04/05/sweden-1st-to-offer-payouts-to-sterilized-transsexuals/ [17 June 2025]</t>
  </si>
  <si>
    <t>The Transitional Justice Evaluation Tools:
The cost estimate is: 225,000 Swedish krona (SEK) per person.
The Swedish government has chosen not to call the payment “damages” but refers to it as an ex gratia payment—a payment made despite no legal duty to do so. (2017/18:SoU19 at 6.)
26 March 2018: Sweden is now the first country in the world to offer compensation to transgender people who were forced to undergo sterilization in order to be allowed to change their sex. Up until 2013, Swedish citizens had to accept sterilization before sex changes could be officially recognized by the state. Five years ago, a Stockholm court ruled that forced sterilizations was unconstitutional and violated European human rights law. The new law on compensation will come into force on 1 May. Some 600-700 people will be eligible and receive 225,000 kronor (22,000 euros) each. (Liberties)
5 April 2018: About 800 Swedes who were sterilized under the eugenics requirement, Reuters estimated in 2017 after the law was introduced, are expected to be eligible to apply for the compensation beginning May 1 and extending until an application deadline of May, 2020. In the nation of 10 million people, the law establishes payouts of 225,000 Swedish Krona, about $27,300 at today’s exchange. The Riksdag also amended Sweden’s Public Access to Information and Secrecy Act to keep secret for up to 70 years all applications for compensation. (The Pathway)</t>
  </si>
  <si>
    <t>The total pledged amount was estimated by multiplying the individual compensation per person (SEK 225,000) by the number of eligible beneficiaries (800).</t>
  </si>
  <si>
    <t>swedish, sweden, swedes, stockholm, transgender, compensation, sterilization, sterilizations, sterilized, infertile</t>
  </si>
  <si>
    <t>Swiss Banks Settlement Fund for Holocaust Victims</t>
  </si>
  <si>
    <t>Swiss Banks (Union Bank of Switzerland and Credit Suisse)</t>
  </si>
  <si>
    <t>Switzerland</t>
  </si>
  <si>
    <t>CHE</t>
  </si>
  <si>
    <t>Holocaust victims</t>
  </si>
  <si>
    <t>European Jews deposited funds in Swiss banks before and during the Nazi era. Many of these Jews were murdered. The Swiss banks denied their deposits to their heirs on the grounds that the heirs could not produce proper documentation, e.g. death certificates of the original depositors.
(source: Political Apologies and Reparations Archive, 2005.0229.01)
Beginning in 1996, a series of class action lawsuits were filed by Holocaust survivors and the families of Holocaust victims in several United States federal courts against certain Swiss banks and other Swiss entities for collaborating with and aiding the Nazi regime by knowingly laundering and concealing the assets of Holocaust victims. Fearing persecution from the Nazi regime, many Jewish people deposited money and assets with private Swiss banks for safekeeping. However, after the Second World War ended, many destitute Holocaust survivors were ignored and turned away by Swiss banks when they attempted to access their family's bank account. Private banks notoriously used bureaucratic barriers to impede survivors from accessing their deceased families' bank accounts, such as asking the survivor to produce a death certificate of their deceased parent, even though the Nazis never issued such documents. This made it next to impossible for survivors to reclaim their families' wealth, which lay dormant in Swiss bank accounts for decades.
(source: Political Apologies and Reparations Archive, 2010.0010.01)</t>
  </si>
  <si>
    <t>U.S. District Court - Eastern District of New York;
World Jewish Congress</t>
  </si>
  <si>
    <t>Holocaust Victims Assets Litigation (Case No. 00-881-MJR)</t>
  </si>
  <si>
    <t>http://www.swissbankclaims.com/Documents/Doc_9_Settlement.pdf,
https://www.worldjewishcongress.org/en/news/report-swiss-banks-holocaust-fund-paid-out-1-24-billion-dollars,
https://www.swissbankclaims.com/Overview.aspx.html,
https://www.swissbankclaims.com/New%20Docs/Distribution%20Stats.pdf,
https://www.iom.int/sites/g/files/tmzbdl2616/files/2018-07/Holocaust-Victims-Assets-Programme-Swiss-Banks-HVAP_0.pdf,
https://www.claimscon.org/about/history/closed-programs/swiss-banks-settlement/</t>
  </si>
  <si>
    <t>Political Apologies and Reparations Archive (2005.0229.01):
Three Swiss banks have announced that they will be contributing $71 million to a Holocaust fund for victims. Switzerland has been accused of withholding up to $7 billion in World War II-era bank accounts of Jewish depositors.
Political Apologies and Reparations Archive (2010.0010.01):
All of the private litigation cases against Swiss banks were consolidated before the Honorable Edward R. Korman, Judge of the United States District Court for the Eastern District of New York. On August 12, 1998, the Swiss banks came to an agreement with the plaintiffs and settled the class action suit in the amount of $1.25 billion (US $). In exchange for the settlement amount paid by the Swiss banks, the plaintiffs and class members agreed to forever discharge Swiss banks, the Swiss government and other Swiss entities from any claims relating to the Holocaust and World War II. The Settlement Agreement designated five categories of victims eligible for compensation: Jewish, Roma, Jehovah's Witnesses, disabled and homosexual persons persecuted or targeted by the Nazi regime. It also created five classes of claimants, including the Deposited Assets Class, Slave Labor Class I, the Refugee Class, Slave Labor Class II, and the Looted Assets Class. A portion of the $1.25 billion was set aside for each different claimant type. For example, the lion's share of the funds ($800 million) was allocated for claimants who were able to establish a right to a Swiss bank account. The enduring legal legacy of the Swiss bank litigation is its impact on American law. This class action suit demonstrated that the U.S. legal system is able to process lawsuits filed by foreign plaintiffs against foreign corporations, but also where the activities in question happened on foreign soil. The Swiss bank settlement is currently cited by legal advocacy groups seeking to turn multinationals into good global citizens.
15 July 2013: Holocaust survivors and victims' heirs have received $1.24 billion from a Swiss fund set up after a scandal over dormant accounts of Jews killed in World War II, a magazine said Monday. The Swiss Jewish weekly 'Tachles' said the figure was contained in a report by New York judge Edward Korman, who oversees the management of the fund. Korman's report summed up operations since a landmark 1998 deal between the World Jewish Congress and Swiss banks. The banks had been accused of keeping money owned by Jews who had hidden funds in secret accounts in neutral Switzerland but then perished in the Holocaust, and of having given heirs the cold shoulder when they tried to track down the money. Under the 1998 accord which was negotiated by the World Jewish Congress, the banks paid a US$ 1.25 billion settlement. Payouts were then overseen by Korman and the Swiss-based Claims Resolution Tribunal, which wrapped up its operations in 2012. Within the fund, a total of US$ 800 million were destined for account holders and their heirs. According to Korman's report, 'Tachles' said, US$ 726 million have been paid out since then, with US $426 million of that related to claims on 4,600 dormant accounts. In addition, the fund gave a flat-rate sum ofUS  $5,000 each to 12,300 claimants whose cases were deemed "plausible but undocumented". Another goal of the settlement was to provide money to survivors of Nazi German persecution, whether or not they had held accounts in Switzerland. All told, 457,000 Holocaust survivors and heirs have therefore received money from the fund. Among them were 199,000 people who were pressed into forced labor by Nazi Germany, and who received a share of US$ 288 million. In addition, 4,100 Jewish refugees who were turned back at Switzerland's borders during World War II received a total of US$ 11.6 million. Korman also authorized the payment of a total of US$ 205 million to 236,000 needy victims of Nazi Germany's occupation, notably in the former Soviet Union. (World Jewish Congress)</t>
  </si>
  <si>
    <t>NOTE ON CONVERSION: The total compensation disbursed ($1,288,097,978) is reported as an accumulated figure paid as of 2020. We assume this figure represents the total value of all payments over the entire period. For comparison purposes, we treat it as a 2020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More information here: https://www.claimscon.org/about/history/closed-programs/swiss-banks-settlement/
NOTE:
&gt; The two entries from the Political Apologies Database were merged together as the $71 million above mentioned was part of the larger settlement totaling $1.25 billion (according to Google)
&gt; Data on Amount Paid and Beneficiaries come from official statistics available at: https://www.swissbankclaims.com/New%20Docs/Distribution%20Stats.pdf
&gt; The original Total Amount Pledged is: US$ 1.25 billion</t>
  </si>
  <si>
    <t>Holocaust, Jew, Jewish,Roma, Jehovah's Witness, disabled, homosexual, persecution, Death camp, slave, Nazi, Swiss bank, Switzerland, Class Action lawsuit, Litigation, Second World War, swissbankclaims, holocaust, reparations, jews, swiss, nazis, banks, jewish, bank, depositors</t>
  </si>
  <si>
    <t>Compensation to Former "Contract Children"</t>
  </si>
  <si>
    <t>Government of Switzerland</t>
  </si>
  <si>
    <t>Surviving former "Contract Children"</t>
  </si>
  <si>
    <t>From the early 1800s until the 1960s, hundreds of thousands of Swiss children were sent to work on farms. They were known as Verdingkinder or contract children. Most of the children were taken away from their parents -- especially single mothers -- who were considered too poor to care of them. A Zurich historian, Ruedi Weidmann said, If a family didn'tmeet society's expectations then they quickly ran the risk that their children would be taken away ... Unmarried, divorced or widowed mothers could rarely keep their children. Many of the children recall being poorly fed and clothed. There are reports of emotional, physical, and sexual abuse. According to historians, the suicide rate was high among the contract children. Stigma followed many former contract children, making it difficult to establish professional careers. A recent film, Der Verdingbub, or The Contract Boy, portrays much of this abuse. The film, coupled with a traveling exhibition basedon the stories of contract children, has fueled demands for an official apology.
(source: Political Apologies and Reparations Archive)</t>
  </si>
  <si>
    <t>1-Jan-1800</t>
  </si>
  <si>
    <t>CHF</t>
  </si>
  <si>
    <t>Political Apologies and Reparations Archive (2012.0005.01 - Updated)</t>
  </si>
  <si>
    <t>https://www.reuters.com/article/world/switzerland-backs-compensation-for-contract-children-idUSKCN0XO1M5/,
https://www.swissinfo.ch/eng/society/forced-placements_compensation-paid-to-6-000-slave-children/44976198,
https://en.wikipedia.org/wiki/Swiss_children_coercion_reparation_initiative</t>
  </si>
  <si>
    <t>27 April 2016:
Switzerland's lower house of parliament approved on Wednesday compensation for thousands of people who were removed from their families as children and often forced to do hard physical labor because the state deemed their parents unfit to care for them. Under a practice now viewed as cruel and discriminatory that ran from the 19th century until 1981, the "Verdingkinder" or "contract children" mostly came from poor urban families. Some were born illegitimate. Many were put to work on farms and faced adoption or sterilization. The bill approved by the lower house earmarks 300 million Swiss francs ($308 million), or around 20,000 to 25,000 francs for each of the estimated 12,000 to 15,000 victims still alive. It must still be approved by the upper house of parliament. (Reuters)
20 May 2019:
The Federal Office of Justice (FOJ) has processed some 6,000 claims for victims of forced labour and abuse. The aim is to deal with all the claims, totalling more than 9,000, by the end of the year. For the compensation requests already processed, the amounts due have for the most part been paid, the FOJ said in a statementExternal link on Monday. In addition, all the priority requests from very old or seriously ill people were completed by the end of March. The overwhelming majority of applications had been accepted, the office said. Less than 1% were rejected because their authors failed to “demonstrate that their victimisation was plausible”. The Swiss government has agreed to pay up to CHF25,000 ($24,800) in compensation to people who, as children, were victims of forced labour policies or placed in institutions, often suffering abuse or neglect. The “Verdingkinder” (slave children) practice continued until 1981. Around 12,000-15,000 victims are still alive, the FOJ estimates. The government announced the CHF300 million compensation scheme in September 2016, and it was launched in December of that year. The authorities had earlier offered official apologies to the survivors of this dark period of Swiss history. The compensation scheme came after businessman Guido Fluri, himself a victim, launched an initiative in 2014 to spur reparations. (swissinfo.ch)
Wikipedia:
On 19 December 2014 the initiative was submitted at the Federal Chancellery (Bundeskanzlei). On 16 September 2016 both chambers of the Swiss parliament approved that presumably to each surviving individual will paid CHF 25,000 in compensation. As of March 2018, about 7000 victims have applied for compensation.</t>
  </si>
  <si>
    <t>According to a 2019 source, the majority of the 6,000 processed claims had been paid. Based on this, we approximate the total amount paid as 6,000 beneficiaries multiplied by the individual payment of CHF 25,000 ($24,800).
NOTE ON CONVERSION: The total compensation disbursed (CHF 150,000,000.00) is reported as an accumulated figure paid as of 2019. We assume this figure represents the total value of all payments over the entire period. For comparison purposes, we treat it as a 2019 value and convert it to our year of interest (2024).</t>
  </si>
  <si>
    <t>Swiss, Switzerland, Verdingkinder, contract children, farm labour, Der Verdingbub, stable boys, labour, swiss, switzerland, adoption, contract, swissinfo, compensation, children, families, parents, verdingbub</t>
  </si>
  <si>
    <t>Agreement on Payment of Diya between the Nour al‑Din al‑Zanki Movement and Hayat Tahrir al‑Sham</t>
  </si>
  <si>
    <t>Hayat Tahrir al-Sham and the Nour al-Din al-Zenki Movement</t>
  </si>
  <si>
    <t>SYR</t>
  </si>
  <si>
    <t>Families of the victims of the dispute between the two factions</t>
  </si>
  <si>
    <t>Dispute between Hayat Tahrir al-Sham the Nour al-Din al-Zenki Movement.</t>
  </si>
  <si>
    <t>Peace Agreements Database (ID: 2167)</t>
  </si>
  <si>
    <t>Agreement [on payment of diya between Nour al-Din al-Zanki Movement and Hayat Tahrir al-Sham (HTS)]</t>
  </si>
  <si>
    <t>Peace Agreements Database (PA-X):
Page 1, There was a meeting on Friday 17 of Jamadi al-Awal with the mediation of Sheikh [illegible] and the victims’ families whose relatives were killed in the recent dispute between Hayat Tahrir al-Sham the Nour al-Din al-Zenki Movement. The diva [blood money] was paid and everyone were given their rights. Page 1, Payment, equivalent of a total amount of 46 thousand dollars, between Hayat Tahrir al-Sham and the Nour al-Din al-Zenki Movement [was made].</t>
  </si>
  <si>
    <t>The payors are non-state armed actors that does not fall into any of the predefined database categories and are therefore coded as “Other”.</t>
  </si>
  <si>
    <t>syrian, hayat, al, agreements, sham, tahrir, mediation, sheikh, dispute, peace</t>
  </si>
  <si>
    <t>Act Governing the Recovery of Damage of Individual Rights during the Period of Martial Law</t>
  </si>
  <si>
    <t>Individuals who could prove they were forced to confess during the period of Martial Law</t>
  </si>
  <si>
    <t>Act Governing the Recovery of Damage of Individual Rights during the Period of Martial Law:
Article 2: The term “ period of Martial Law” under this Act refers to the Taiwan district that was under Martial Law during the period between May 20, 1949, and July 14, 1987; and the Kinmen, Matsu, Dongsha (Pratas Island), and Nansha (Spratly Islands) districts were under Martial Law during the period between December 10, 1948, and November 6, 1992.
(source: https://mojlaw.moj.gov.tw/ENG/LawContentE.aspx?LSID=FL000007)</t>
  </si>
  <si>
    <t xml:space="preserve">The law was amended in 2000. Reparations payments are still ongoing but last data on payments are as of 2019. </t>
  </si>
  <si>
    <t>NTD</t>
  </si>
  <si>
    <t>Transitional Justice Evaluation Tools (ID: 134 - Updated)</t>
  </si>
  <si>
    <t>Act Governing the Recovery of Damage of Individual Rights during the Period of Martial Law (戒嚴時期人民受損權利回復條 例)</t>
  </si>
  <si>
    <t>globaltaiwan.org</t>
  </si>
  <si>
    <t>https://globaltaiwan.org/wp-content/uploads/2022/08/FPRI-Transitional-Justice-in-Taiwan-final-1.pdf</t>
  </si>
  <si>
    <t>globaltaiwan.org: http://web.archive.org/web/20250604183555/https://globaltaiwan.org/wp-content/uploads/2022/08/FPRI-Transitional-Justice-in-Taiwan-final-1.pdf [04 June 2025]</t>
  </si>
  <si>
    <t xml:space="preserve">Transitional Justice in Taiwan (globaltaiwan.org): Granted, three laws were passed in 1995 and 1998, but they were limited in scope and did not seek to place any blame on the KMT for its actions. The first law (1995), the Act Governing the Recovery of Damage of Individual Rights during the Period of Martial Law (戒嚴時期人民受損權利回復條例), provided compensation to individuals who could prove they were forced to confess; it also restored their rights and property. The total amount of money given to individuals since the passage of these laws is New Taiwan (NT) $72 billion for the February 28 Incident and NT $194 billion for the White Terror. These laws were for “compensation” and not “reparations,” demonstrating how the KMT refused to acknowledge the significant wrongs the party committed against these people. Compensation implies payment, while reparations signifies an admission of guilt. </t>
  </si>
  <si>
    <t>NOTE ON CONVERSION: The total compensation disbursed (NT $194 billion) is reported as an accumulated figure paid as of 2019. We assume this figure represents the total value of all payments over the entire period. For comparison purposes, we treat it as a 2019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</si>
  <si>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taiwan, 戒嚴時期人民受損權利回復條例, nansha, martial, reparations, laws, law, incident, compensation, recovery</t>
  </si>
  <si>
    <t>Compensation Act for Wrongful Trials on Charges of Sedition and Espionage during the Martial Law Period</t>
  </si>
  <si>
    <t>Individuals who were wrongfully tried on charges of sedition and espionage during the period of Martial Law</t>
  </si>
  <si>
    <t xml:space="preserve">Compensation Act for Wrongful Trials on Charges of Sedition and Espionage during the Martial Law Period:
Article 2: The term "martial law period" refers to the period of time from May 20, 1949 to July 14, 1987, if the case took place in the main island of Taiwan. But if the case took place in Kinmen, Matsu, Dongsha and Nansha, the term "martial law period" refers to the period of time from December 10, 1948 to November 6, 1992.
(source: https://reparations.qub.ac.uk/assets/uploads/1998-Compensation-Act-for-Wrongful-Trials-on-Charges-of-Sedition-and-Espionage-during-the-Martial-Law-Period.pdf)
</t>
  </si>
  <si>
    <t>Reparations payments are still ongoing but last data on payments are as of 2015.</t>
  </si>
  <si>
    <t>Transitional Justice Evaluation Tools (ID: 132- Updated)</t>
  </si>
  <si>
    <t>Act for Wrongful Trials on Charges of Sedition and Espionage during the Martial Law Period (戒嚴時期不當叛亂暨匪諜審判案件補償條 例),
Office of the President</t>
  </si>
  <si>
    <t>https://law.mnd.gov.tw/English/EngLawData.aspx?lsid=FL000011,
https://reparations.qub.ac.uk/assets/uploads/1998-Compensation-Act-for-Wrongful-Trials-on-Charges-of-Sedition-and-Espionage-during-the-Martial-Law-Period.pdf,
https://globaltaiwan.org/wp-content/uploads/2022/08/FPRI-Transitional-Justice-in-Taiwan-final-1.pdf,
https://english.president.gov.tw/NEWS/4819</t>
  </si>
  <si>
    <t>law.mnd.gov.tw:
https://web.archive.org/web/20250430142805/https://law.mnd.gov.tw/English/EngLawData.aspx?lsid=FL000011 [30 April 2025]
reparations.qub.ac.uk: http://web.archive.org/web/20220814145235/https://reparations.qub.ac.uk/assets/uploads/1998-Compensation-Act-for-Wrongful-Trials-on-Charges-of-Sedition-and-Espionage-during-the-Martial-Law-Period.pdf [14 August 2022]
globaltaiwan.org: http://web.archive.org/web/20250604183555/https://globaltaiwan.org/wp-content/uploads/2022/08/FPRI-Transitional-Justice-in-Taiwan-final-1.pdf [04 June 2025]
english.president.gov.tw:
https://web.archive.org/web/20240731170013/https://english.president.gov.tw/NEWS/4819 [31 Jyly 2024]</t>
  </si>
  <si>
    <t>According to the TJET, the cost estimate is: 19.6 billion NTD (New Taiwan Dollars).
10 December 2015: [...] the government in 1998 promulgated the Compensation Act for Wrongful Trials on Charges of Sedition and Espionage during the Martial Law Period in order to address the wrongs suffered by victims of the White Terror era. A fund established under the provisions of that act has thus far paid out a total of approximately NT$19.7 billion in compensation. (Office of the President)
Article 1: The act herein is enacted to compensate the convicts, who were wrongfully tried on charges of sedition and espionage during the martial law period, but could not receive compensation or relief after the martial law period.
Article 5: The amount of compensation a convict may receive is calculated by units. Each unit equals to ten thousand NT Dollars. The amount of compensation one convict can receive shall not exceed sixty units. In the case where the convict has deceased, or has deceased after filing her/his application, and the compensation will be collected by convict’s relative residing in Mainland China, the total amount of compensation that relative can receive shall not exceed two million NT Dollars.</t>
  </si>
  <si>
    <t>NOTE ON CONVERSION: The total compensation disbursed (NT$19.7 billion) is reported as an accumulated figure paid as of 2015. We assume this figure represents the total value of all payments over the entire period. For comparison purposes, we treat it as a 2015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</si>
  <si>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compensation, convict, sedition, martial, taiwan, charges, law, convicts, espionage, nansha</t>
  </si>
  <si>
    <t>Compensation Fund for "Red Shirts" and Other Victims of Political Violence in Thailand</t>
  </si>
  <si>
    <t>Government of Thailand</t>
  </si>
  <si>
    <t>Thailand</t>
  </si>
  <si>
    <t>THA</t>
  </si>
  <si>
    <t>Victims of political violence in the country</t>
  </si>
  <si>
    <t>Thailand has seen several periods of protest since 2005, with a military coup in 2006 and violent clashes in 2010. The fund was recommended by the official Truth for Reconciliation Commission, formed after the unrest in 2010. Two months of anti-government protests in the capital, Bangkok, left more than 90 people dead. The clashes took place between the security forces and the ''red-shirt'' protesters - supporters of ousted former Prime Minister Thaksin Shinawatra. 
(source: https://www.bbc.com/news/world-asia-16500472)</t>
  </si>
  <si>
    <t>THB</t>
  </si>
  <si>
    <t>Transitional Justice Evaluation Tools (ID: 112)</t>
  </si>
  <si>
    <t>https://www.bbc.com/news/world-asia-16500472</t>
  </si>
  <si>
    <t>www.bbc.com: http://web.archive.org/web/20250724172123/https://www.bbc.com/news/world-asia-16500472 [24 July 2025]</t>
  </si>
  <si>
    <t>According to the Transitional Justice Evaluation Tools, the cost estimate is: 2 billion baht ($63m, £40.8m).
11 January 2012: The Thai government has approved a compensation fund for victims of political unrest in the country. A total of 2 billion baht ($63m, £40.8m) will be paid, said government spokeswoman Thitima Chaisaeng. The fund will cover families of the deceased, as well as those who were hurt or ''unfairly detained''. Thailand has seen several periods of protest since 2005, with a military coup in 2006 and violent clashes in 2010. The fund was recommended by the official Truth for Reconciliation Commission, formed after the unrest in 2010. (BBC news)</t>
  </si>
  <si>
    <t>thai, thailand, bangkok, reparations, unrest, fund, protests, compensation, protesters, protest</t>
  </si>
  <si>
    <t>Compensation for State Violence in Thailand's Southern Provinces</t>
  </si>
  <si>
    <t>Victims of state violence in Thailand's Southern provinces</t>
  </si>
  <si>
    <t>Thailand has announced a plan to financially compensate victims of state security in its deep south, where a simmering insurgency has left thousands of people dead. A committee appointed by the Thai government approved pay-outs of up to a quarter of a million dollars each for people affected by violence in the deep south. They include relatives of those killed by state security in incidents that analysts say helped fuel an insurgency that has claimed more than 5,000 lives since 2004.
(source: https://www.voanews.com/a/thailand-announces-compensation-plan-for-southern-violence--139206779/152021.html)</t>
  </si>
  <si>
    <t>Data on disbursements are available as of 2012, but more payments have been made since then.</t>
  </si>
  <si>
    <t>Transitional Justice Evaluation Tools (ID: 113)</t>
  </si>
  <si>
    <t>https://www.voanews.com/a/thailand-announces-compensation-plan-for-southern-violence--139206779/152021.html,
https://www.nationthailand.com/in-focus/30188343</t>
  </si>
  <si>
    <t>www.voanews.com: http://web.archive.org/web/20250402191957/https://www.voanews.com/a/thailand-announces-compensation-plan-for-southern-violence--139206779/152021.html [02 April 2025]
www.nationthailand.com:
https://web.archive.org/web/20251224212421/https://www.nationthailand.com/in-focus/30188343 [24 December 2025]</t>
  </si>
  <si>
    <t>According to the Transitional Justice Evaluation Tools, the cost estimate is: ~2.08 billion baht ($68 million USD)
12 February 2012: Thailand has announced a plan to financially compensate victims of state security in its deep south, where a simmering insurgency has left thousands of people dead. Rights groups have welcomed the plan as a positive step towards reconciliation but say the region still lacks much needed justice and accountability. A committee appointed by the Thai government approved pay-outs of up to a quarter of a million dollars each for people affected by violence in the deep south. They include relatives of those killed by state security in incidents that analysts say helped fuel an insurgency that has claimed more than 5,000 lives since 2004. (VOA News)
14 August 2012: Payments for disabilities have been increased from Bt80,000 to Bt500,000 – and the extra amount is permitted immediately. People already paid the lower amount will receive the balance no later than 2015, government spokeswoman Sansanee Nakapong said. Some 2,739 families of people killed, and 303 left disabled, are eligible for payment. Bt2 billion has been made available from this year’s budget to allow immediate payment of the new rates, and nearly half – Bt867 million – has been paid to eligible recipients. Bt370 million will be made available from the 2013 budget, and the Southern Border Provinces Administration Centre will request additional amounts for payments in 2014 and 2015. (The Nation)</t>
  </si>
  <si>
    <t>thai, thailand, insurance, insurgency, cost, thousands, 000, million, dollars, financially</t>
  </si>
  <si>
    <t>Tunisia Pays Reparations over the Franco-Tunisian Bank Affair to Abdelmajid Bouden</t>
  </si>
  <si>
    <t>Government of Tunisia</t>
  </si>
  <si>
    <t>Tunisia</t>
  </si>
  <si>
    <t>TUN</t>
  </si>
  <si>
    <t>Abdelmajid Bouden (French-Tunisian businessman and lawyer, and BFT’s main shareholder)</t>
  </si>
  <si>
    <t>The dispute is one of the oldest proceedings of its kind at the World Bank Group’s arbitration body. Its roots go back to 1982. Since then, the country has known six presidents – from late leader Habib Bourguiba to the current president, Kais Saied – and at least 15 prime ministers. [...] In 1980, a privatisation process was launched by increasing its capital and opening BFT up to private ownership. ABCI Investment, which then owned 4.68% of Tunisia's total banking sector, was granted a license to acquire 80% of the bank for 2.5mn dinars, worth $6.25mn at the time. The payment was made, on time, but the Tunisian authorities froze the process in 1982 and nullified the agreement to increase the bank's capital. This sparked the dispute between Tunisia and ABCI, with Bouden as the chairman of its board. Since 1989, BFT  has been flooded with unsecured loans and losses of 700mn dinars, with and ABCI representative claiming on France 24 that the bank was robbed, emptied via collateral-free loans after it was one of the best banks in the country.
(source: https://en.majalla.com/node/307316/business-economy/how-international-dispute-over-tunisia’s-first-bank-failure-ended)</t>
  </si>
  <si>
    <t>TND</t>
  </si>
  <si>
    <t>International Centre for Settlement of Investment Disputes (ICSID)</t>
  </si>
  <si>
    <t>https://www.justiceinfo.net/en/127522-attacks-resume-against-tunisia-truth-commission.html</t>
  </si>
  <si>
    <t>www.justiceinfo.net: http://web.archive.org/web/20250422073349/https://www.justiceinfo.net/en/127522-attacks-resume-against-tunisia-truth-commission.html [22 April 2025]</t>
  </si>
  <si>
    <t>23 January 2024: On December 22, 2023, the complex story of this bank finally reached its legal conclusion. The International Centre for Settlement of Investment Disputes (ICSID) -- leading international body dedicated to resolving such disputes -- issued its ruling on the compensation Tunisia should pay to French-Tunisian businessman and lawyer Abdelmajid Bouden, BFT’s main shareholder. There is a certain amount of confusion surrounding the ruling, and more specifically the amount of compensation it sets in Bouden's favour. The only quantified information, stemming from a government declaration, seems to be circulating in the press without having been verified. According to this source, which has been reported in various media, ICSID has ordered the Tunisian state to pay Bouden 343,673 dinars ($110,000), with an interest rate of 7.2% per year applicable from 2007 to 2023. (Justice Info)</t>
  </si>
  <si>
    <t>tunisian, tunisia, compensation, reparations, pays, bouden, pay, bank, shareholder, icsid</t>
  </si>
  <si>
    <t>Tunisia Pays Reparations over the Franco-Tunisian Bank Affair to ABCI Investment (ABCI Investments N.V. v. Republic of Tunisia)</t>
  </si>
  <si>
    <t>ABCI Investment</t>
  </si>
  <si>
    <t>Al Majalla</t>
  </si>
  <si>
    <t>https://en.majalla.com/node/307316/business-economy/how-international-dispute-over-tunisia’s-first-bank-failure-ended</t>
  </si>
  <si>
    <t>en.majalla.com: http://web.archive.org/web/20240614070101/https://en.majalla.com/node/307316/business-economy/how-international-dispute-over-tunisia%E2%80%99s-first-bank-failure-ended [14 June 2024]</t>
  </si>
  <si>
    <t xml:space="preserve">31 December 2023: A long-running international dispute over Tunisia’s first ever failed bank has ended in dramatic fashion, after four decades of clashes in international courts. And even the most optimistic observers this epic case did not expect it to produce what looked like victory for the country, in a ruling that saved Tunisian state coffers billions of dollars. This is the story of Banque Franco-Tunisienne (BFT), founded over 150 years ago, its equally historic demise and the international implications of series of events that ended on Friday, 22 December 2023. That was when the World Bank Group’s International Centre for Settlement of Investment Disputes (ICSID) issued a final arbitration award obliging the Tunisian State to pay compensation of just $350,000 – or 1.1mn Tunisian dinars – to ABCI Investment, which had taken the Tunisian State to international arbitration for expropriating its shares in BFT. (Al Majalla)
</t>
  </si>
  <si>
    <t>The Law on the Compensation of Damages that Occurred Due to Terror and the Fight Against Terror (Law No. 5233)</t>
  </si>
  <si>
    <t>Government of Turkey</t>
  </si>
  <si>
    <t>Victims of terorrist acts or activties undertaken during the fight against terror</t>
  </si>
  <si>
    <t>The objective of this law is to lay down the principles and procedures for the compensation of material damages suffered by persons due to terrorist acts or activities undertaken during the fight against terror.
(source: https://natlex.ilo.org/dyn/natlex2/natlex2/files/download/85852/TUR85852%20English.pdf)</t>
  </si>
  <si>
    <t>Act No. 5233 on the Compensation of Damages that Occurred due to Terror and the Fight against Terror</t>
  </si>
  <si>
    <t>https://natlex.ilo.org/dyn/natlex2/natlex2/files/download/85852/TUR85852%20English.pdf</t>
  </si>
  <si>
    <t>natlex.ilo.org:
https://web.archive.org/web/20251003092505/https://natlex.ilo.org/dyn/natlex2/natlex2/files/download/85852/TUR85852%20English.pdf [03 October 2025]</t>
  </si>
  <si>
    <t>According to the TJET, the cost estimate is: 1 billion Euros, and the beneficiaries count is: 300000.</t>
  </si>
  <si>
    <t>damages, compensation, terror, victims, terrorist, law, act, acts, objective, activties</t>
  </si>
  <si>
    <t>The Immovable Property Commission (IPC) - Set Up under the Immovable Property Law (No. 67/2005)</t>
  </si>
  <si>
    <t xml:space="preserve">Greek Cypriots whose properties were lost during the 1974 conflict </t>
  </si>
  <si>
    <t>The Immovable Property Commission was set up under the Immovable Property Law (No. 67/2005) in accordance with the rulings of the European Court of Human Rights in the case of Xenides-Arestis v. Turkey. The purpose of this measure was to establish an effective domestic remedy for claims relating to abandoned properties in Northern Cyprus. [...] The Immovable Property Commission examines claims for restitution, compensation and exchange according to the provisions of the law no 67/2005. Its considerations are based on the principles of bi-zonality and bi-communality which have been common elements of the 1977-1979 High Level Agreements as well as plans for a settlement of the Cyprus Issue prepared by the United Nations. It seeks to satisfy the legitimate claims of property owners without prejudice to the rights of the Turkish Cypriot Community.
(source: https://tamk.gov.ct.tr/en-us/)</t>
  </si>
  <si>
    <t>Immovable Property Commission (Taşınmaz Mal Komisyonu)</t>
  </si>
  <si>
    <t>Cyprus Mail</t>
  </si>
  <si>
    <t>https://cyprus-mail.com/2024/09/05/ipc-has-settled-1840-cases-so-far-tatar-says,
https://tamk.gov.ct.tr/en-us/</t>
  </si>
  <si>
    <t>cyprus-mail.com: http://web.archive.org/web/20250519114746/https://cyprus-mail.com/2024/09/05/ipc-has-settled-1840-cases-so-far-tatar-says/ [19 May 2025]
tamk.gov.ct.tr: http://web.archive.org/web/20250906072136/https://tamk.gov.ct.tr/en-us/ [06 September 2025]</t>
  </si>
  <si>
    <t>5 September 2024: The Immovable Property Commission (IPC) has settled a total of 1,840 cases so far, Turkish Cypriot leader Ersin Tatar said on Thursday. […] Greek Cypriots had received a total of £25.4 million (€29.8m) from the IPCin the first five months of the year. The IPC has awarded more than £446.2m (€523.7m) in compensation since its creation in 2005. It examines claims for compensation, as well as for restitution – the handing back of Greek Cypriot-owned property in the north – and exchange of land. (Cyprus Mail)</t>
  </si>
  <si>
    <t xml:space="preserve">NOTE ON CONVERSION: The total compensation disbursed (£446.2m) is reported as an accumulated figure paid as of 2024.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Update as of 2025:
Immovable Property Commission (Taşınmaz Mal Komisyonu): As of 11 July 2025, 8234 applications have been lodged with the Commission and 2064 of them have been concluded. The Commission has awarded GBP 548.911.282 to the applicants as compensation. (source: https://tamk.gov.ct.tr/en-us/)
</t>
  </si>
  <si>
    <t>cyprus, cypriot, cypriots, restitution, property, agreements, lodged, settlement, provisions, immovable</t>
  </si>
  <si>
    <t>Turkey Pays Reparations to Cyprus</t>
  </si>
  <si>
    <t>Victims of the 1974 invasion of Cyprus</t>
  </si>
  <si>
    <t>Cyprus</t>
  </si>
  <si>
    <t>CYP</t>
  </si>
  <si>
    <t>On July 20, 1974, Turkey invaded Cyprus, violating all rules of international law, including the Charter of the United Nations. The illegal Turkish invasion was carried out in two phases. During the second phase, Turkey took the city of Famagusta, under its control and illegally occupies over 36% of the territory of the Republic of Cyprus ever since. As a result of the Turkish military invasion and occupation, 162,000 Greek-Cypriots fled their homes becoming refugees in their own country. To this day the occupying forces impede the return of refugees to their homes and property. By the end of 1975, the vast majority of Turkish-Cypriots living in areas controlled by the legitimate government were forced to leave their homes and move, owing to Turkey’s coercive policy, to the Turkish-occupied territory of the Republic of Cyprus. 
(source: https://www.gov.cy/mfa/en/documents/turkish-military-invasion-and-occupation/)</t>
  </si>
  <si>
    <t>Political Apologies and Reparations Archive (2005.0142.01 - Updated)</t>
  </si>
  <si>
    <t>European Court of Human Rights (CASE OF CYPRUS v. TURKEY)</t>
  </si>
  <si>
    <t>https://www.bbc.com/news/world-europe-27380388,
https://www.theguardian.com/law/2014/may/12/european-court-human-rights-turkey-compensation-cyprus-invasion,
https://www.csmonitor.com/World/Middle-East/2014/0513/Its-EU-dream-thwarted-Turkey-rejects-90-million-euro-Cyprus-fine,
https://hudoc.echr.coe.int/eng?i=001-144151</t>
  </si>
  <si>
    <t>www.bbc.com:
https://web.archive.org/web/20250721051444/https://www.bbc.com/news/world-europe-27380388 [21 July 2025]
www.theguardian.com:
https://web.archive.org/web/20250920130012/https://www.theguardian.com/law/2014/may/12/european-court-human-rights-turkey-compensation-cyprus-invasion [20 September 2025]
www.csmonitor.com:
https://web.archive.org/web/20241109055606/https://www.csmonitor.com/World/Middle-East/2014/0513/Its-EU-dream-thwarted-Turkey-rejects-90-million-euro-Cyprus-fine [09 November 2024]
hudoc.echr.coe.int:
https://web.archive.org/web/20250615215748/https://hudoc.echr.coe.int/eng#{%22itemid%22:[%22001-144151%22]} [15 June 2025]</t>
  </si>
  <si>
    <t>12 May 2014: Turkey must pay 90m euros (£73m; $123m) in damages over its 1974 invasion of Cyprus, according to a decision by the European Court of Human Rights. The judgement is one of the largest ever ordered by the court. (BBC News)
12 May 2014: The European court of human rights (ECHR) has ordered Turkey to pay €90m (£73m) in compensation for its 1974 invasion of Cyprus in a judgment that has huge potential legal implications for Ukraine and Crimea. (The Guardian)
13 May 2014: Turkish officials said today that the country will not pay the 90 million euros ($124 million) in damages ordered yesterday by the European Court of Human Rights (ECHR), the largest such ruling in its history. (The Christian Science Monitor)</t>
  </si>
  <si>
    <t>Cyprus, Greece, Turkey, Cypriot, Denktas, Memisoglu, European Union, EU, cypriots, turkish, invasion, reparations, refugees, crimea, ukraine</t>
  </si>
  <si>
    <t>Uganda Pays War Reparations to Democratic Republic of Congo</t>
  </si>
  <si>
    <t>Government of Uganda</t>
  </si>
  <si>
    <t>In the late 1990s, the Democratic Republic of Congo, which borders on Uganda, was in the midst of a bloody civil war. President Museveni used this opportunity to deploy Ugandan troops in the Democratic Republic of Congo, ostensibly to counter attacks on Ugandan troops and people from rebel groups located there, particularly the Lord's Resistance Army. It has been alleged that in fact the Ugandan troops were deployed to assist in the removal of natural resources from the Democratic Republic of Congo, which was then in a state of upheaval. The Ugandan troops were withdrawn from the Democratic Republic of Congo in June of 2003. While troops from other countries, including Rwanda and Zimbabwe were also involved in the civil war in the Democratic Republic of Congo, it does not appear that Uganda's involvement was directly related to the political situation there.
(source: Political Apologies and Reparations Archive)</t>
  </si>
  <si>
    <t>Uganda should pay $325m in five yearly installments of $65m, starting in September [2022] until 2026.
Reparations payments are ongoing but data available are as of 2022.</t>
  </si>
  <si>
    <t>Political Apologies and Reparations Archive (2005.0141.01 - Updated)</t>
  </si>
  <si>
    <t>International Center for Transitional Justice</t>
  </si>
  <si>
    <t>https://www.ictj.org/latest-news/uganda-pays-first-installment-325m-war-reparations-drc</t>
  </si>
  <si>
    <t>www.ictj.org: http://web.archive.org/web/20240526235331/https://www.ictj.org/latest-news/uganda-pays-first-installment-325m-war-reparations-drc [26 May 2024]</t>
  </si>
  <si>
    <t>Political Apologies and Reparations Archive: The Democratic Republic of Congo (DRC) has accused Uganda of invading its territory and massacring civilians; the DRC claims Uganda violated its territorial sovereignty and international humanitarian law; the DRC is presenting its cased to the International Court of Justice.
International Center for Transitional Justice:
13 September 2022: Uganda has paid $65m in the first installment of the $325m it was ordered to pay the neighboring Democratic Republic of the Congo (DRC) as compensation for losses caused by wars in the 1990s when Ugandan troops occupied Congolese territory. After lengthy proceedings, the ICJ, United Nations’ highest court, ruled in 2005 that Uganda had violated international during a conflict that raged from 1998 to 2003. Then, they finally ruled in February this year that Uganda should pay $325m in five yearly installments of $65m, starting in September this year.</t>
  </si>
  <si>
    <t>As of the latest available information, only the first instalment ($65 million) has been disbursed.</t>
  </si>
  <si>
    <t>Uganda, Democratic Republic of Congo, Congo, International Court of Justice, ICJ, ugandan, rwanda, congo, humanitarian, congolese, reparations, troops, wars, civilians</t>
  </si>
  <si>
    <t>Compensation Payments During the Troubles in Northern Ireland</t>
  </si>
  <si>
    <t>Government of United Kingdom</t>
  </si>
  <si>
    <t>Victims of the Troubles in Northern Ireland</t>
  </si>
  <si>
    <t>The Troubles (Irish: Na Trioblóidí) were an ethno-nationalist conflict in Northern Ireland that lasted for about 30 years from the late 1960s to 1998. Also known internationally as the Northern Ireland conflict, it began in the late 1960s and is usually deemed to have ended with the Good Friday Agreement of 1998.
(source: https://en.wikipedia.org/wiki/The_Troubles)</t>
  </si>
  <si>
    <t>https://cain.ulster.ac.uk/issues/violence/victims1.htm,
https://reparations.qub.ac.uk/new-report-reparations-for-those-bereaved-during-the-troubles/</t>
  </si>
  <si>
    <t>cain.ulster.ac.uk: http://web.archive.org/web/20240707220228/https://cain.ulster.ac.uk/issues/violence/victims1.htm [07 July 2024]
reparations.qub.ac.uk: http://web.archive.org/web/20250504191149/https://reparations.qub.ac.uk/new-report-reparations-for-those-bereaved-during-the-troubles/ [04 May 2025]</t>
  </si>
  <si>
    <t>Sir Kenneth Bloomfield, April 1998: 
Of the total sum paid in compensation to all victims of criminal injuries (set out in para 5.3 above), it is very broadly estimated that £186 million has been paid to victims of terrorist violence; within this f26 million on awards upon the death of a victim, and a further £160 million on awards for injuries to a victim.
Luke Moffett and Kevin Harty, September 2023:
It is assumed that compensation during the Troubles to victims was sufficient and ‘generous’, given that £186 million was paid out in compensation between 1969-1998, with £26 million awarded to bereaved families. However, this misrepresents the experience of victims. Most compensation was paid for property damage, and before 1977 there was no payment for bereavement, only loss of income or funeral expenses.</t>
  </si>
  <si>
    <t>NOTE ON CONVERSION: The total compensation disbursed (£186 million) is reported as an accumulated figure paid as of 1998. We assume this figure represents the total value of all payments over the entire period. For comparison purposes, we treat it as a 1998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</si>
  <si>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Compensation to Wrongly Imprisoned IRA (The Guildford Four)</t>
  </si>
  <si>
    <t>Gerry Conlon, Paul Hill, Patrick Armstrong and Carole Richardson (wrongly imprisoned IRA, also known as the Guildford Four)</t>
  </si>
  <si>
    <t>From the 1960s to the 1990s there was civil conflict in Northern Ireland, part of Great Britain, between Protestants and Catholics. Both sides committed terrorist atrocities against civilians. The Catholic IRA also bombed some sites in England. British Prime Minister Tony Blair apologized to eleven people who were wrongfully convicted for IRA bombings that occurred in 1974. The bombings in Guildford and Woolwich England killed seven people and injured more than 100. Eleven people were wrongfully convicted and jailed for the attacks. Four of the people were acquitted in 1989, while the other seven were exonerated in 1991.
(source: Political Apologies and Reparations Archive)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(source: https://en.wikipedia.org/wiki/Guildford_Four_and_Maguire_Seven)</t>
  </si>
  <si>
    <t>Political Apologies and Reparations Archive (2005.0023.01- Updated)</t>
  </si>
  <si>
    <t>https://www.theguardian.com/uk/1999/oct/19/davidpallister1,
http://news.bbc.co.uk/1/hi/northern_ireland/478929.stm,
https://www.dib.ie/biography/conlon-gerard-gerry-a10193</t>
  </si>
  <si>
    <t>www.theguardian.com:
https://web.archive.org/web/20250826045434/https://www.theguardian.com/uk/1999/oct/19/davidpallister1[26 August 2025]
news.bbc.co.uk: http://web.archive.org/web/20080128131325/http://news.bbc.co.uk:80/1/hi/northern_ireland/478929.stm [28 January 2008]
www.dib.ie: http://web.archive.org/web/20241130101008/https://www.dib.ie/biography/conlon-gerard-gerry-a10193 [30 November 2024]</t>
  </si>
  <si>
    <t>Political Apologies and Reparations Archive: British Prime Minister Tony Blair apologized to eleven people who were wrongfully convicted for IRA bombings that occurred in 1974. The bombings in Guildford and Woolwich, England killed seven people and injured more than 100. Eleven people were wrongfully convicted and jailed for the attacks. Four of the people were acquitted in 1989, while the other seven were exonerated in 1991. There are still compensation claims going on.
19 October 1999:  All four received ex-gratia compensation payments after several years negotiating with the government's assessor, Sir David Calcutt. Three have agreed a settlement of around £500,000 but Hill's final figure has still to be arrived at. (The Guardian)
19 October 1999: Two of the so-called Guildford Four say they are still waiting for justice ten years after being cleared of the 1974 English pub bombing which killed five people. Gerry Conlon and Paul Hill, both from Northern Ireland say they have not received the final settlement of their claims for compensation. Gerry Conlon said that he had been compensated in part by the Home Office, but that the £500,000 final settlement they were proposing to offer him would amount to less than £90 for every day he spent in prison. (BBC News)
According to the UK Parliament, all payments were made but the amount was not officially disclosed. (source: https://hansard.parliament.uk/Commons/1989-11-16/debates/c0729d33-f6a0-42a9-9b0f-b4c8f8bcd0d7/GuildfordFour)</t>
  </si>
  <si>
    <t>Ireland, IRA, Irish Republican Army, Blair, United Kingdom, UK, Great Britain, Northern Ireland, Guildford Four, bombings, bombed, bombing, acquitted, convicted, terrorist, exonerated, blair, guildford, jailed</t>
  </si>
  <si>
    <t>Compensation for the Hillsborough Disaster</t>
  </si>
  <si>
    <t>Police of South Yorkshire and West Midlands</t>
  </si>
  <si>
    <t>Victims of the Hillsborough Disaster and their families</t>
  </si>
  <si>
    <t>South Yorkshire and West Midlands police have agreed a settlement with more than 600 people to compensate them for the false police campaign aimed at avoiding responsibility for the 1989 Hillsborough disaster and blaming the victims instead, which bereaved families have always said was a cover-up. The forces will pay compensation to families whose relatives were among the 96 men, women and children unlawfully killed at Hillsborough, and to survivors of the disaster, for additional trauma and psychiatric damage caused by the police campaign. The financial recompense is for the psychiatric injuries the families and survivors have suffered and to pay for treatment or counselling. The civil claims, alleging misfeasance in a public office, were first made in September 2015 during the new inquests into how the 96 people died.
(source: https://www.theguardian.com/football/2021/jun/04/south-yorkshire-police-agree-payouts-for-hillsborough-cover-up)</t>
  </si>
  <si>
    <t>Starting from November 1989, a series of civil compensation settlements were agreed and paid.</t>
  </si>
  <si>
    <t>Political Apologies and Reparations Archive (2012.0061.01 - Updated)</t>
  </si>
  <si>
    <t xml:space="preserve">The Report of the Hillsborough Independent Panel </t>
  </si>
  <si>
    <t>https://www.theguardian.com/football/2021/jun/04/south-yorkshire-police-agree-payouts-for-hillsborough-cover-up,
https://www.jesip.org.uk/uploads/media/incident_reports_and_inquiries/Hillsborough%20Report%202012.pdf</t>
  </si>
  <si>
    <t>www.theguardian.com:
https://web.archive.org/web/20250920160355/https://www.theguardian.com/football/2021/jun/04/south-yorkshire-police-agree-payouts-for-hillsborough-cover-up [20 September 2025]
www.jesip.org.uk:
https://web.archive.org/web/20220627114558/https://www.jesip.org.uk/uploads/media/incident_reports_and_inquiries/Hillsborough%20Report%202012.pdf [27 June 2022]</t>
  </si>
  <si>
    <t>The Report of the Hillsborough Independent Panel (September 2012, pag. 235):
The total amount eventually paid out in compensation to a total of over 1,500 claimants was approximately £19.8 million. The total figure expended in legal costs was £3.8m. [From the footnote: Compensation expenditure calculated from a briefing paper submitted to the Home Office in 1999, HOM000010130001, and confirmed by South Yorkshire Police Authority] 
4 June 2021: South Yorkshire and West Midlands police have agreed a settlement with more than 600 people to compensate them for the false police campaign aimed at avoiding responsibility for the 1989 Hillsborough disaster and blaming the victims instead, which bereaved families have always said was a cover-up. The forces will pay compensation to families whose relatives were among the 96 men, women and children unlawfully killed at Hillsborough, and to survivors of the disaster, for additional trauma and psychiatric damage caused by the police campaign. [...]  South Yorkshire police previously agreed in November 1989 to settle claims for compensation to bereaved families and some of those injured in the disaster, which amounted to £19.8m, according to the Hillsborough independent panel’s 2012 report. Sheffield Wednesday and the club’s stadium engineers, Eastwood &amp; Partners, contributed £1.5m each, and Sheffield city council, the safety authority for the ground, contributed £1m. (The Guardian)</t>
  </si>
  <si>
    <t>The Report of the Hillsborough Independent Panel (September 2012): Outside the civil cases, the Hillsborough Disaster Appeal Fund also provided financial support to the injured and bereaved. 
Moreover, according to the Guardian (4 June 2021) , in 2021 South Yorkshire and West Midlands police have agreed a settlement with more than 600 people to compensate them for the false police campaign aimed at avoiding responsibility for the 1989 Hillsborough disaster and blaming the victims instead, which bereaved families have always said was a cover-up. But no data are available on the amount pledged and/or disbursed.
NOTE ON CONVERSION: The total compensation disbursed (£19.8 million) is reported as an accumulated figure paid as of 1999. We assume this figure represents the total value of all payments over the entire period. For comparison purposes, we treat it as a 1999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</si>
  <si>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hillsborough, victims, liverpool, stadium, compensation, trauma, disaster, sheffield, survivors, injuries</t>
  </si>
  <si>
    <t>The 1995 Deed of Settlement Between the Waikato-Tainui and the Crown</t>
  </si>
  <si>
    <t>Waikato-Tainui (Maori tribe in New Zealand)</t>
  </si>
  <si>
    <t>In New Zealand in 1840, the British Crown signed the Treaty of Waitangi with native Maori leaders, granting the British monarch sovereignty over New Zealand, guaranteeing the Maori continued ownership of their lands (with the specification that the Maori may only sell their land to the British Crown), and guaranteeing rights to the Maori. Due to the differences in vocabulary between the English and Maori versions of the original treaty, there have been historical conflicts over ownership and usage of land in New Zealand. Beginning in the late 1960s, the Treaty of Waitangi became a focus for Maori-rights groups, who used it as a basis to claim disenfranchisement. Thirty years later, the government of New Zealand began to seriously address these claims with the re-negotiation of historical agreements.
Note: Tainui is a tribal confederation of Maori tribes on the north island of New Zealand.
(source: Political Apologies and Reparations Archive)</t>
  </si>
  <si>
    <t>For a timeline of Relativity Mechanism payments (as of 2018) see here:
https://www.beehive.govt.nz/release/ngāi-tahu-waikato-tainui-payments</t>
  </si>
  <si>
    <t>Political Apologies and Reparations Archive (2005.0225.01)</t>
  </si>
  <si>
    <t>Political Apologies and Reparations Archive:
Queen Elizabeth is to approve a land grievance settlement for the Tainui people of New Zealand; the legislation expresses regret and apologizes for the losses suffered by the Tainui people; the bill includes payment of $112 million and the return of 39,000 acres to the Tainui people; Queen Elizabeth is New Zealand's Queen and head of state. 
2 November 1995: Queen Elizabeth is to approve the settlement of a Maori land grievance on Friday during a visit to New Zealand, but a spokesman said today that she would not apologize personally. The Queen, who is New Zealand's Queen and head of state, is scheduled to give formal assent to a parliamentary bill that includes payment of $112 million and the return of 39,000 acres to the Tainui people and seeks to atone for treaty violations and the invasion of its lands in 1863. The legislation states that "the Crown expresses its profound regret and apologizes unreservedly for the loss of lives because of the hostilities arising from its invasion, and at the devastation of property and social life which resulted." (The New York Times)
16 December 2022: The latest $101.5 million Waikato-Tainui Treaty of Waitangi settlement relativity payment announced Friday takes to $390 million the total the iwi has gained including its original $170 million in 1995. The relativity payments – pushed by the tribe’s principal negotiator the late Sir Robert Mahuta – were designed to ensure the iwi wasn’t penalised by being a first-mover on settlements and to protect it against future Government rule changes. The Waikato 1995 Raupatu Settlement was negotiated at a time of the “fiscal envelope” concept – the idea that all historical Treaty settlements would be settled within a budgeted figure of $1 billion, updated for inflation. The original $170 million for Waikato-Tainui was 17% of the $1 billion. But the iwi (and the South Island’s Ngāi Tahu) ensured that if that cap was breached in 1994 present value dollars they would get relativity payments to ensure their share of the total stayed the same. It has meant Waikato-Tainui received two earlier relatively payments, one of $107 million about five years ago and $12 million soon after, and then the $101.5 million announced Friday. The top-ups totalling $220 million represent nearly 130% of the original $170 million and 56% of the total $390 million. (Stuff)
New Zealand Government (New Zealand History):
22 May 1995: Waikato–Tainui was the first iwi to reach a Treaty of Waitangi settlement with the Crown for injustices that went back to the wars and land confiscations (raupatu) of the 1860s. The Deed of Settlement included cash and land valued at a total of $170 million. The agreement also included a formal apology from the Crown. Queen Elizabeth II signed the Act that made the agreement law during a state visit later in 1995. Tainui established a commercial framework to manage its tribal assets and, by 2014, Tainui Group Holdings and Waikato–Tainui Fisheries had assets of over $1 billion.</t>
  </si>
  <si>
    <t xml:space="preserve">More Maori tribes have settled with the Crown since 1995 (e.g. Ngāi Tahu in 1997, also for $170 million).
See:
https://thespinoff.co.nz/atea/23-01-2018/why-ngai-tahu-and-tainuis-treaty-payment-top-ups-are-fair-and-legal
https://www.beehive.govt.nz/release/ngāi-tahu-waikato-tainui-payments?utm_source=chatgpt.com
NOTE ON CONVERSION: The total compensation disbursed (NZ $390 million) is reported as an accumulated figure paid as of 2022. We assume this figure represents the total value of all payments over the entire period. For comparison purposes, we treat it as a 2022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orginal pledged amount was NZ $170 million, but due to "relativity clauses" negotiated within the settlement, Waikato-Tainui received further top-up payments later when the total value of all Treaty settlements exceeded $1 billion. </t>
  </si>
  <si>
    <t>New Zealand, Elizabeth II, Queen Elizabeth II, Maori, Tainui, maori, zealand, tribes, tainui, treaty, tribal, sovereignty, settlement, native, agreements</t>
  </si>
  <si>
    <t>Barclays Bank Pays Compensation to French Jews Holocaust Survivors</t>
  </si>
  <si>
    <t>Barclays Bank</t>
  </si>
  <si>
    <t>Jews whose assets were seized from French
branches of the British-based bank during World War II</t>
  </si>
  <si>
    <t>Political Apologies and Reparations Archive (2010.0016.01)</t>
  </si>
  <si>
    <t>http://news.bbc.co.uk/2/hi/business/237392.stm</t>
  </si>
  <si>
    <t>news.bbc.co.uk: http://web.archive.org/web/20250722170451/http://news.bbc.co.uk/2/hi/business/237392.stm [22 July 2025]</t>
  </si>
  <si>
    <t>Political Apologies and Reparations Archive:
Barclays Bank, a British-based bank which had branches operating in France during the Nazi occupation, has agreed to pay $3.6 million (U.S.) to Holocaust survivors or the heirs of an estimated 335 Jewish depositors. Barclays was one of eight banks in France brought to trial by a group of sixteen elderly survivors on behalf of Jewish victims and survivors of the Nazi Holocaust in France. Barclays Bank was the second successful settlement agreement of the Holocaust-era class action suits after the Swiss banks settled their suit in August 1998. While the financial compensation in Barclays' settlement agreement was much smaller compared to the Swiss bank settlement worth $1.25 billion, it did represent a strong moral victory for the victims and provided a psychological boost for those who had devoted much of their lives towards recovering the assets looted by French banks.  The reputation of Barclays Bank was not tarnished by the negative publicity of the suit.  In fact, Barclays was commended by the lawyers representing the Jewish plaintiffs for being honest and forthright during the settlement negotiations process.
17 December 1998: Barclays Bank has agreed to pay $3.6m to Jews whose assets were seized from French branches of the British-based bank during World War II. Barclays, along with seven French banks, was named in a lawsuit filed in New York on behalf of Jews who were unable to reclaim money they deposited during the Nazi era. Barclays is the only one of the eight to settle the claims. (BBC News)</t>
  </si>
  <si>
    <t>French banks, Holocaust, litigation,theft, Nazi, Nazi party, Jew, Jews, Jewish, Vichy, German occupation, France, Germany, Barclays Bank, banks, bank, barclays, jews, holocaust, jewish, reparations, depositors, vichy, nazi</t>
  </si>
  <si>
    <t>UK Reparations for Civilians Harmed in UK Military Operations in Afghanistan</t>
  </si>
  <si>
    <t>Ministry of Defence (MoD) of the United Kingdom</t>
  </si>
  <si>
    <t>Civilians harmed in UK military operations in Afghanistan</t>
  </si>
  <si>
    <t>Afghanistan</t>
  </si>
  <si>
    <t>AFG</t>
  </si>
  <si>
    <t>UK military operations in Afghanistan.</t>
  </si>
  <si>
    <t>Multiple settlements were made since 2001.
Reparations payments are still ongoing.</t>
  </si>
  <si>
    <t>ReliefWeb</t>
  </si>
  <si>
    <t>https://reliefweb.int/report/afghanistan/reparations-civilian-harm-military-operations-towards-uk-policy</t>
  </si>
  <si>
    <t>reliefweb.int: http://web.archive.org/web/20220121054523/https://reliefweb.int/report/afghanistan/reparations-civilian-harm-military-operations-towards-uk-policy [21 January 2022]</t>
  </si>
  <si>
    <t>30 November 2021:
The compensation bill for civilians harmed in UK military operations in Iraq and Afghanistan has now reached £32 million, according to a new report by Ceasefire Centre for Civilian Rights. During the last year the Ministry of Defence (MoD) has quietly settled some 417 claims related to Iraq, and 13 related to Afghanistan, to add to thousands already settled. [...] Total payments are currently running at £5.4 million in relation to Afghanistan (4,740 cases) and £26.4 million in relation to Iraq (1,893 cases). The final figures may be significantly higher. (ReliefWeb)</t>
  </si>
  <si>
    <t>NOTE ON CONVERSION: The total compensation disbursed (£5.4 million) is reported as an accumulated figure paid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</si>
  <si>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UK Pays Compensation to Art Owner</t>
  </si>
  <si>
    <t>Anonymous Jewish art owner</t>
  </si>
  <si>
    <t>In 1940, Nazi Germany invaded and occupied Belgium. While occupying Belgium, the Nazis imposed anti-Semitic policies on the population. An unknown Jewish woman was forced to sell a painting by Jan Griffer the Elder entitled View of Hampton Court Palace, in order to escape Belgium.
(source: Political Apologies and Reparations Archive)</t>
  </si>
  <si>
    <t>Political Apologies and Reparations Archive (2009.0065.01)</t>
  </si>
  <si>
    <t>The Stationery Office Limited (Report of the Spoliation Advisory Panel in Respect of a Painting Now in the Possession of the Tate Gallery)</t>
  </si>
  <si>
    <t>http://www.culture.gov.uk/images/publications/galleriesspoliation.pdf,
http://news.bbc.co.uk/2/mobile/entertainment/arts_and_culture/8358902.stm</t>
  </si>
  <si>
    <t>www.culture.gov.uk: http://web.archive.org/web/20091116094529/http://www.culture.gov.uk/images/publications/galleriesspoliation.pdf [16 November 2009]
news.bbc.co.uk:
https://web.archive.org/web/20251226110219/http://news.bbc.co.uk/2/mobile/entertainment/arts_and_culture/8358902.stm [26 November 2025]</t>
  </si>
  <si>
    <t>Political Apologies and Reparations Archive:
The Tate Gallery acquired the painting in good faith in 1961. In January 2001, the Holocaust Educational Trust in the United Kingdom filed a claim with the Spoliation Advisory Panel on behalf of the woman's family (who asked to remain anonymous). The Panel stated that the while the claimant had no legal title to the painting, the moral strength to the claimant's argument was overwhelming. The government paid £125,000 in compensation to the claimant.
REPORT CONCERNING A CLAIM IN RESPECT OF A PICTURE NOW IN THE POSSESSION OF THE TATE GALLERY
SUMMARY OF RECOMMENDATIONS:
68. For the above reasons, we unanimously recommend:-
(1) That the Government should make an ex gratia payment of £125,000 to the claimant on behalf of himself and the other members of his family.
(2) That the Tate Gallery should display alongside the picture an account of its history and provenance during and since the Nazi era, with special reference to the interest therein of the claimant and his family.
(18 January 2001)
13 November 2009: The Holocaust (Stolen Art) Restitution Act gives national institutions in England and Scotland the power to return art stolen during the Nazi era. The bill was introduced earlier this year by Labour MP Andrew Dismore. The act, he said, would "right a long-standing injustice" and marked "an important moral step". The MP for Hendon said it was "an important moral step" that had been supported by all political parties. The law, which has been supported by all political parties, enables national museums and galleries in England and Scotland to act on the recommendations of the Spoliation Advisory Panel.
Formed in 2000, the panel resolves claims from people, or their heirs, who lost property during the Nazi era which is now held in UK national collections. Since then there have been nine cases of artefacts held by British museums adjudged to have been stolen from their rightful owners.
However national institutions, like the British Museum or the Tate, had been forbidden from returning items by legislation preventing them from disposing of artwork in their collections.
Instead the institutions in question would make an ex-gratia payment based on a valuation of the item, in lieu of returning the item itself. Examples of this include a £125,000 payment made by the Tate in 2001 to the former owners of a painting by Dutch artist Jan Griffier. (BBC)</t>
  </si>
  <si>
    <t>Art, Artwork, Painting, Second World War, WWII, World War Two, World War 2, Germany, Nazis, Nazi, Nazi Germany, Holocaust, Belgium, View of Hampton Court Palace, Jan Griffer the Elder, Jan Griffer, Griffer, Tate Gallery, Tate, Spoliation Advisory Panel, painting, gallery, compensation, holocaust, art, palace, nazi, reparations, pays, entitled</t>
  </si>
  <si>
    <t>UK Pays Compensation for Unexploded Bombs in Kenya</t>
  </si>
  <si>
    <t xml:space="preserve">Kenyan landmine victims (Maasai and Samburu tribesmen) </t>
  </si>
  <si>
    <t>The British and Kenyan governments have had a 50-year agreement that British soldiers could train in Kenya. During that time, it is claimed, women were raped and many tribesmen were injured or killed during British training maneuvers. Over 1,000 Kenyan Maasai and Samburu tribesmen were killed or maimed by live ordnance left behind by British troops.  The tribesmen’s lawyer Martin Day is hoping to have a compensatory deal organized and paid out within a year’s time.  In 2002, a first group of Kenyan tribesmen received a $45 million, out-of-court settlement from the British government.  
(source: Political Apologies and Reparations Archive)</t>
  </si>
  <si>
    <t>http://mg.co.za/article/2002-01-01-kenyans-splash-out-after-uk-compensation-windfall,
http://news.bbc.co.uk/2/hi/uk_news/2139366.stm</t>
  </si>
  <si>
    <t>mg.co.za:
http://web.archive.org/web/20251003092921/https://mg.co.za/article/2002-01-01-kenyans-splash-out-after-uk-compensation-windfall/ [03 October 2025]
news.bbc.co.uk: http://web.archive.org/web/20240613030419/http://news.bbc.co.uk/2/hi/uk_news/2139366.stm [13 June 2024]</t>
  </si>
  <si>
    <t>Political Apologies and Reparations Archive: Approximately 228 Kenyan tribesmen received a 4.5 million dollar payout from the British government. Many tribesmen were killed or maimed by live ordnance left behind by British troops who once trained in the areas.
1 January 2002: Payouts ranging from $10 000 to almost $240 000 arrived on Monday at a bank in Nanyuki, about 200 kilometres north of Nairobi, attracting long queues of Samburu herdsmen, among the poorest people in a country where about half the population lives on less than a dollar a day. Some 288 people benefitted from the $4,5-million payout, settled out of court after a British law firm took up the Kenyans’ cause. (Mail &amp; Guardian)
19 July 2002: The UK Government has struck a deal with lawyers representing 228 Kenyan tribespeople bereaved or maimed by British Army explosives left on their land. Britain's Ministry of Defence agreed to pay more than $7m (£4.5m) plus costs, following two days of talks in London aimed at settling the case without going to court. (BBC News)</t>
  </si>
  <si>
    <t>Kenya, United Kingdom, UK, Great Britain, Samburu, rape, Maasai, kenyans, kenya, kenyan, nairobi, reparations, compensation, pays, tribespeople, payouts, pay</t>
  </si>
  <si>
    <t>UK Reparations for Civilians Harmed in UK Military Operations in Iraq</t>
  </si>
  <si>
    <t>Civilians harmed in UK military operations in Iraq</t>
  </si>
  <si>
    <t>UK military operations in Iraq.</t>
  </si>
  <si>
    <t>Multiple settlements were made since 2003.
Reparations payments are still ongoing.</t>
  </si>
  <si>
    <t>Political Apologies and Reparations Archive (2005.0066.06 - Updated)</t>
  </si>
  <si>
    <t>https://www.theguardian.com/commentisfree/2016/oct/03/british-army-abuses-iraq-compensation,
https://www.forcesnews.com/news/mod-paid-over-ps20m-iraq-war-compensation-claims,
https://www.theguardian.com/uk-news/2021/nov/06/mod-has-settled-417-iraq-war-compensation-claims-this-year,
https://reliefweb.int/report/afghanistan/reparations-civilian-harm-military-operations-towards-uk-policy</t>
  </si>
  <si>
    <t>www.theguardian.com:
https://web.archive.org/web/20250430012140/https://www.theguardian.com/commentisfree/2016/oct/03/british-army-abuses-iraq-compensation [30 April 2025]
www.forcesnews.com:
https://web.archive.org/web/20251003094658/https://www.forcesnews.com/news/mod-paid-over-ps20m-iraq-war-compensation-claims [03 October 2025]
www.theguardian.com:
https://web.archive.org/web/20241204010035/https://www.theguardian.com/uk-news/2021/nov/06/mod-has-settled-417-iraq-war-compensation-claims-this-year [04 December 2024]
reliefweb.int: http://web.archive.org/web/20220121054523/https://reliefweb.int/report/afghanistan/reparations-civilian-harm-military-operations-towards-uk-policy [21 January 2022]</t>
  </si>
  <si>
    <t>3 October 2016: The Ministry of Defence has already paid out £20m in compensation to victims of abuse in Iraq. This is for a total of 326 cases. (The Guardian)
13 June 2017: More than £20 million of taxpayers' money was used to settle compensation claims against the British military from the Iraq War, it's emerged. The Ministry of Defence (MoD) settled 1,471 claims from Iraqi nationals between 2003/04 and 2016/17, paying out £21,949,879, according to figures obtained by the Press Association through a Freedom of Information (FOI) request. (Forces News)
6 November 2021:
The Ministry of Defence has quietly settled 417 Iraq compensation claims and paid out several million pounds to resolve accusations that British troops subjected Iraqis to cruel and inhumane treatment, arbitrary detention or assault. Individual claims that have been settled run into the low tens of thousands and follow high court rulings that concluded there were breaches of the Geneva conventions and the Human Rights Act during the military operation that followed the invasion in 2003. “The settlements here cover a mix of cases, instances of false imprisonment, assault,” the lawyer added. “What this shows is that when it comes to what amounts to policing in a foreign state, the military are simply not the right people to do it.” Many of the details of the cases remain confidential, although one involved the death of a 13-year-old boy. However, the financial settlements were based on four test cases concluded in the high court in 2017. The four were awarded a total of £84,000 based on three separate incidents. [...] The MoD has not made any public announcement about the claims, but an official disclosure out this week showed that the civil actions had been resolved. It noted that 417 “Iraq private law” claims had been settled during 2020-21 and a further 13 relating to Afghanistan. (The Guardian)
30 November 2021:
The compensation bill for civilians harmed in UK military operations in Iraq and Afghanistan has now reached £32 million, according to a new report by Ceasefire Centre for Civilian Rights. During the last year the Ministry of Defence (MoD) has quietly settled some 417 claims related to Iraq, and 13 related to Afghanistan, to add to thousands already settled. [...] Total payments are currently running at £5.4 million in relation to Afghanistan (4,740 cases) and £26.4 million in relation to Iraq (1,893 cases). The final figures may be significantly higher. (ReliefWeb)</t>
  </si>
  <si>
    <t>NOTE ON CONVERSION: The total compensation disbursed (£26.4 million) is reported as an accumulated figure paid as of 2021. We assume this figure represents the total value of all payments over the entire period. For comparison purposes, we treat it as a 2021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</si>
  <si>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United States, US, USA, America, Saddam Hussein, compensation, reparations, iraqis, iraqi, iraq, civilians, troops, victims, claims</t>
  </si>
  <si>
    <t>Northern Ireland Peace Process (Hillsborough Castle Agreement)</t>
  </si>
  <si>
    <t>Northern Ireland Government</t>
  </si>
  <si>
    <t>Victims of the Northern Ireland conflict</t>
  </si>
  <si>
    <t>The Hillsborough Castle Agreement, reached on February 5, 2010, was a significant step in the Northern Ireland peace process, devolving policing and justice powers to the Northern Ireland Executive.
(sourcE: https://www.gov.uk/government/publications/hillsborough-castle-agreement)</t>
  </si>
  <si>
    <t>Peace Agreements Database (ID: 764)</t>
  </si>
  <si>
    <t>Hillsborough Castle Agreement</t>
  </si>
  <si>
    <t>https://www.gov.uk/government/publications/hillsborough-castle-agreement,
https://assets.ireland.ie/documents/hillsborough-agreement.pdf</t>
  </si>
  <si>
    <t>www.gov.uk: http://web.archive.org/web/20250708213115/https://www.gov.uk/government/publications/hillsborough-castle-agreement [08 July 2025]
assets.ireland.ie:
https://web.archive.org/web/20241213135827/https://assets.ireland.ie/documents/hillsborough-agreement.pdf [13 December 2024]</t>
  </si>
  <si>
    <t>Peace Agreements Database (PA-X):
Page 12, Additional Financial Settlement – Letter from the Prime Minister dated 21 October ... - Hearing Loss. The Northern Ireland Executive will meet the first £12m of claims in any one year. Any sums incurred above that will be met through access to the reserve, based on annual agreement between the Northern Ireland Executive and HM Treasury on the litigation strategy. To assist the Northern Ireland Executive to meet the expected £12m a year pressure, the Treasury will be prepared to acquire from the Northern Ireland Executive sellable assets worth up to £12 million a year for five years, or £60 million in total. HM Treasury and Northern Ireland Executive will need to agree on the valuation methodology.</t>
  </si>
  <si>
    <t>More readings:
https://reparations.qub.ac.uk/assets/uploads/QUB-Bereaved-Report-SP-WEB.pdf,
https://lieber.westpoint.edu/compensation-bereaved-families-during-armed-conflict/</t>
  </si>
  <si>
    <t>valuation, settlement, agreements, hillsborough, castle, ireland, litigation, treasury, devolution, incurred</t>
  </si>
  <si>
    <t>Al-Jedda vs. United Kingdom</t>
  </si>
  <si>
    <t>Mr. Al-Jedda</t>
  </si>
  <si>
    <t>In October 2004 Mr. Al-Jedda – the applicant, who had a dual Iraqi/British nationality – was arrested in Iraq, on account of British intelligence services’ information that he would be recruiting terrorists and facilitating terrorist activities with the ultimate objective to attacking the Coalition Forces, present on Iraqi soil since March 2003, of which the United Kingdom (UK) was part of. Following his arrest, Mr. Al-Jedda was detained in a British military detention facility in Basra City until 30 December 2007. His continuing internment was repeatedly reviewed and authorised “for imperative reasons of security in Iraq” on the basis of intelligence material which was never disclosed to him. Although he was able to make written submissions to the reviewing authorities, no procedure for an oral hearing was available, neither existed intentions to bring criminal charges against him at any point of his detention. Mr. Al-Jedda was deprived of his British citizenship on 14 December 2007.
(source: https://nuhanovicfoundation.org/database/european-court-of-human-rights-al-jedda-vs-united-kingdom/)</t>
  </si>
  <si>
    <t>https://nuhanovicfoundation.org/database/european-court-of-human-rights-al-jedda-vs-united-kingdom/</t>
  </si>
  <si>
    <t>nuhanovicfoundation.org: http://web.archive.org/web/20250803172508/https://nuhanovicfoundation.org/database/european-court-of-human-rights-al-jedda-vs-united-kingdom/ [03 August 2025]</t>
  </si>
  <si>
    <t>The Nuhanovic Foundation:
Mr. Al-Jedda had submitted that his unlawful detention merited non-pecuniary damage in the region of € 115,000 euros (para. 112). Mindful of the fact that “non-pecuniary awards serve to give recognition to the fact that moral damage occurred as a result of a breach of a fundamental human right and reflect in the broadest of terms the severity of the damage” and taking into account the duration of Mr. Al-Jedda’s detention, the ECtHR awards him a compensation sum of € 25,000.</t>
  </si>
  <si>
    <t>jedda, detained, iraqi, arrest, internment, terrorist, detention, arrested, iraq, terrorists</t>
  </si>
  <si>
    <t>Al-Skeini and Others vs. United Kingdom</t>
  </si>
  <si>
    <t>Relatives of Iraqi civilians killed by British soldiers in Iraq in 2003 during British security operations</t>
  </si>
  <si>
    <t>The March 2003 invasion of Iraq by a USA led Coalition of armed forces that included United Kingdom (UK) contingents, aimed to ensure full dismantlement of Iraq’s capacity to use weapons of mass destruction. This was followed by a period of joint military occupation from May 1st 2003 until 28 June 2004. Southern Iraq was placed under the UK’s responsibility and control and it is in this time frame and area where the incidents giving rise to this case occurred: six Iraqi nationals died with UK involvement. Four of them were shot dead by British militaries, one was found dead after he had been arrested by British soldiers and one died while in British custody. Despite the British involvement in these events, the UK Secretary of State for Defence decided not to conduct independent inquiries into these deaths, not to accept liability for the deaths and not to award just satisfaction (para. 72). The applicants appealed this decision in legal proceedings in the UK that took four of them up to the country’s highest appeal court. This court ultimately found that the UK did not have jurisdiction over their relatives (para. 84 – with the exception of Mr. Baha Mousa (para. 88). Thereafter, the applicants lodged a complaint before the European Court of Human Rights (ECtHR) claiming that their relatives, in that particular part of Iraq that was occupied by the UK between May 2003 – June 2004, were within the jurisdiction of the UK for the purposes of Article 1 ECHR at the moment of death and that, except in relation to Mr. Baha Mousa, the UK failed to effectively investigate their deaths, in breach of the implied procedural obligation under Article 2 ECHR (para. 95). [...] The applicants each claimed 17,000 euros compensation for non-monetary damages caused by the UK’s negligence to effectively investigate the deaths of their relatives. The ECtHR determined that it falls to the Committee of Ministers acting under Article 46 ECHR to “address what may be required in practical terms by way of compliance” (para. 181) and awarded the full amount of compensation claimed (para. 182).
(sourcE: https://nuhanovicfoundation.org/database/european-court-of-human-rights-al-skeini-et-al-vs-united-kingdom/_</t>
  </si>
  <si>
    <t>European Database of Asylum Law</t>
  </si>
  <si>
    <t>https://nuhanovicfoundation.org/database/european-court-of-human-rights-al-skeini-et-al-vs-united-kingdom/,
https://www.asylumlawdatabase.eu/en/content/ecthr-–-al-skeini-and-others-v-united-kingdom-application-no-5572107-7-july-2011</t>
  </si>
  <si>
    <t>nuhanovicfoundation.org: http://web.archive.org/web/20250712062705/https://nuhanovicfoundation.org/database/european-court-of-human-rights-al-skeini-et-al-vs-united-kingdom/ [12 July 2025]
www.asylumlawdatabase.eu: http://web.archive.org/web/20250813033152/https://www.asylumlawdatabase.eu/en/content/ecthr-%E2%80%93-al-skeini-and-others-v-united-kingdom-application-no-5572107-7-july-2011 [13 August 2025]</t>
  </si>
  <si>
    <t>The Nuhanovic Foundation:
The applicants each claimed 17,000 euros compensation for non-monetary damages caused by the UK’s negligence to effectively investigate the deaths of their relatives. The ECtHR determined that it falls to the Committee of Ministers acting under Article 46 ECHR to “address what may be required in practical terms by way of compliance” (para. 181) and awarded the full amount of compensation claimed (para. 182).
European Database of Asylum Law:
Application partly successful. The Court unanimously held that the applicants’ deceased relatives fell within the jurisdiction of the UK, that the sixth applicant could no longer claim to be a victim of a violation of the procedural obligation under Article 2, and that the Government had breached its procedural obligation under Article 2 to carry out an adequate and effective investigation into the deaths of the relatives of the first five applicants. The Court further held that the UK was to pay each of the first five applicants EUR 17,000 in respect of non-pecuniary damage, and EUR 50,000 to the first five applicants jointly, in respect of costs and expenses.</t>
  </si>
  <si>
    <t>iraqi, iraq, civilians, soldiers, al, negligence, skeini, jurisdiction, appealed, appeal</t>
  </si>
  <si>
    <t>Compensation to Mau Mau Torture Victims in Kenya (based on the Ndiki Mutua vs. United Kingdom Case)</t>
  </si>
  <si>
    <t>Kenya's Mau Mau torture victims</t>
  </si>
  <si>
    <t>Kenyan independence fighters known as Mau Mau fought against their British colonizers, and British settlers in Kenya, from about 1952 until Kenyan independence in 1962. There is evidence that the British forces, British settlers and colonial police used brutal methods against the Mau Mau, such as torture and mass confinement in concentration camps; some of these methods were illegal at the time.
(source: Political Apologies and Reparations Archive)</t>
  </si>
  <si>
    <t>https://www.theguardian.com/world/2013/jun/06/uk-compensate-kenya-mau-mau-torture,
https://www.bbc.com/news/uk-22790037,
https://www.dw.com/en/uk-compensates-mau-mau-veterans/a-16863967,
https://www.nytimes.com/2013/06/07/world/europe/britain-colonial-torture-kenya.html?_r=0,
http://www2.macleans.ca/2013/06/06/british-government-formally-apologizes-for-colonial-crimes-offers-financial-compensation/ (NOT WORKING),
https://khrc.or.ke/press-release/the-mau-mau-settlement-setting-the-record-straight/,
https://nuhanovicfoundation.org/database/united-kingdom-foreign-and-commonwealth-office-ndiki-mutua-vs-united-kingdom-out-of-court-settlement/,
https://www.standardmedia.co.ke/health/amp/national/article/2001510390/uk-government-dismisses-mau-mau-compensation-payout-claims</t>
  </si>
  <si>
    <t>www.theguardian.com:
https://web.archive.org/web/20250924043733/https://www.theguardian.com/world/2013/jun/06/uk-compensate-kenya-mau-mau-torture [24 September 2025]
www.bbc.com:
https://web.archive.org/web/20250916102130/https://www.bbc.com/news/uk-22790037 [16 September 2025]
www.dw.com:
https://web.archive.org/web/20240810130445/https://www.dw.com/en/uk-compensates-mau-mau-veterans/a-16863967 [10 August 2024]
www.nytimes.com
https://web.archive.org/web/20230627162119/https://www.nytimes.com/2013/06/07/world/europe/britain-colonial-torture-kenya.html?_r=0 [27 June 2023]
www2.macleans.ca:
https://web.archive.org/web/20140301095358/http://www2.macleans.ca/2013/06/06/british-government-formally-apologizes-for-colonial-crimes-offers-financial-compensation/ [01 March 2014]
khrc.or.ke:
https://web.archive.org/web/20241022214632/https://khrc.or.ke/press-release/the-mau-mau-settlement-setting-the-record-straight/ [22 October 2024]
nuhanovicfoundation.org:
https://web.archive.org/web/20250615053855/https://nuhanovicfoundation.org/database/united-kingdom-foreign-and-commonwealth-office-ndiki-mutua-vs-united-kingdom-out-of-court-settlement/ [15 June 2025]
www.standardmedia.co.ke:
https://web.archive.org/web/20251003093107/https://www.standardmedia.co.ke/health/amp/national/article/2001510390/uk-government-dismisses-mau-mau-compensation-payout-claims [03 October 2025]</t>
  </si>
  <si>
    <t>6 June 2013: UK to compensate Kenya's Mau Mau torture victims. William Hague says payments totalling £19.9m represent 'full and final settlement' of action brought by five victims of torture. (The Guardian)
6 June 2013: Kenyans tortured by British colonial forces during the Mau Mau uprising will receive payouts totalling £20m, Foreign Secretary William Hague has announced. (BBC News)
6 June 2013: The British government has agreed to compensate 5,200 Kenyans tortured during the Mau Mau uprising against colonial rule in the 1950s. The settlement came after a High Court ruling in favor of three elderly Kenyans.Foreign Secretary William Hague told the House of Commons the government would pay a total of 19.9 million pounds sterling (23.5 million euros, $30.8 million) to 5,228 clients represented by a British law firm. (DW)
6 June 2013: In a remarkable admission that imperial forces tortured Kenyans fighting against British rule in the 1950s, Foreign Secretary William Hague announced Thursday that the government would pay about $30 million in compensation to more than 5,000 victims of abuse in its former East African colony. (The New York Times)
6 June 2013: Foreign Secretary William Hague said 5,228 victims would receive payments totalling £19.9m following an agreement with lawyers acting for the victims, who have been fighting for compensation for a number of years. The compensation amounts to about £3,000 per victim and applies only to the living survivors of the abuses that took place. Mr. Hague said Britain still did not accept it was legally liable for the actions of what was a colonial administration in Kenya. (Maclean's)
21 June 2013: On 6th June 2013, the British Government announced that it had reached an out-of-court settlement with Leigh Day, the Mau Mau War Veterans Association (MMWVA) and the Kenya Human Rights Commission (KHRC). [...] The settlement is based on the case of Ndiku Mutua &amp; Others – v – The Foreign and Commonwealth Office Case No: HQ09X02666 of 2012, a test case on torture that was filed in the UK by the law firm, Leigh Day, on 23rd June 2009. There were five claimants in this case: Ndiku Mutua, Jane Muthoni Mara, Wambugu Nyingi, Paulo Nzili and Susan Ciong’ombe Ngondi.  Susan Ngondi passed away whilst Ndiku Mutua withdrew for personal reasons. (KHRC)
Political Apologies and Reparations Archive: 
British Foreign Secretary William Hague expressed “sincere regret” for British crimes in Kenya. He stated: “The British Government recognises that Kenyans were subject to torture and other forms of ill-treatment at the hands of the colonial administration. The British government sincerely regrets that these abuses took place, and that they marred Kenya’s progress towards independence. Torture and ill-treatment are abhorrent violations of human dignity which we unreservedly condemn.” The reparations paid to Kenya amount to £19.9 million, shared among 5,228 Kenyan claimants. This equates to £3,806 per person. The reparations are described as “full and final.”
The Nuhanovic Foundation: 
William Hague, announces the out-of-court settlement of the case of Ndiki Mutua et al vs UK (2012 – see elsewhere in this section). Although the UK Foreign Office had initially intended to appeal the 2012 decision granting the applicants permission to proceed with their claims, it ultimately decided instead to settle the claims out of court. First of all, the Forign Secretary stated that ‘[t]he British Government sincerely regret that these abuses took place and that they marred Kenya’s progress towards independence. Torture and ill treatment are abhorrent violations of human dignity, which we unreservedly condemn.’ Apologies and assurences of non-repetition are among the measures included under the reparation known as ‘Satisfaction’. In addition, the agreement included monetary compensation,  namely ‘payment of a settlement sum in respect of 5,228 claimants, as well as a gross costs sum to the total value of £19.9 million. The Government will also support the construction of a memorial in Nairobi to the victims of torture and ill- treatment during the colonial era.’ (See a  report on the unveiling of the promised monument in 2015 elsewhere in this section). Such a Memorial also constitues one of the reparatorions of ‘Satisfaction’.
26 January 2025: In a letter addressed to Kiruga Thuku, a Member of the Nyeri County Assembly and signed by British High Commissioner to Kenya Neil Wigan on Thursday, the British administration clarified that no payments have been made to the Kenyan government, individuals, or groups since the final settlement in 2013. (The Standard)</t>
  </si>
  <si>
    <t>Mau Mau, Kenya, United Kingdom, UK, Great Britain, England, kenyans, kenyan, nairobi, mau, torture, tortured, african, reparations, compensation</t>
  </si>
  <si>
    <t>UK Payment Scheme for Former Child Migrants</t>
  </si>
  <si>
    <t>Former child migrants</t>
  </si>
  <si>
    <t>Between 1945-70, around 4,000 children were sent to institutions in the Commonwealth. Some were beaten, raped and forced to do manual labour - sometimes resulting in lifelong emotional problems. (source: https://www.bbc.com/news/uk-46625762)
In December 2018, the UK government announced they were establishing a payment scheme for former British Child Migrants. The scheme was for people who had been separated from their families and sent overseas as part of the UK government’s participation in child migration programs.
(source: https://www.findandconnect.gov.au/entity/payment-scheme-for-former-british-child-migrants-uk-government/)</t>
  </si>
  <si>
    <t>Child Migrants Trust</t>
  </si>
  <si>
    <t>Government of the UK</t>
  </si>
  <si>
    <t>Government of the UK:
All former British child migrants will be able to apply for a financial redress scheme set up by the government on the basis that they were exposed to the risk of sexual abuse The payments are being made in respect of the harm done to former British child migrants in being separated from their families and sent overseas as part of the UK government’s historic participation in child migration programmes. Payments will be made to all former British child migrants, regardless of whether they suffered abuse. [...] Each eligible former child migrant will receive a payment of £20,000. To apply, you must have been sent from England, Scotland, Wales, Northern Ireland, the Channel Islands or the Isle of Man before 1971 when you were below school leaving age. You must have been sent by a voluntary care agency (or local authority in some cases), without your parents, to Australia, Canada, New Zealand or the former Rhodesia.
The scheme has been set up by the government after a recommendation made in the Independent Inquiry into Child Sexual Abuse (IICSA) interim report and its report on child migration programmes, which were both published in spring 2018. The government announced that it would set up a payment scheme in its response to the inquiry in December 2018, in recognition of the fundamentally flawed nature of the historic child migration policy.
19 December 2018:
The UK government has agreed to pay compensation to thousands of Britons who were sent abroad as children under a resettlement scheme. Between 1945-70, around 4,000 children were sent to institutions in the Commonwealth. Some were beaten, raped and forced to do manual labour - sometimes resulting in lifelong emotional problems. The Department for Health said it accepted the scheme was "fundamentally flawed". In March, the Independent Inquiry into Child Sexual Abuse (IICSA) said the government should compensate all 2,000 former migrants still alive within 12 months. (BBC New)
Government of the UK (FINANCIAL STATEMENTS FOR THE YEAR ENDED 31ST MARCH 2024): Most applicants reside in Australia with others from the UK, Canada and Zimbabwe. The overall total stands at 1750 payments.</t>
  </si>
  <si>
    <t>The Total Amount Pledged is calculated by multiplying the number of eligible surviving former migrants by the individual payment amount agreed on: 2,000 x £20,000 = £40,000,000.00
Total Amount Paid is calculated by multiplying the total number of payments made by the fixed individual payment amount (£20,000), resulting in an estimated total of 1,750 × £20,000 (= £35,000,000).
The figure of 1,750 payments is taken from the UK Government, Financial Statements for the Year Ended 31 March 2024. We therefore assume that this total reflects payments made up to and including 2024.</t>
  </si>
  <si>
    <t>migrants, migrant, payments, britons, british, commonwealth, wales, payment, migration, scotland</t>
  </si>
  <si>
    <t>Compensation to "Bloody Sunday" Victims</t>
  </si>
  <si>
    <t>Great Britain</t>
  </si>
  <si>
    <t>Relatives of "Bloody Sunday" victims</t>
  </si>
  <si>
    <t>On 30 January 1972, British paratroopers fired on a crowd of civil rights protestors in Londonderry, Northern Ireland, killing 13 of them at the time, and one who died from his wounds several months later. The day, known as Bloody Sunday, was one of the most horrific incidents targeting civilians in the decades of violence pitting the British army and Unionist paramilitary groups against the Provisional Irish Republican Army. A government-sponsored inquiry that lasted 12 years from 1998 to 2010 concluded that British soldiers were almost entirely responsible for the deaths as none of the people who were killed had been armed or had posed a serious threat. The Saville Report found that there had been a serious and widespread loss offire discipline and that soldiers had not given any warning before theyfired.
(source: Political Apologies and Reparations Archive)</t>
  </si>
  <si>
    <t>http://www.nytimes.com/2011/09/23/world/europe/bloody-sunday-northern-ireland-compensation-britain.html,
https://www.bbc.com/news/uk-northern-ireland-foyle-west-45981720#,
http://www.bloody-sunday-inquiry.org/</t>
  </si>
  <si>
    <t>www.nytimes.com: http://web.archive.org/web/20241110090317/https://www.nytimes.com/2011/09/23/world/europe/bloody-sunday-northern-ireland-compensation-britain.html [10 November 2024]
www.bbc.com: http://web.archive.org/web/20220830140843/https://www.bbc.com/news/uk-northern-ireland-foyle-west-45981720 [30 August 2022]
www.bloody-sunday-inquiry.org: http://web.archive.org/web/20250919175231/https://bloody-sunday-inquiry.org/ [19 September 2025]</t>
  </si>
  <si>
    <t>22 September 2011: The British government will compensate relatives of victims of the 1972 Northern Ireland shootings by British troops that became known as “Bloody Sunday,” the Defense Ministry said on Thursdafy. The announcement confirmed that the government was prepared to resolve claims by relatives of the 14 people who were killed by soldiers in a British parachute regiment as they marched in Londonderry on Jan. 30, 1972. Thirteen others were wounded on a day that became a bitter emblem of injustice over three decades of sectarian strife in Northern Ireland in a conflict that claimed more than 3,600 lives and spilled across Britain. (The New York Times)
25 October 2018: Damages worth more than £900,000 are to be paid out in compensation claims brought over the Bloody Sunday shootings in Londonderry. The families of nine of those killed by British soldiers in the city in January 1972 are to be paid £75,000 each. Another five people wounded are to receive £50,000. Thirteen people died after members of the Army's Parachute Regiment opened fire on civil rights demonstrators. A fourteenth person died later. (BBC News)</t>
  </si>
  <si>
    <t>Britain, Northern Ireland, Bloody Sunday, Provisional Irish Republican Army, IRA, Saville Report, Cameron, victims, bloody, soldiers, demonstrators, wounded, protestors, sunday, paratroopers, paramilitary, deaths</t>
  </si>
  <si>
    <t>UK Pays Compensation to Greek Cypriots</t>
  </si>
  <si>
    <t>Group of Greek Cypriots (former members of EOKA)</t>
  </si>
  <si>
    <t>The British government has said it will pay £1m in compensation to a group of Greek Cypriots following claims of human rights abuses during the island’s struggle for independence.
(source: https://www.theguardian.com/world/2019/jan/23/britain-to-pay-group-of-greek-cypriots-1m-after-claims-of-human-rights-abuse)</t>
  </si>
  <si>
    <t>UK Parliament</t>
  </si>
  <si>
    <t>https://questions-statements.parliament.uk/written-statements/detail/2019-01-23/hcws1269,
https://www.theguardian.com/world/2019/jan/23/britain-to-pay-group-of-greek-cypriots-1m-after-claims-of-human-rights-abuse</t>
  </si>
  <si>
    <t>questions-statements.parliament.uk:
https://web.archive.org/web/20250321004804/https://questions-statements.parliament.uk/written-statements/detail/2019-01-23/hcws1269 [21March 2025]
www.theguardian.com:
https://web.archive.org/web/20240529191554/https://www.theguardian.com/world/2019/jan/23/britain-to-pay-group-of-greek-cypriots-1m-after-claims-of-human-rights-abuse [29 May 2024]</t>
  </si>
  <si>
    <t>23 January 2019: In July 2015, 35 individuals (since reduced to 33) brought claims against the Secretary of State for Foreign and Commonwealth Affairs and the Secretary of State for Defence regarding their treatment in detention during the Emergency. The Government has now reached an agreement with the claimants, in full and final settlement of those claims. The UK Government has agreed to pay a settlement sum of £1,000,000 in damages with an amount in legal costs to be determined by the court in due course. The settlement does not constitute any admission of liability and is not a precedent in respect of any potential future claims against the Government. Indeed, the Government has maintained throughout proceedings that the passage of time means that it is now no longer possible to establish all of the facts with certainty. However, the Government has settled the case in order to draw a line under this litigation and to avoid the further escalation of costs, which would ultimately be borne by the taxpayer. (UK Parliament)
23 January 2019: The British government has said it will pay £1m in compensation to a group of Greek Cypriots following claims of human rights abuses during the island’s struggle for independence. In a statement that expressed regret, if not responsibility, for the actions of imperial officers, the minister of state for Europe, Sir Alan Duncan, announced the UK had reached an out-of-court settlement with 33 former members of Eoka, the armed guerrilla group that led the campaign to end British rule in Cyprus in the mid-1950s. (The Guardian)</t>
  </si>
  <si>
    <t>cypriots, compensation, cyprus, pay, pays, settlement, eoka, duncan, island, british</t>
  </si>
  <si>
    <t>Caribbean Reparations Agreement (Memorandum of Understanding Between The University of the West Indies and the University of Glasgow)</t>
  </si>
  <si>
    <t>University of Glasgow</t>
  </si>
  <si>
    <t>Educational institution</t>
  </si>
  <si>
    <t>University of the West Indies</t>
  </si>
  <si>
    <t>The University of the West Indies (UWI) and the University of Glasgow have signed the first ever agreement for slavery reparations since British Emancipation in 1838. The £20 million agreement was signed at the Regional Headquarters of The UWI in Kingston, Jamaica on July 31, 2019 by Vice-Chancellor, Professor Sir Hilary Beckles and Dr David Duncan, University of Glasgow’s Chief Operating Officer, representing Vice-Chancellor, Professor Sir Anton Muscatelli. The terms of the agreement call for the University of Glasgow to provide £20 million to fund research to promote development initiatives to be jointly undertaken with The UWI over the next two decades. The sum of £20 million was the amount paid to slave owners as reparations by the British government when it abolished slavery in 1834.
(source: https://sta.uwi.edu/news/releases/release.asp?id=21947)</t>
  </si>
  <si>
    <t>The University of the West Indies</t>
  </si>
  <si>
    <t>Turks and Caicos SUN Newspaper</t>
  </si>
  <si>
    <t>https://suntci.com/million-caribbean-reparations-agreement-p4411-129.htm,
https://sta.uwi.edu/news/releases/release.asp?id=21947</t>
  </si>
  <si>
    <t>suntci.com:
https://web.archive.org/web/20251003093409/https://suntci.com/million-caribbean-reparations-agreement-p4411-129.htm [03 October 2025]
sta.uwi.edu: http://web.archive.org/web/20250804005549/https://sta.uwi.edu/news/releases/release.asp?id=21947 [04 August 2025]</t>
  </si>
  <si>
    <t>2 August 2019:
The University of the West Indies (UWI) and the University of Glasgow have signed the first ever agreement for slavery reparations since British Emancipation in 1838. The £20 million agreement was signed at the Regional Headquarters of The UWI in Kingston, Jamaica last week by Vice-Chancellor, Professor Sir Hilary Beckles and Dr David Duncan, University of Glasgow’s Chief Operating Officer, representing Vice-Chancellor, Professor Sir Anton Muscatelli. The terms of the agreement call for the University of Glasgow to provide £20 million to fund research to promote development initiatives to be jointly undertaken with The UWI over the next two decades. The sum of £20 million was the amount paid to slave owners as reparations by the British government when it abolished slavery in 1834. The agreement represents the first occasion on which a slavery-enriched British or European institution has apologized for its part in slavery and committed funds to facilitate a reparations programme. In this instance, the two universities have adopted a regional development approach to reparations. The funds will facilitate the operations of a jointly-owned and managed institution to be called the Glasgow-Caribbean Centre for Development Research. The Centre will target and promote solutions to Caribbean development problems in areas such as medicine and public health, economics and economic growth, cultural identity and cultural industries, and other 21st century orientations in Caribbean transformation. (Turks and Caicos SUN Newspaper; The University of the West Indies)</t>
  </si>
  <si>
    <t>reparations, jamaica, universities, university, institution, indies, uwi, glasgow, slavery, paid</t>
  </si>
  <si>
    <t>The Historical Institutional Abuse (Northern Ireland) Act of 2019</t>
  </si>
  <si>
    <t>People who suffered abuse at state, church or charity-run homes in Northern Ireland</t>
  </si>
  <si>
    <t>The Historical Institutional Abuse (Northern Ireland) Act 2019 received Royal Assent on 5 November 2019. The Act provides the legal framework for the establishment of the Historical Institutional Abuse Redress Board. The Redress Board is responsible for receiving and processing applications for compensation from those who experienced abuse in residential institutions in Northern Ireland between 1922 and 1995. 
(source: https://www.hiaredressni.uk/about-us)</t>
  </si>
  <si>
    <t>Reparations payments are still ongoing, but data on payments are as of 2023.</t>
  </si>
  <si>
    <t>Historical Institutional Abuse Redress Board</t>
  </si>
  <si>
    <t>https://www.bbc.com/news/uk-northern-ireland-67124101,
https://www.hiaredressni.uk</t>
  </si>
  <si>
    <t>www.bbc.com: http://web.archive.org/web/20250117070634/https://www.bbc.com/news/uk-northern-ireland-67124101 [17 January 2025]
www.hiaredressni.uk: http://web.archive.org/web/20250808015807/https://www.hiaredressni.uk/ [08 August 2025]</t>
  </si>
  <si>
    <t>16 October 2023: About £77m of compensation has been paid to survivors of historical institutional abuse in Northern Ireland so far. More than 4,000 applications for redress have been received, Stormont's Executive Office said. The awards have been made to people who suffered abuse at state, church or charity-run homes in Northern Ireland. The Historical Institutional Abuse Redress Board, set up to process applications, began payments in 2020. However, in April 2021 a Stormont committee was told it could take up to 10 years to work through these applications. (BBC News)</t>
  </si>
  <si>
    <t>NOTE ON CONVERSION: The total compensation disbursed (£77m) is reported as an accumulated figure paid as of 2023. We assume this figure represents the total value of all payments over the entire period. For comparison purposes, we treat it as a 2023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</si>
  <si>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Compensation Payments for Northern Ireland Legacy Claims</t>
  </si>
  <si>
    <t>Action on Armed Violence (AOAV)</t>
  </si>
  <si>
    <t>https://aoav.org.uk/2024/mod-pays-over-12-5-million-in-recent-northern-ireland-legacy-claims/</t>
  </si>
  <si>
    <t>aoav.org.uk: http://web.archive.org/web/20240603171928/https://aoav.org.uk/2024/mod-pays-over-12-5-million-in-recent-northern-ireland-legacy-claims/ [03 June 2024]</t>
  </si>
  <si>
    <t>3 June 2024: The British Ministry of Defence (MOD) has paid out a cumulative total of £12,576,458.50 in compensation to 82 claimants over the past five years for Northern Ireland legacy claims, according to a recent Freedom of Information (FOI) disclosure. The information was revealed in a response to an FOI request made by Action on Armed Violence (AOAV), which sought details of all compensation payments made by the MOD to civilians globally from 2019 to 2023. (AOAV)</t>
  </si>
  <si>
    <t>NOTE ON CONVERSION: The total compensation disbursed (£12,576,458.50) is reported as an accumulated figure paid as of 2024.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</si>
  <si>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Troubles Permanent Disablement Payment Scheme (Administered by the Victims' Payments Board)</t>
  </si>
  <si>
    <t>Anyone who may have suffered permanent disabling physical or psychological injuries as a result of a Troubles-related incident</t>
  </si>
  <si>
    <t>The scheme opened for applications on August 31, 2021 and the current closing date is August 31, 2026.
Payments are still ongoing.</t>
  </si>
  <si>
    <t>The Independent</t>
  </si>
  <si>
    <t>https://www.gov.uk/government/news/northern-ireland-troubles-related-incident-victims-payments-scheme,
https://www.independent.co.uk/news/uk/northern-ireland-troubles-great-britain-europe-ireland-b2498151.html,
https://www.victimspaymentsboard.org.uk/statistics</t>
  </si>
  <si>
    <t xml:space="preserve">31 January 2020: This scheme acknowledges the harm caused to those people injured through no fault of their own in the Troubles through annual payments of c. £2,000 to £10,000 for the rest of their lives. (Government of the UK)
18 February 2024: Almost £35 million has been paid out to those who suffered a significant injury as a result of violence in Northern Ireland’s troubled past. [...] The scheme opened for applications on August 31, 2021 and the current closing date is August 31, 2026. To date, more than 6,500 applications have been received and more than £34.8 million has been paid out to victims.  (The Independent)
As of 22/08/2025: Total Payments made to applicants is £ 104,914,259.76 (According to https://www.victimspaymentsboard.org.uk/statistics) </t>
  </si>
  <si>
    <t>The “Total Amount Paid” reflects cumulative disbursements reported as of 2025. As the database records payments up to 2024, this figure is treated as a 2024 value for conversion purposes, acknowledging that it is an approximation rather than an exact match in timing.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</si>
  <si>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Aristocratic British Family Pays Reparation for Slave Trade Involvement</t>
  </si>
  <si>
    <t>The Trevelyan Family</t>
  </si>
  <si>
    <t>People of Grenada</t>
  </si>
  <si>
    <t>Grenada</t>
  </si>
  <si>
    <t>GRD</t>
  </si>
  <si>
    <t>In 1835, the Trevelyan family received £26,898, a huge sum at the time, in compensation from the British government for the abolition of slavery a year earlier. The enslaved men, women and children on their plantations received nothing, and were forced to work a further eight years unpaid as “apprentices”. [...] In 2023, the Trevelyan family agreed to donate more than £100,000 to education projects on the tiny Caribbean island as compensation for its involvement in slavery.
(source: https://www.theguardian.com/world/2023/feb/04/british-slave-owners-family-apologise-reparations-trevelyans)</t>
  </si>
  <si>
    <t>https://www.theguardian.com/world/2023/feb/04/british-slave-owners-family-apologise-reparations-trevelyans</t>
  </si>
  <si>
    <t>www.theguardian.com:
https://web.archive.org/web/20250910115600/https://www.theguardian.com/world/2023/feb/04/british-slave-owners-family-apologise-reparations-trevelyans [10 September 2025]</t>
  </si>
  <si>
    <t>4 February 2023: So we wrote a letter of apology to the people of Grenada and decided to donate more than £100,000 to education projects on the island. After emancipation, most former enslaved people were illiterate. Helping Grenadian students build a brighter future through education seemed like the obvious way to try to repair the damage of the past. (The Guardian)</t>
  </si>
  <si>
    <t>grenada, reparation, slavery, enslaved, caribbean, grenadian, compensation, emancipation, slave, pays</t>
  </si>
  <si>
    <t>Compensation to Patsy O'Donnell's Family (Bloody Sunday's Victim)</t>
  </si>
  <si>
    <t>Patsy O'Donnell's family</t>
  </si>
  <si>
    <t>Thirteen people were shot dead and at least 15 others injured when members of the Army's Parachute Regiment opened fire on civil rights demonstrators in the Bogside - a predominantly Catholic part of Londonderry - on Sunday 30 January 1972. The day became known as Bloody Sunday. It is widely regarded as one of the darkest days of the Northern Ireland Troubles. (source: https://www.bbc.com/news/uk-northern-ireland-foyle-west-47433319)
The family of a man shot and beaten on Bloody Sunday is to receive £130,000 in damages, a High Court judge has ruled. Patsy O'Donnell, then aged 40, was shot in the shoulder as he tried to take cover from the gunfire. Thirteen people died after members of the Army's Parachute Regiment opened fire on civil rights demonstrators.
(source: https://www.bbc.com/news/uk-northern-ireland-66964920)</t>
  </si>
  <si>
    <t>https://www.bbc.com/news/uk-northern-ireland-66964920</t>
  </si>
  <si>
    <t>www.bbc.com: http://web.archive.org/web/20231214133931/https://www.bbc.com/news/uk-northern-ireland-66964920 [14 December 2023]</t>
  </si>
  <si>
    <t>29 September 2023: The family of a man shot and beaten on Bloody Sunday is to receive £130,000 in damages, a High Court judge has ruled. Patsy O'Donnell, then aged 40, was shot in the shoulder as he tried to take cover from the gunfire. (BBC)</t>
  </si>
  <si>
    <t>Lloyd's of London Compensation to African Americans</t>
  </si>
  <si>
    <t>Lloyd's of London</t>
  </si>
  <si>
    <t>African Americans communities</t>
  </si>
  <si>
    <t>Lloyd's of London, from its inception in 1688 until the outlawing of slavery in the British Empire in 1807, financed ships that transported millions of African slaves from Africa to the British Caribbean and the United States.
(source: Political Apologies and Reparations Archive)
An independent report found the 335-year-old insurance market had played a "significant role" in enabling the transatlantic trade. Lloyd's said it was committed to tackling inequality and will invest £40m in helping impacted communities. But campaign groups accused Lloyds of "reparations washing" and said it needed to do more.
(source: https://www.bbc.com/news/business-67354167)</t>
  </si>
  <si>
    <t>1-Jan-1688</t>
  </si>
  <si>
    <t>African Development Bank;
Inter-American Development Bank</t>
  </si>
  <si>
    <t>10 Reduced Inequalities</t>
  </si>
  <si>
    <t xml:space="preserve">https://www.reuters.com/business/finance/lloyds-london-invest-65-mln-following-slavery-report-2023-11-08/,
https://www.bbc.com/news/business-67354167
</t>
  </si>
  <si>
    <t>www.reuters.com: http://web.archive.org/web/20240709150201/https://www.reuters.com/business/finance/lloyds-london-invest-65-mln-following-slavery-report-2023-11-08/ [09 July 2024]
www.bbc.com: http://web.archive.org/web/20250111193729/https://www.bbc.com/news/business-67354167 [11 January 2025]</t>
  </si>
  <si>
    <t>8 November 2023: Lloyd's of London (SOLYD.UL) will invest 40 million pounds ($49.6 million) in regions affected by the transatlantic slave trade, it said on Wednesday, after a report showed the commercial insurance market had strong links to the trade. [...] Lloyd's said its Central Fund will invest $25 million in a bond administered by the African Development Bank and $25 million in a bond administered by the Inter-American Development Bank. The bonds will support the UN Sustainable Development Goal of "reduced inequality". "There's no way to compensate for the damage that has been done - too much has happened," said Junior Garba, co-founder of Equity, which provides recruitment and mentoring services for minority groups in the insurance sector. Garba added that Lloyd's initiatives were "a good starting point". (Reuters)
8 November 2023: An independent report found the 335-year-old insurance market had played a "significant role" in enabling the transatlantic trade. Lloyd's said it was committed to tackling inequality and will invest £40m in helping impacted communities. But campaign groups accused Lloyds of "reparations washing" and said it needed to do more. (BBC News)</t>
  </si>
  <si>
    <t>Lloyd's of London, United Kingdom, African Americans, United States, slavery, Farmer-Paellmann, black, Great Britain, England, reparations, lloyds, lloyd, slavery, slaves, investments, insurance, equity, fund, bank, london</t>
  </si>
  <si>
    <t>UK Pays Compensation to Gay Community Dismissed from Armed Services</t>
  </si>
  <si>
    <t>Great Britain (Ministry of Defence)</t>
  </si>
  <si>
    <t>Gay community dismissed from armed services</t>
  </si>
  <si>
    <t>Between approximately 1950 and 2000 the Armed Forces of Great Britain engaged in a campaign to clean out homosexuals from the armed services. Special Investigation teams were utilised to follow up on cases of suspected homosexuality and homosexuals discovered serving in the Armed Forces were forced to resign their positions without compensation. While the total number of homosexuals forced out of the Armed Forces is unknown, in the period between 1991 and 1996 361 gay and lesbian members of the Armed Forces were forced to resign. Homosexuality was decriminalised in Britain in 1967 but was not accepted by the military until 2000.
(source: Political Apologies and Reparations Archive)</t>
  </si>
  <si>
    <t>Political Apologies and Reparations Archive (2007.0036.01 - Updated)</t>
  </si>
  <si>
    <t>https://www.gov.uk/government/news/lgbt-veterans-to-receive-up-to-75-million-in-financial-recognition-for-historic-wrongs,
https://www.bbc.com/news/articles/ce8xm5pem5eo#,
https://www.forcesnews.com/lgbtq/terminally-ill-veterans-paid-lgbt-reparation-payments-full-charity-confirms</t>
  </si>
  <si>
    <t>www.gov.uk: http://web.archive.org/web/20250313015837/https://www.gov.uk/government/news/lgbt-veterans-to-receive-up-to-75-million-in-financial-recognition-for-historic-wrongs [13 March 2025]
www.bbc.com:
https://web.archive.org/web/20250824200527/https://www.bbc.com/news/articles/ce8xm5pem5eo [24 August 2025]
www.forcesnews.com: http://web.archive.org/web/20250514051715/https://www.forcesnews.com/lgbtq/terminally-ill-veterans-paid-lgbt-reparation-payments-full-charity-confirms [14 May 2025]</t>
  </si>
  <si>
    <t>Government of the UK:
LGBT veterans will receive up to £70,000 each to acknowledge the historic wrongs they experienced in the Armed Forces – with the Government increasing the total amount available for payments up to £75 million, significantly above the level recommended in the Etherton Review into the treatment of LGBT veterans. LGBT veterans who were dismissed or discharged because of their sexual orientation or gender identify will receive £50,000. As a result of the increased funding, additional payments of up to £20,000 will be available for veterans and Service Personnel who were negatively affected by the ban on LGBT personnel from 1967 to 2000 during their time in Service – this is an increase of 50% to the Financial Recognition Scheme.
12 December 2024: LGBT veterans who were dismissed from the armed forces for being gay will be eligible to receive up to £70,000 in compensation, the government has said. The Ministry of Defence said the move followed extensive engagement with LGBT veterans and campaigners. Veterans can apply to have their rank restored and discharge reason amended. The total amount available to affected personnel will be increased from a proposed £50m to £75m. [...] A National Audit Office report found that up to 4,000 veterans are expected to be eligible for compensation. (BBC News)
7 May 2025: Terminally ill LGBT veterans who submitted claims to a Government reparations scheme have received their compensation payments in full, a charity supporting ex-service personnel confirmed. Eight individuals with life-limiting illnesses have had their cases fast-tracked and settled just months after the scheme opened for applications. (Forces News)</t>
  </si>
  <si>
    <t>United Kingdom, Great Britain, gay, homosexual, military, armed forces, homosexuals, lgbt, homosexuality, gays, veterans, compensation, gay, discharged, lesbian, payments</t>
  </si>
  <si>
    <t>The Indian Claims Commission (ICC)</t>
  </si>
  <si>
    <t>Government of United States</t>
  </si>
  <si>
    <t>Multiple Native American tribes</t>
  </si>
  <si>
    <t>The Indian Claims Commission (ICC) was a judicial relations arbiter between the United States federal government and Native American tribes. It was established under the Indian Claims Act of 1946 by the United States Congress to hear any longstanding claims of Indian tribes against the United States. It took until the late 1970s to complete most of them, with the last case finished in the early 21st century. The Indian Claims Commission was created on August 13, 1946, after nearly 20 years of Congressional debates. Its purpose was to serve as a tribunal for hearing claims against the United States arising prior to that date by any Indian tribe or other identifiable group of Indians living in the United States. In this it exercised primary jurisdiction that formerly rested with the United States Court of Claims. The Court of Claims had jurisdiction over claims arising after August 13, 1946 and subsequently after the ICC ended its operations on April 10, 1977 on any claims filed with the ICC and not yet fully resolved. [...] Land was the dominant concern of the litigation by tribes before the Indian Claims Commission (ICC). The statutory authority did not permit this tribunal to grant or restore land to the tribes, but only to award money based upon a net acreage figure of lost lands times the monetary market value of an acre at the time of taking.
(source: https://en.wikipedia.org/wiki/Indian_Claims_Commission)</t>
  </si>
  <si>
    <t>https://en.wikipedia.org/wiki/Indian_Claims_Commission</t>
  </si>
  <si>
    <t>en.wikipedia.org: http://web.archive.org/web/20250814080344/https://en.wikipedia.org/wiki/Indian_Claims_Commission [14 August 2025]</t>
  </si>
  <si>
    <t>Reparations in the United States:
1946: Congress created the Indian Claims Commission to hear fraud and treaty violation claims against the United States government. The Commission was adjourned in 1978 with all pending cases transferred to the United States Court of Claims. By this time the Commission had adjudicated 546 claims and awarded more than $818 million in judgments. (A History of the Indians in the United States by Angie Debo (Norman, OK: University of Oklahoma Press, 1984, p. 346).
Wikipedia:
The Indian Claims Commission (ICC) was a judicial relations arbiter between the United States federal government and Native American tribes. It was established under the Indian Claims Act of 1946 by the United States Congress to hear any longstanding claims of Indian tribes against the United States. It took until the late 1970s to complete most of them, with the last case finished in the early 21st century. The Indian Claims Commission was created on August 13, 1946, after nearly 20 years of Congressional debates. Its purpose was to serve as a tribunal for hearing claims against the United States arising prior to that date by any Indian tribe or other identifiable group of Indians living in the United States. In this it exercised primary jurisdiction that formerly rested with the United States Court of Claims. The Court of Claims had jurisdiction over claims arising after August 13, 1946 and subsequently after the ICC ended its operations on April 10, 1977 on any claims filed with the ICC and not yet fully resolved.
The commission was conceived as way to thank Native Americans for their unprecedented service in World War II and as a way to relieve the anxiety and resentment caused by the United States' history of colonization of indigenous peoples. Together with the law, the Commission created a process for tribes to address their grievances against the United States, and offered monetary compensation for territory lost as a result of broken federal treaties. However, by accepting the government's monetary offer, the aggrieved tribe abdicated any right to raise their claim again in the future. On occasion, a tribe gave up federal recognition as part of the settlement of a claim.
[...] The Commission was adjourned in 1978 by Public Law 94-465,[3] which terminated the Commission and transferred its pending docket of 170 cases to the United States Court of Claims on September 30, 1978. By the time of the Commission's final report, it had awarded $818,172,606.64 in judgments and had completed 546 dockets.</t>
  </si>
  <si>
    <t>NOTE ON CONVERSION: The total compensation disbursed ($818 million) is reported as an accumulated figure paid as of 1978. We assume this figure represents the total value of all payments over the entire period. For comparison purposes, we treat it as a 1978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It includes also the following case:
Reparations in the United States:
1956: The Pawnees were awarded more than $1 million in a suit brought before the Indian Claims Commission for land taken from them in Iowa, Kansas, and Missouri. (Race, Racism, and Reparations by J. Angelo Corlett, 2003, Cornell University Press, p. 170.)</t>
  </si>
  <si>
    <t>tribes, tribunal, tribe, treaties, litigation, indians, indigenous, indian, jurisdiction, treaty</t>
  </si>
  <si>
    <t xml:space="preserve"> The Navajo-Hopi Rehabilitation Act</t>
  </si>
  <si>
    <t>The Navajo and Hopi tribes</t>
  </si>
  <si>
    <t>In 1950, the Navajo-Hopi Rehabilitation Act was passed, authorizing an appropriation of $88,570,000 over 10 years for a program benefiting the Navajo and Hopi, including soil conservation, education, business and industry development on reservation, and assistance in finding employment off-reservation.
(source: https://guides.library.umass.edu/reparations)</t>
  </si>
  <si>
    <t>The program is supposed to last 10 years.</t>
  </si>
  <si>
    <t>4 Quality Education;
8 Decent Work and Economic Growth;
9 Industry, Innovation and Infrastructure;
15 Life on Land</t>
  </si>
  <si>
    <t>https://www.trumanlibrary.gov/library/public-papers/91/statement-president-upon-signing-bill-aid-navajo-and-hopi-indian-tribes,
https://www.ebsco.com/research-starters/politics-and-government/navajo-rehabilitation-act</t>
  </si>
  <si>
    <t>www.trumanlibrary.gov:
https://web.archive.org/web/20250515202024/https://www.trumanlibrary.gov/library/public-papers/91/statement-president-upon-signing-bill-aid-navajo-and-hopi-indian-tribes [15 May 2025]
www.ebsco.com:
https://web.archive.org/web/20251227110028/https://www.ebsco.com/research-starters/politics-and-government/navajo-rehabilitation-act [27 December 2025]</t>
  </si>
  <si>
    <t>Reparations in the United States:
1950: The Navajo-Hopi Rehabilitation Act was passed, authorizing an appropriation of $88,570,000 over 10 years for a program benefiting the Navajo and Hopi, including soil conservation, education, business and industry development on reservation, and assistance in finding employment off-reservation. (A History of the Indians in the United States by Angie Debo (Norman, OK: University of Oklahoma Press, 1984, p. 348).)
19 April 1950: "I HAVE today signed S. 2734, a bill authorizing a long-range economic rehabilitation program for the Navajo and Hopi Indian Tribes. The passage of this act is an important milestone in our Government's administration of Indian affairs. It represents a carefully developed plan for dealing with the unsolved economic problems which have delayed the social advancement of this large segment of our Indian citizens. For these Indian groups it also represents a significant forward step in self-government--a principle to which the American people are deeply devoted. The present bill (S. 2734) is in substance the predecessor bill without the provisions to which I objected. It authorizes improvements which will help the Indians achieve greater economic stability, will provide better educational opportunities, and will lead to the improvement of their health. Among other helpful provisions is one which gives the Navajo Tribal Council greater control over the expenditure of tribal funds. The act also authorizes the Navajo Indians to adopt a constitution, which would enable them to exercise broad powers in the management of their own affairs."
(Harry S. Truman Library and Museum)
EBSCO:
In 1950, the president signed the Navajo Rehabilitation Act, which emerged from Congress without the offending jurisdictional provision. This version also provided expanded opportunities for Hopi participation in projects. The act appropriated $88,570,000. The largest portion, $25 million, was for school construction, followed by $20 million for roads and $19 million for rangelands and irrigation projects. Lesser amounts were appropriated for health and water facilities, industrial development, and other projects. More than $9 million was allocated for relocating and resettling individuals away from the two reservations. There were also provisions for loans and leases. Finally, one provision (ignored for more than thirty years) authorized the Navajo tribe to adopt a tribal constitution.
In 1958, Public Law 85-740 provided an additional $20 million to complete road construction. By 1962, more than 80 percent of the total appropriation had been expended, including nearly all the money targeted for roads and schools.</t>
  </si>
  <si>
    <t>According to EBSCO: By 1962, more than 80 percent of the total appropriation had been expended.</t>
  </si>
  <si>
    <t>navajo, rehabilitation, tribal, reparations, tribes, hopi, provisions, indians, conservation, reservations</t>
  </si>
  <si>
    <t>Tlingit and Haida Indians of Alaska v. United States</t>
  </si>
  <si>
    <t>The Tlingit and Haida tribes</t>
  </si>
  <si>
    <t>In the United States Court of Claims case Tlingit and Haida Indians of Alaska v. United States, the plaintiff tribes won a judgment of $7.5 million as just compensation for land taken by the United States government between 1891 and 1925.
(source: https://guides.library.umass.edu/reparations)</t>
  </si>
  <si>
    <t>1-Jan-1891</t>
  </si>
  <si>
    <t>U.S. Court of Claims</t>
  </si>
  <si>
    <t>https://www.leagle.com/decision/19681167389f2d7781967</t>
  </si>
  <si>
    <t>www.leagle.com:
https://web.archive.org/web/20241209100547/https://www.leagle.com/decision/19681167389f2d7781967 [09 December 2024]</t>
  </si>
  <si>
    <t>Reparations in the United States:
1968: In the United States Court of Claims case Tlingit and Haida Indians of Alaska v. United States, the plaintiff tribes won a judgment of $7.5 million as just compensation for land taken by the United States government between 1891 and 1925. (A History of the Indians in the United States by Angie Debo (Norman, OK: University of Oklahoma Press, 1984, p. 399).)</t>
  </si>
  <si>
    <t>tribes, plaintiff, indians, reparations, compensation, tlingit, alaska, judgment, haida, claims</t>
  </si>
  <si>
    <t>The Black Manifesto</t>
  </si>
  <si>
    <t>Episcopalian and Methodist churches in the United States</t>
  </si>
  <si>
    <t>African American organizations and communities</t>
  </si>
  <si>
    <t>The Black Manifesto was a 1969 manifesto that demanded $500 million (~$3.19 billion in 2023) in reparations from white churches and synagogues for their participation in the injustices of slavery and segregation committed against African-Americans.
(source: https://en.wikipedia.org/wiki/Black_Manifesto)</t>
  </si>
  <si>
    <t>https://episcopalarchives.org/church-awakens/files/original/c20bd83547dd3cf92e788041d7fddfa2.pdf</t>
  </si>
  <si>
    <t>episcopalarchives.org: http://web.archive.org/web/20250201140657/https://episcopalarchives.org/church-awakens/files/original/c20bd83547dd3cf92e788041d7fddfa2.pdf [01 February 2025]</t>
  </si>
  <si>
    <t>Reparations in the United States:
1969: The Black Manifesto was launched in Detroit as one of the first calls for reparations in the modern era. Penned by James Forman, former SNCC (Student Nonviolent Coordinating Committee) organizer, and released at the National Black Economic Development Conference, the manifesto demanded $500 million in reparations from predominantly White religious institutions for their role in perpetuating slavery. About $215,000 (other sources say $500,000) was raised from the Episcopalian and Methodist churches through rancorous deliberations that ultimately tore the coalition apart. The money was used to establish organizations such as a black-owned band, television networks, and the Black Economic Research Center. ("Black and Blue Chicago Finds a New Way to Heal" by Yana Kunichoff and Sarah Macaraeg, YES Magazine, Spring 2017; From Here to Equality: Reparations for Black Americans in the 21st Century by William A. Darity, Jr. and A. Kirsten Mullen (Chapel Hill, NC: UNC Press, 2020, pp. 14-15).</t>
  </si>
  <si>
    <t>manifesto, reparations, black, slavery, segregation, injustices, million, organizations, african, 1969</t>
  </si>
  <si>
    <t>Micronesian World War II Claims</t>
  </si>
  <si>
    <t>People of Micronesia</t>
  </si>
  <si>
    <t>FSM</t>
  </si>
  <si>
    <t>The people of Micronesia were awarded $67 million for losses incurred during World War II.
(source: https://www.gao.gov/products/id-77-62#:~:text=Highlights-,Highlights,the%20U.S.%20share%20in%20full.)</t>
  </si>
  <si>
    <t>U.S. Micronesian Claims Commission</t>
  </si>
  <si>
    <t>U.S. Government Accountability Office</t>
  </si>
  <si>
    <t>https://www.gao.gov/products/id-77-62#:~:text=Highlights-,Highlights,the%20U.S.%20share%20in%20full.</t>
  </si>
  <si>
    <t>www.gao.gov: http://web.archive.org/web/20250208191448/https://www.gao.gov/products/id-77-62 [08 February 2025]</t>
  </si>
  <si>
    <t>7 March 1978: The people of Micronesia were awarded $67 million for losses incurred during World War II. The United States was responsible for half the war-related awards of $34 million and for all postwar damages valued at over $32 million. Originally, the United States contributed $25 million to pay these awards. In October 1977, Congress authorized an additional $24 million to pay the U.S. share in full.</t>
  </si>
  <si>
    <t>micronesia, micronesian, losses, incurred, damages, million, pay, awards, war, awarded</t>
  </si>
  <si>
    <t>Alaska Native Claims Settlement Act</t>
  </si>
  <si>
    <t>Alaska Native corporations and tribes</t>
  </si>
  <si>
    <t>The Alaska Native Claims Settlement Act (ANCSA) was signed into law by President Richard Nixon on December 18, 1971, constituting what is still the largest land claims settlement in United States history. ANCSA was intended to resolve long-standing issues surrounding aboriginal land claims in Alaska, as well as to stimulate economic development throughout Alaska.
(source: https://en.wikipedia.org/wiki/Alaska_Native_Claims_Settlement_Act)</t>
  </si>
  <si>
    <t>According to the Library of Congress (USA), the payments were done over 11 years.</t>
  </si>
  <si>
    <t>Wikipedia;
Black Reparations Now! 40 Acres, $50 Dollars, and a Mule, + Interest by Dorothy Benton-Lewis</t>
  </si>
  <si>
    <t>https://en.wikipedia.org/wiki/Alaska_Native_Claims_Settlement_Act,
https://www.congress.gov/crs-product/R46997</t>
  </si>
  <si>
    <t>en.wikipedia.org: http://web.archive.org/web/20250815151327/https://en.wikipedia.org/wiki/Alaska_Native_Claims_Settlement_Act [15 August 2025]
www.congress.gov:
https://web.archive.org/web/20250703133825/https://www.congress.gov/crs-product/R46997 [03 July 2025]</t>
  </si>
  <si>
    <t>Reparations in the United States:
1971: Around $1 billion + 44 million acres of land: Alaska Native Claims Settlement Act.
Wikipedia:
The Alaska Native Claims Settlement Act (ANCSA) was signed into law by President Richard Nixon on December 18, 1971, constituting what is still the largest land claims settlement in United States history. ANCSA was intended to resolve long-standing issues surrounding aboriginal land claims in Alaska, as well as to stimulate economic development throughout Alaska. [...] In 1971, the Alaska Native Claims Settlement Act was signed into law by President Nixon. It abrogated Native claims to aboriginal lands except those that are the subject of the law. In return, Natives retained up to 44 million acres (180,000 km2) of land and were paid $963 million. The land and money were to be divided among regional, urban, and village tribal corporations established under the law, often recognizing existing leadership.
General Overview of ANCSA Provisions:
ANCSA settled Alaska Native aboriginal land claims and provided compensation and land entitlements to Alaska Natives. ANCSA created the Alaska Native Fund for compensation payments and deposited $462.5 million into the fund over a period of 11 years. ANSCSA directed that this compensation, combined with approximately $500 million in funding from oil and gas revenues within Alaska, be distributed to ANCs through the Alaska Native Fund, for a total settlement of $962.5 million.
(Library of Congress)</t>
  </si>
  <si>
    <t>NOTE ON CONVERSION: The payment data were converted using the year of the last payments made.</t>
  </si>
  <si>
    <t>alaska, settlement, aboriginal, land, lands, 1971, acres, natives, reparations, tribes</t>
  </si>
  <si>
    <t>Compensation to Victims of the Tuskegee Syphilis Study</t>
  </si>
  <si>
    <t>Victims of Tuskegee Syphilis experiment</t>
  </si>
  <si>
    <t>From 1932-1972, a U.S. Public Health Service-funded study group conducted an examination of the effects of syphilis on 400 African-American sharecroppers in Tuskegee, Alabama. The patients in the study were not informed that they had syphilis, and, early in the study, were treated with a variety of experimental techniques. In 1947, by which point penicillin had become the standard treatment for syphilis, all treatments were withheld from patients so as to allow the experimenters to observe the progression of the disease. The study was terminated in 1972, when the Washington Star and the New York Times published articles based on interviews with a PHS venereal disease inspector.By the time the study was terminated, 128 patients had died of syphilis or related complications, 40 wives of patients had been infected with the disease, and 19 children of patients had been born with congenital syphilis.
(source: Political Apologies and Reparations Archive)</t>
  </si>
  <si>
    <t>US National Archives and Records Administration</t>
  </si>
  <si>
    <t xml:space="preserve">https://www.history.com/news/the-infamous-40-year-tuskegee-study#,
https://www.cdc.gov/tuskegee/about/index.html,
https://www.cdc.gov/tuskegee/about/timeline.html,
https://www.nytimes.com/2017/07/15/us/tuskegee-syphilis-study-settlement.html#:~:text=More%20than%206%2C000%20heirs%20of,remains%20in%20court%2Dcontrolled%20accounts.,
https://en.wikipedia.org/wiki/Tuskegee_Syphilis_Study#:~:text=In%201974%2C%20as%20part%20of,family%20members%20infected%20as%20a
</t>
  </si>
  <si>
    <t>www.history.com: http://web.archive.org/web/20250314004120/https://www.history.com/news/the-infamous-40-year-tuskegee-study [14 March 2025]
www.cdc.gov: http://web.archive.org/web/20250926203415/https://www.cdc.gov/tuskegee/about/index.html [26 September 2025]
www.cdc.gov: http://web.archive.org/web/20250828034426/https://www.cdc.gov/tuskegee/about/timeline.html [28 August 2025]
www.nytimes.com: http://web.archive.org/web/20241214113827/https://www.nytimes.com/2017/07/15/us/tuskegee-syphilis-study-settlement.html [14 December 2024]
en.wikipedia.org: http://web.archive.org/web/20250929042100/https://en.wikipedia.org/wiki/Tuskegee_Syphilis_Study [29 September 2025]</t>
  </si>
  <si>
    <t>16 May 2017: In 1973, Congress held hearings on the Tuskegee experiments, and the following year the study’s surviving participants, along with the heirs of those who died, received a $10 million out-of-court settlement. Additionally, new guidelines were issued to protect human subjects in U.S. government-funded research projects. (History.com)
15 July 2017: More than 6,000 heirs of the roughly 600 men involved in the study received settlement payments through the decades, court officials say, but an undisclosed amount remains in court-controlled accounts. (The New York Times)
U.S. Centers for Disease Control and Prevention:
Later in 1973, a class-action lawsuit was filed on behalf of the study participants and their families, resulting in a $10 million, out-of-court settlement in 1974.
[...] How much money did the study participants receive from the 1974 out of court settlement?
The $10-million settlement was divided into four categories:
1. Living syphilitic group participants received $37,500.
2. Heirs of deceased syphilitic group participants received $15,000.
3. Living control group participants received $16,000.
4. Heirs of deceased control group participants received $5,000.
Wikipedia:
In 1974, as part of the settlement of a class action lawsuit filed by the NAACP on behalf of study participants and their descendants, the U.S. government paid $10 million ($51.8 million in 2019) and agreed to provide free medical treatment to surviving participants and surviving family members infected as a consequence of the study. Congress created a commission empowered to write regulations to deter such abuses from occurring in the future.
Reparations in the United States:
1974: A $10 million out-of-court settlement was reached between the U.S. government and Tuskegee victims, black men who had been unwitting subjects of a study of untreated syphilis, and who did not receive available treatments. (“The Tuskegee Timeline”, CDC, updated March 2, 2020.)</t>
  </si>
  <si>
    <t>United States, Clinton, Tuskegee, Alabama, African-American, syphilis, black, syphilis, syphilitic, tuskegee, penicillin, cdc, treatments, disease, treatment, victims, patients</t>
  </si>
  <si>
    <t>Bikini Atoll Reparations (The Hawaiian Trust Fund for the People of Bikini, 1975-1978)</t>
  </si>
  <si>
    <t>People of Bikini Atoll</t>
  </si>
  <si>
    <t>Marshall Islands</t>
  </si>
  <si>
    <t>MHL</t>
  </si>
  <si>
    <t>Between 1946 and 1958, Bikini Atoll was part of the Pacific Proving Grounds, an area in which the United States conducted atmospheric nuclear tests. As a result, the inhabitants were exposed to significant nuclear fallout, which continues to contaminate the area to this day. To this day, Bikinians experience a higher incidence of birth defects and cancer, which are attributed to the nuclear exposure.
(source: Political Apologies and Reparations Archive)</t>
  </si>
  <si>
    <t>1975: $3 million are added to the Trust Fund (U.S. Public Law 94-34). 
1978: additional $3 million are added to the trust fund (U.S. Public Law 94-348). 2006: The trust fund was liquidated as required by law in December of 2006 and no longer exists.</t>
  </si>
  <si>
    <t>Political Apologies and Reparations Archive (2006.0095.01 - As background information)</t>
  </si>
  <si>
    <t>Bikini Atoll</t>
  </si>
  <si>
    <t>https://en.wikipedia.org/wiki/Nuclear_testing_at_Bikini_Atoll,
https://www.bikiniatoll.com/repar.html
https://www.bikiniatoll.com/Bikinians%20response%20to%20Show%20cause%20order%203-22-07.pdf</t>
  </si>
  <si>
    <t>en.wikipedia.org:
https://web.archive.org/web/20250918002248/https://en.wikipedia.org/wiki/Nuclear_testing_at_Bikini_Atoll [18 September 2025]
www.bikiniatoll.com:
https://web.archive.org/web/20250901040458/https://www.bikiniatoll.com/repar.html [01 September 2025]
www.bikiniatoll.com:
https://web.archive.org/web/20241126014037/https://www.bikiniatoll.com/Bikinians%20response%20to%20Show%20cause%20order%203-22-07.pdf [26 November 2024]</t>
  </si>
  <si>
    <t>Bikini Atoll:
In 1975 the people of Bikini were awarded a $3 million trust by the U.S. government entitled, The Hawaiian Trust Fund for the People of Bikini (U.S. Public Law 94-34). In 1978, after the people of Bikini removed from their atoll for a second time, an additional $3 million was added to this trust fund (U.S. Public Law 94-348). This trust fund was liquidated as required by law in December of 2006 and no longer exists.</t>
  </si>
  <si>
    <t>United States, Bikini Atoll, Bikini, nuclear, nuclear test, fallout, bikinians, bikini, atoll, hawaiian, lawsuit, fund, damages, trust, nuclear, exposed</t>
  </si>
  <si>
    <t>Compensation to Victims of Kent State Shootings</t>
  </si>
  <si>
    <t>Ohio's State Controlling Board (USA)</t>
  </si>
  <si>
    <t>Victims and families of the victims of the Kent State Shootings</t>
  </si>
  <si>
    <t>On 4 May 1970 students were shot and killed at Kent State University in Kent, Ohio. Members of the Ohio National Guard shot at students, killing four and wounding nine others. Some of the students had been protesting the US invasion of Cambodia, while others were merely passers-by.
(source: Political Apologies and Reparations Archive)</t>
  </si>
  <si>
    <t>Political Apologies and Reparations Archive (2005.0216.01 - Updated)</t>
  </si>
  <si>
    <t>https://www.nytimes.com/1979/01/05/archives/ohio-approves-675000-to-settle-suits-in-1970-kent-state-shootings.html</t>
  </si>
  <si>
    <t>www.nytimes.com: https://web.archive.org/web/20241119225739/https://www.nytimes.com/1979/01/05/archives/ohio-approves-675000-to-settle-suits-in-1970-kent-state-shootings.html [19 November 2024]</t>
  </si>
  <si>
    <t>5 January 1979: COLUMBUS, Ohio, Jan. 4 - Ohio's State Controlling Board today approved an out‐of‐court settlement that would pay $675,000 to the victims and families of victims in the Kent State University shootings of May 4, 1970. (The New York Times)</t>
  </si>
  <si>
    <t>United States, Vietnam, Vietnam War, Kent State, Richard Celeste, Celeste, Alison Krause, Krause, Jeffrey Miller, Miller, Sandra Scheuer, Scheuer, William Schroeder, Schroeder, kent, victims, shootings, shot, wounding, court, settlement, ohio, 1979, state</t>
  </si>
  <si>
    <t>The 1980 Settlement with the Klamath Tribe of Oregon</t>
  </si>
  <si>
    <t>The Klamath tribe of Oregon</t>
  </si>
  <si>
    <t>Klamath Indians received large checks from the Government as part of an $81.54 million settlement for 135,000 acres of timberland.
(source: https://www.nytimes.com/1980/09/22/archives/news-summary-international-national-metropolitan.html)</t>
  </si>
  <si>
    <t>https://www.nytimes.com/1980/09/22/archives/news-summary-international-national-metropolitan.html</t>
  </si>
  <si>
    <t>www.nytimes.com:
https://web.archive.org/web/20251228215231/https://www.nytimes.com/1980/09/22/archives/news-summary-international-national-metropolitan.html [28 December 2025]</t>
  </si>
  <si>
    <t>Reparations in the United States:
1980: $81 million: Klamaths of Oregon. ("Spending Spree" by Dylan Darling, Herald and News (Klamath Falls, OR), June 21, 2005.)
22 September 1980: Klamath Indians received large checks from the Government as part of an $81.54 million settlement for 135,000 acres of timberland, and they were determined not to repeat a bitter lesson of the past. The new payments are for the remains of the former huge Klamath Reservation in Klamath Falls, Ore. (The New York Times)</t>
  </si>
  <si>
    <t>tribe, tribes, klamaths, klamath, oregon, reparations, tribal, settlement, states, restoration</t>
  </si>
  <si>
    <t>United States v. Sioux Nation of Indians</t>
  </si>
  <si>
    <t>The Sioux of South Dakota</t>
  </si>
  <si>
    <t>Under the Fort Laramie Treaty of 1868, the United States pledged that the Great Sioux Reservation, including the Black Hills, would be "set apart for the absolute and undisturbed use and occupation" of the Sioux Nation (Sioux), and that no treaty for the cession of any part of the reservation would be valid as against the Sioux unless executed and signed by at least three-fourths of the adult male Sioux population. The treaty also reserved the Sioux' right to hunt in certain unceded territories. Subsequently, in 1876, an "agreement" presented to the Sioux by a special Commission but signed by only 10% of the adult male Sioux population, provided that the Sioux would relinquish their rights to the Black Hills and to hunt in the unceded territories, in exchange for subsistence rations for as long as they would be needed. In 1877, Congress passed an Act (1877 Act) implementing this "agreement" and thus, in effect, abrogated the Fort Laramie Treaty. Throughout the ensuing years, the Sioux regarded the 1877 Act as a breach of that treaty, but Congress did not enact any mechanism by which they could litigate their claims against the United States until 1920, when a special jurisdictional Act was passed. Pursuant to this Act, the Sioux brought suit in the Court of Claims, alleging that the Government had taken the Black Hills without just compensation, in violation of the Fifth Amendment.
(source: https://supreme.justia.com/cases/federal/us/448/371/)</t>
  </si>
  <si>
    <t>1-Jan-1868</t>
  </si>
  <si>
    <t>United States Court of Claims</t>
  </si>
  <si>
    <t>https://en.wikipedia.org/wiki/United_States_v._Sioux_Nation_of_Indians</t>
  </si>
  <si>
    <t>en.wikipedia.org: http://web.archive.org/web/20250908095134/https://en.wikipedia.org/wiki/United_States_v._Sioux_Nation_of_Indians [08 September 2025]</t>
  </si>
  <si>
    <t>Reparations in the United States:
1980: $105 million: Sioux of South Dakota for seizure of their land. (United States v. Sioux Nation of Indians, 448 U.S. 371 (1980).)
Wikipedia:
The Sioux have declined to accept the money, because acceptance would legally terminate Sioux demands for return of the Black Hills. The money remains in a Bureau of Indian Affairs account accruing compound interest. As of 2011, the Sioux's award plus interest was "about $1 billion" or "1.3 billion" (equivalent to $1.4 to $1.82 billion in 2024)</t>
  </si>
  <si>
    <t>The money offered was not accepted.</t>
  </si>
  <si>
    <t>sioux, dakota, 1876, 1877, treaty, amendment, indians, 1868, hunt, rights</t>
  </si>
  <si>
    <t>Bikini Atoll Reparations (The Resettlement Trust Fund for the People of Bikini, 1982)</t>
  </si>
  <si>
    <t>1982:  $20 million are added to the Trust Fund (U.S. Public Law # 97-257).
1988: additional $90 million are added to the trust fund (U.S. Public Law # 100-446).
The Fund is currently active but the value of the Fund today is unknown.</t>
  </si>
  <si>
    <t>https://www.bikiniatoll.com/repar.html,
http://www.bikiniatoll.com/Bikinians%20response%20to%20Show%20cause%20order%203-22-07.pdf,
https://en.wikipedia.org/wiki/Nuclear_testing_at_Bikini_Atoll</t>
  </si>
  <si>
    <t>www.bikiniatoll.com: http://web.archive.org/web/20250603004611/https://www.bikiniatoll.com/repar.html [03 June 2025]
www.bikiniatoll.com: http://web.archive.org/web/20240720224851/https://www.bikiniatoll.com/Bikinians%20response%20to%20Show%20cause%20order%203-22-07.pdf [20 July 2024]
en.wikipedia.org: http://web.archive.org/web/20250918002248/https://en.wikipedia.org/wiki/Nuclear_testing_at_Bikini_Atoll [18 September 2025]</t>
  </si>
  <si>
    <t>Political Apologies and Reparations Archive:
In 2006, the people of Bikini launched a lawsuit against the United States for damages of $561 million (USD) or more.
Bikini Atoll:
In 1982 the people of Bikini received a second trust fund from the U.S. government totaling $20 million entitled, The Resettlement Trust Fund for the People of Bikini (U.S. Public Law # 97-257). This trust fund was later supplemented (U.S. Public Law # 100-446) with $90 million in additional funds to provide for a cleanup of Bikini and Eneu islands of Bikini Atoll. These funds are also used for construction and resettlement activities for Bikinians living on Kili Island and Majuro Atoll, including Ejit Island. A typical fiscal year budget currently ranges from between $5 million and $7 million. These funds pay for local government operations (power plant operation and maintenance and repairs on Bikinian houses in Majuro, Ejit and Kili Island, Council employee payroll, scholarships for students studying in the United States and other countries, life insurance, travel for meetings, attorney's fees, etc.). The total value in June of 2016 was approximately US$70 million. The value of the fund today is unknown because the local government does not release this information.</t>
  </si>
  <si>
    <t>United States, Bikini Atoll, Bikini,nuclear, nuclear test, fallout, bikinians, bikini, bikinian, atoll, fund, funds, islands, island, resettlement, insurance</t>
  </si>
  <si>
    <t>Agent Orange Settlement</t>
  </si>
  <si>
    <t>Involved chemical companies (including Dow and Monsanto)</t>
  </si>
  <si>
    <t>Vietnam veterans exposed to the chemical herbicide Agent Orange during the war</t>
  </si>
  <si>
    <t>Agent Orange was a chemical herbicide used during the Vietnam War that had a devastating impact long after the conflict ended. Although its active ingredients caused plants to lose their foliage, Agent Orange also included significant amounts of dioxin, a “persistent organic pollutant” which could persist for years in the environment through soil, lake and river sediments, and in the food chain. Dioxin contaminants are linked to long-term health issues including type 2 diabetes, immune system dysfunction, nerve disorders, muscular dysfunction, hormone disruption and heart disease—with even more dire effects for developing fetuses. After the war, returning Vietnam veterans and their families began reporting these issues. A class-action lawsuit was filed in 1979 on behalf of 2.4 million veterans exposed to Agent Orange, culminating in a surprise settlement five years later, with the seven large chemical companies that manufactured the herbicide agreeing to pay $180 million in compensation to the veterans or their children.
(source: https://www.history.com/this-day-in-history/may-7/agent-orange-settlement-180-million-vietnam-veterans)</t>
  </si>
  <si>
    <t>Applications for the Payment Program had to be submitted prior to December 31, 1994.
Individual payments through the Payment Program operated from 1988 to 1994, while collective payments through the Class Assistance Program lasted from 1989 to 1996.
The Settlement Fund closed in 1997.</t>
  </si>
  <si>
    <t>U.S. Department of Veterans Affairs</t>
  </si>
  <si>
    <t>https://www.benefits.va.gov/compensation/claims-postservice-agent_orange-settlement-settlementFund.asp,
https://www.nytimes.com/1984/05/08/nyregion/veterans-accept-180-million-pact-on-agent-orange.html,
https://www.history.com/this-day-in-history/may-7/agent-orange-settlement-180-million-vietnam-veterans</t>
  </si>
  <si>
    <t>www.benefits.va.gov: http://web.archive.org/web/20250820125413/https://www.benefits.va.gov/compensation/claims-postservice-agent_orange-settlement-settlementFund.asp [20 August 2025]
www.nytimes.com: http://web.archive.org/web/20250722081906/https://www.nytimes.com/1984/05/08/nyregion/veterans-accept-180-million-pact-on-agent-orange.html [22 July 2025]
www.history.com: http://web.archive.org/web/20250721090837/https://www.history.com/this-day-in-history/may-7/agent-orange-settlement-180-million-vietnam-veterans [21 July 2025]</t>
  </si>
  <si>
    <t>Who Gets What: Fair Compensation After Tragedy and Financial Upheaval
By Kenneth R Feinberg (2012):
Agent Orange Payment Program:
Total funds supplied by chemical companies: $243,375,926.00
Allocated to Agent Orange Veteran Payment Program (i.e. damages paid to individual American victims): $172,775,853.00
History.com:
On May 7, 1984, seven chemical companies, including Dow and Monsanto, agree to pay $180 million to thousands of Vietnam veterans exposed to the chemical herbicide Agent Orange during the war. Lawyers for the two sides announced the surprise out-of-court settlement on the day jury selection was to begin in the case.
U.S. Department of Veterans Affairs (2025):
The Agent Orange Settlement Fund was created by the resolution of the Agent Orange Product Liability Litigation - a class action lawsuit brought by Vietnam Veterans and their families regarding injuries allegedly incurred as a result of the exposure of Vietnam Veterans to chemical herbicides used during the Vietnam war. The suit was brought against the major manufacturers of these herbicides. The class action case was settled out-of-court in 1984 for $180 million dollars, reportedly the largest settlement of its kind at that time.
The Settlement Fund was distributed to class members in accordance with a distribution plan established by United States District Court Judge Jack B. Weinstein, who presided over the litigation and the settlement. Because the plaintiff class was so large (an estimated 10 million people), the Fund was distributed to class members in the United States through two separate programs designed to provide maximum benefits to Vietnam Veterans and their families most in need of assistance:
- A Payment Program, which provided cash compensation to totally-disabled Veterans and survivors of deceased Veterans; and
- A Class Assistance Program, which provided funds for social services organizations and networks for the purpose of establishing and maintaining programs for the benefit of the class as a whole.
[...] The Payment Program operated over a period of 6 years, beginning, after appeals, in 1988 and concluding in 1994. During its operation, the Settlement Fund distributed a total of $197 million in cash payments to members of the class in the United States. Of the 105,000 claims received by the Payment Program, approximately 52,000 Vietnam Veterans or their survivors received cash payments which averaged about $3,800 each.
The other part of the Settlement Fund, the Class Assistance Program, was intended by the distribution plan to function as a foundation. Between 1989 and 1996 it distributed, through a series of Requests for Proposal, $74 million to 83 social services organizations throughout the United States. These agencies, which ranged from disability and Veterans service organizations to community-based not-for-profits, provided counseling, advocacy, medical and case-management services. During this period, these organizations assisted over 239,000 Vietnam Veterans and their families. On September 27, 1997, the District Court ordered the Fund closed, its assets having been fully distributed.</t>
  </si>
  <si>
    <t>NOTE ON CONVERSION: The payment data were converted using the end year of payments (individual and collective), which is 1996.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amount pledged in 1984 was $180 million, which then grew with interests to $ 243million.</t>
  </si>
  <si>
    <t>U.S. Reparations Payments to the Seminoles of Florida</t>
  </si>
  <si>
    <t>The Seminoles of Florida</t>
  </si>
  <si>
    <t>Between 1980 and 1986, the U.S. paid over $261.3 million to five different Native American tribes for the atrocity and genocide done them since the 1936 U.S.-Indian Treaty. In 1980 the American government paid $105 million to the Klamaths of Oregon. In 1985, the government paid $105 mil­lion to the Sioux of South Da­kota, $12.3 million to the Semi­noles of Florida; $31 million to the Chippewas of Wisconsin, and in 1986, $32 million to the Otta­was of Michigan.
(source: https://amsterdamnews.com/news/2023/06/15/black-reparations-movement-presses-on-with-its-demands/)</t>
  </si>
  <si>
    <t>Racial justice in America : a reference handbook / David B. Mustard</t>
  </si>
  <si>
    <t>Reparations in the United States:
1985: $12.3 million: Seminoles of Florida. (see Racial Justice in America: A Reference Handbook by David B. Mustard, 2002, ABC-CLIO, p. 81.)</t>
  </si>
  <si>
    <t>reparations, seminoles, florida, payments, million, justice, states, 1985, america, 81</t>
  </si>
  <si>
    <t>U.S. Reparations Payments to the Chippewas of Wisconsin</t>
  </si>
  <si>
    <t>The Chippewas of Wisconsin</t>
  </si>
  <si>
    <t>Reparations in the United States:
1985: $31 million: Chippewas of Wisconsin. (see Racial Justice in America: A Reference Handbook by David B. Mustard, 2002, ABC-CLIO, p. 81.)</t>
  </si>
  <si>
    <t>reparations, chippewas, wisconsin, payments, states, justice, million, racial, 81, 1985</t>
  </si>
  <si>
    <t>Bikini Atoll Reparations (The Compact of Free Association - Section 177 &amp; The Bikini Claims Trust Fund, 1986)</t>
  </si>
  <si>
    <t>To be paid over 15 years.
The Fund is currently active but the value of the Fund today is unknown.</t>
  </si>
  <si>
    <t>U.S. Public Law #99-239</t>
  </si>
  <si>
    <t>Bikini Atoll:
In 1986, an agreement with the U.S. government, the Compact of Free Association (COFA), became effective. Section 177 of the COFA pledged reparations for damages to the Bikinians as well as to other northern atolls in the Marshall Islands. The damage payment for Bikini amounted to $75 million to be paid over 15 years ($5 million per year). Beginning in 1987, $2.4 million has been distributed annually to the total population of Bikinians in quarterly per capita payments. $2.6 million of this $5 million annual payment goes into a trust entitled, The Bikini Claims Trust Fund (U.S. Public Law #99-239). This trust fund is designed to exist in perpetuity and shall continue to provide the Bikinians with an annual payment of 5% (distributed quarterly at 1.25%) from the corpus from the trust. Currently each Bikinian gets approximately $480 a year. The total value of the Bikini Claims Trust Fund in June of 2016 was approximately US$55 million. The value of the Bikini Claims Trust Fund today is unknown because the local government does not release this information.</t>
  </si>
  <si>
    <t>United States, Bikini Atoll, Bikini, nuclear, nuclear test, fallout, bikinians, bikini, atoll, atolls, bikinian, damages, cofa, lawsuit, perpetuity, islands</t>
  </si>
  <si>
    <t>U.S. Reparations Payments to the Ottawas of Michigan</t>
  </si>
  <si>
    <t>The Ottawas of Michigan</t>
  </si>
  <si>
    <t>Reparations in the United States:
1986: $32 million per 1836 Treaty: Ottawas of Michigan. (see Racial Justice in America: A Reference Handbook by David B. Mustard, 2002, ABC-CLIO, p. 81.)</t>
  </si>
  <si>
    <t>reparations, michigan, 1836, payments, ottawas, treaty, million, states, justice, america</t>
  </si>
  <si>
    <t>Civil Liberties Act of 1988 - Compensation to Japanese-Americans</t>
  </si>
  <si>
    <t>Japanese-Americans who were unjustly incarcerated during WWII</t>
  </si>
  <si>
    <t>On 28 June 1940, the United States government passed the Alien Registration Act (or the Smith Act), which restricted the rights of all alien residents and citizens, including requiring them to submit to fingerprinting and to register their residences with the government. Following the Japanese attack against Pearl Harbour on 7 December 1941, the US government instituted a campaign of discrimination against Japanese-Americans, further restricting their movement and freezing their assets.The campaign culminated with the internment of between 112,000 and 120,000 Japanese-Americans in concentration camps, which were marked by harsh conditions and widespread deprivation. The act allowing the internment of Japanese-Americans was rescinded on 2 January 1945, and by September of that year, the camps were closed.
(source: Political Apologies and Reparations Archive)</t>
  </si>
  <si>
    <t>Payments were distributed over a decade since 1990.</t>
  </si>
  <si>
    <t>https://www.archives.gov/education/lessons/japanese-relocation,
https://www.nationalww2museum.org/war/articles/redress-and-reparations-japanese-american-incarceration,
https://www.theatlantic.com/ideas/archive/2023/06/japanese-american-wwii-internment-reparations-redress-movement/674349/,
https://encyclopedia.densho.org/Civil_Liberties_Act_of_1988/</t>
  </si>
  <si>
    <t>www.archives.gov: http://web.archive.org/web/20250926054153/https://www.archives.gov/education/lessons/japanese-relocation [26 September 2025]
www.nationalww2museum.org: http://web.archive.org/web/20250919234301/https://www.nationalww2museum.org/war/articles/redress-and-reparations-japanese-american-incarceration [19 September 2025]
www.theatlantic.com: http://web.archive.org/web/20250822054006/https://www.theatlantic.com/ideas/archive/2023/06/japanese-american-wwii-internment-reparations-redress-movement/674349/ [22 August 2025]
encyclopedia.densho.org: http://web.archive.org/web/20250919040606/https://encyclopedia.densho.org/Civil_Liberties_Act_of_1988/ [19 September 2025]</t>
  </si>
  <si>
    <t>Political Apologies and Reparations Archive (2004.0111.01):
The United States government provided $20,000 (USD) in monetary compensation to Japanese-American internment camp survivors.
Political Apologies and Reparations Archive (2005.0210.01):
Compensation includes: an official apology by the United States Congress to Japanese-American internees; $20,000 (USD) to each surviving internee (total sum being $1.2 billion (USD)); and $50 million (USD) for the establishment of a foundation for the study of Japanese-American culture and history.
Political Apologies and Reparations Archive (2006.0056.01):
$20,000 in compensation and formal apology to Japanese-Americans who were or whose ancestors were forcibly relocated from South America and interned.
Reparations in the United States:
Civil Liberties Act of 1988: President Ronald Reagan signed a bill providing $1.2 billion ($20,000 a person) and an apology to each of the approximately 60,000 living Japanese-Americans who had been interned during World War II. Additionally, $12,000 and an apology were given to 450 Unangans (Aleuts) for internment during WWII, and a $6.4 million trust fund was created for their communities. ("U.S. pays restitution; apologizes to Unangan (Aleut) for WWII Internment," National Library of Medicine.)
The U.S. National Archives and Records Administration:
In 1988, Congress passed, and President Reagan signed, Public Law 100-383 – the Civil Liberties Act of 1988 – that acknowledged the injustice of "internment," apologized for it, and provided a $20,000 cash payment to each person who was incarcerated. 
Densho Encyclopedia: On October 9, 1990, a ceremony was held to present nine elderly Japanese Americans with the government's first redress checks of $20,000 each. Accompanying the check was a formal apology signed by President George Bush that stated: "In enacting a law calling for restitution and offering a sincere apology, your fellow Americans have. . . renewed their commitment to the ideals of freedom, equality and justice." [5] However, it was not until 1991 to 1993 that payments to the remaining survivors took place. With eligibility matters at issue, the bill was amended in 1992 to extend benefits and increase funding by an additional $400 million to include several categories of previously unclear eligibility. A total of 82,219 received redress.
13 August 2021: The Civil Liberties Act of 1988 gave surviving Japanese Americans reparations and a formal apology by President Reagan for their incarceration during World War II. (The National WWII Museum - New Orleans)
10 June 2023: In 1990, the u.s. government began mailing out envelopes, each containing a presidential letter of apology and a $20,000 check from the Treasury, to more than 82,000 Japanese Americans who, during World War II, were robbed of their homes, jobs, and rights, and incarcerated in camps. This effort, which took a decade to complete, remains a rare attempt to make reparations to a group of Americans harmed by force of law. (The Atlantic)</t>
  </si>
  <si>
    <t>NOTE ON CONVERSION: The payment data were converted using the start year of payments as the reference year.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pledged amount was $1.2 billion. In 1992, the programme was amended, authorising an additional $400 million in funding.</t>
  </si>
  <si>
    <t>United States, US, America, Japanese-American, Japanese, internment camp, internee, World War II, World War 2, WWII, WW2, Clinton, Civil Liberties Act, internment, 1941, 1945, restitution, interned, wwii, japanese, reparations, 1940, incarceration</t>
  </si>
  <si>
    <t>The Aleut Restitution Act of 1988 (part of the Civil Liberties Act of 1988)</t>
  </si>
  <si>
    <t>The Unangans (Aleuts) people</t>
  </si>
  <si>
    <t>The Aleut Restitution Act of 1988 (also known as the Aleutian and Pribilof Islands Restitution Act) was a reparation settlement passed by the United States Congress in 1988, in response to the internment of Aleut people living in the Aleutian Islands during World War II. 
(source: Wikipedia)</t>
  </si>
  <si>
    <t>https://en.wikipedia.org/wiki/Aleuts,
https://en.wikipedia.org/wiki/Aleut_Restitution_Act_of_1988,
https://www.nlm.nih.gov/nativevoices/timeline/635.html</t>
  </si>
  <si>
    <t>en.wikipedia.org: http://web.archive.org/web/20250913153705/https://en.wikipedia.org/wiki/Aleuts [13 September 2025]
en.wikipedia.org: http://web.archive.org/web/20250828183434/https://en.wikipedia.org/wiki/Aleut_Restitution_Act_of_1988 [28 August 2025]
www.nlm.nih.gov: http://web.archive.org/web/20250808155748/https://www.nlm.nih.gov/nativevoices/timeline/635.html [08 August 2025]</t>
  </si>
  <si>
    <t>Reparations in the United States:
1988: Civil Liberties Act of 1988: President Ronald Reagan signed a bill providing $1.2 billion ($20,000 a person) and an apology to each of the approximately 60,000 living Japanese-Americans who had been interned during World War II. Additionally, $12,000 and an apology were given to 450 Unangans (Aleuts) for internment during WWII, and a $6.4 million trust fund was created for their communities. ("U.S. pays restitution; apologizes to Unangan (Aleut) for WWII Internment," National Library of Medicine.)
National Library of Medicine:
After years of debate, Congress orders restitution to 450 Unangan (Aleut) individuals for personal losses associated with their forced relocation during World War II and their internment in southeast Alaska. Under the terms of the Civil Liberties Act of 1988, each of the survivors receives $12,000, and a $6.4 million trust fund is created for their communities.
Wikipedia:
The Aleut Restitution Act of 1988 (also known as the Aleutian and Pribilof Islands Restitution Act) was a reparation settlement passed by the United States Congress in 1988, in response to the internment of Aleut people living in the Aleutian Islands during World War II. Before the Japanese invasion of Attu and Kiska in 1942, the United States forcibly relocated some 800 Aleuts to camps in Southeast Alaska, where it is estimated that more than 1 in 10 evacuees perished. For each eligible Aleut, $12,000 was paid to compensate for any personal property losses sustained during the war.
[...] On September 14, 1993, an amendment was proposed to the original 1988 Restitution Act, increasing authorization for payments from $1,400,000 to $4,700,000, in order to include church property damaged or lost during the war. The bill was passed by the House of Representatives and the Senate, and the Act was amended on October 5, 1994.</t>
  </si>
  <si>
    <t>The Total Pledge has been calculated as 450 beneficiaries receiving 12,000 USD each (5,400,000 USD) plus a 6.4 million USD fund (Total Pledge = 5,400,000 USD + 6,400,000 USD = 11,800,000 USD).</t>
  </si>
  <si>
    <t>internment, aleuts, restitution, aleut, aleutians, reparations, aleutian, evacuees, reparation, evacuated</t>
  </si>
  <si>
    <t>Compensation for Bhopal Disaster</t>
  </si>
  <si>
    <t>Union Carbide (now "Dow Chemical")</t>
  </si>
  <si>
    <t>On December 3, 1984 a large industrial disaster struck in Bhopal, India. A pesticides plant released a deadly amount of methyl isocyanate (MIC) gas into the atmosphere.  Approximately 500,000 people were exposed to the toxic gas and the disaster has resulted in 20,000 fatalities thus far. Thousands more suffer from other complications including breathing difficulties, cancer, serious birth-defects, blindness, gynecological complications and other related problems.  The pesticides plant was a subsidiary of Union Carbide, but is currently part of the Dow Chemical Company. 
(source: Political Apologies and Reparations Archive)</t>
  </si>
  <si>
    <t>Political Apologies and Reparations Archive (2005.0008.02 - Updated)</t>
  </si>
  <si>
    <t>https://www.bbc.com/news/world-asia-india-64899487,
https://www.asianews.it/news-en/The-scourge-of-Bhopal-is-still-alive-after-25-years-17029.html,
https://www.bbc.com/news/10411047,
https://en.wikipedia.org/wiki/Bhopal_disaster</t>
  </si>
  <si>
    <t>www.bbc.com: http://web.archive.org/web/20250727085635/https://www.bbc.com/news/world-asia-india-64899487 [27 July 2025]
www.asianews.it:
https://web.archive.org/web/20251003094833/https://www.asianews.it/news-en/The-scourge-of-Bhopal-is-still-alive-after-25-years-17029.html [03 October 2025]
www.bbc.com: http://web.archive.org/web/20231119170731/http://www.bbc.com/news/10411047 [19 November 2023]
en.wikipedia.org: http://web.archive.org/web/20250926045530/https://en.wikipedia.org/wiki/Bhopal_disaster [26 September 2025]</t>
  </si>
  <si>
    <t>12 March 2009: On the night between 2 and 3 December 1984 a gas leak from the Union Carbide plant killed 20 thousand people. The population of the city of Madhya Pradesh awaits justice. Even today, every day, 6 thousand people with respiratory, motor and brain problems related to the tragedy arrive at hospitals in Bhopal. (Asia News)
25 June 2010: A $280m compensation package announced by the Indian government for victims of the Bhopal gas disaster has been denounced by campaigners. The money will go into cleaning up the polluted factory site and improving medical treatment of surviving victims. Some 3,500 people died within days and more than 15,000 in the years since. (BBC News)
14 March 2023: In 1989, Union Carbide agreed to pay $470m (£386.5m) to settle the initial fight for compensation. The government, which argued on behalf of the survivors, had asked for $3.3bn (£2.7bn). The victims appealed the judgement in the Supreme Court which upheld the settlement but ordered Union Carbide to fund a hospital for victims costing about $17m. In June 2010, the government decided to review the compensation after an outcry over UCIL's former executives receiving just two-year prison sentences and minor fines. India's attorney general filed a curative petition, asking the case to be reopened, and to increase the settlement to $1.1bn. The government argued the initial compensation was based on incorrect figures and failed to capture the enormity of damage caused to human lives and the environment. The petition demanded the additional compensation should be paid by the successor firms of Union Carbide. However, the Supreme Court on Tuesday dismissed the plea, saying it was "not maintainable in law and lacked merits on the facts of this case".  "The question of compensation can't be raked up three decades after the settlement," the five-judge Constitution bench said. A separate 2011 plea by India's federal investigation agency seeking a retrial of the case had been dismissed by the Supreme Court, saying there was "no satisfactory explanation" for such a plea 14 years after the initial judgment. (BBC News)</t>
  </si>
  <si>
    <t>India, Bhopal, Dow Chemical, Union Carbide, BBC, Hoax, United Kingdom, UK, Great Britain, pesticides, carbide, madhya, bhopal, fatalities, compensation, dow, chemical, complications, pradesh</t>
  </si>
  <si>
    <t>Radiation Exposure Compensation Act (RECA)</t>
  </si>
  <si>
    <t>People affected by the government’s nuclear testing program that occurred in the 1940s and 1950s (mainly: individuals residing or working "downwind" of the Nevada Test Site; workers participating in atmospheric nuclear weapons tests; and uranium miners, millers, and ore transporters)</t>
  </si>
  <si>
    <t>The Radiation Exposure Compensation Act (RECA) provides one-time benefit payments to persons who may have developed cancer or other specified diseases after being exposed to radiation from atomic weapons testing or uranium mining, milling, or transporting.
(source: https://www.congress.gov/crs-product/R43956)</t>
  </si>
  <si>
    <t>Payments are still ongoing, therefore the end year of reparations payments is recorded as 2024.
Harm occured in the 1940s and 1950s.
RECA was extended through December 31, 2028.</t>
  </si>
  <si>
    <t>U.S. Department of Justice Civil Division</t>
  </si>
  <si>
    <t>https://www.justice.gov/civil/common/reca,
https://www.justice.gov/civil/awards-date-07182025</t>
  </si>
  <si>
    <t>U.S. Department of Justice Civil Division:
AWARDS TO DATE 07/18/2025 (Updated July 18, 2025)
Approved: 42,580
$ Approved: $2,736,832,080</t>
  </si>
  <si>
    <t>The “Total Amount Paid” reflects cumulative disbursements reported as of 2025. As the database records payments up to 2024, this figure is treated as a 2024 value for conversion purposes, acknowledging that it is an approximation rather than an exact match in timing.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More here:
https://www.congress.gov/crs-product/R43956</t>
  </si>
  <si>
    <t>uranium, radiation, reca, nuclear, compensation, benefits, claimants, nevada, ionizing, tests</t>
  </si>
  <si>
    <t>Compensation for 1923 Rosewood Racial Pogrom</t>
  </si>
  <si>
    <t>State of Florida (USA)</t>
  </si>
  <si>
    <t>Living survivors of the 1923 Rosewood racial pogrom</t>
  </si>
  <si>
    <t>The Rosewood massacre was a racially motivated massacre of black people and the destruction of a black town that took place during the first week of January 1923 in rural Levy County, Florida, United States. At least six black people were killed, but eyewitness accounts suggested a higher death toll of 27 to 150. In addition, two white people were killed in self-defense by one of the victims. The town of Rosewood was destroyed in what contemporary news reports characterized as a race riot.
(source: https://en.wikipedia.org/wiki/Rosewood_massacre)</t>
  </si>
  <si>
    <t>4 Quality Education;
10 Reduced Inequalities</t>
  </si>
  <si>
    <t>https://www.theguardian.com/us-news/2016/jan/03/rosewood-florida-massacre-racial-violence-reparations,
https://go.gale.com/ps/i.do?p=GPS&amp;u=fl_program&amp;id=GALE%7CA15356039&amp;v=2.1&amp;it=r&amp;sid=GPS&amp;asid=69acb95d</t>
  </si>
  <si>
    <t>www.theguardian.com:
https://web.archive.org/web/20250915214708/https://www.theguardian.com/us-news/2016/jan/03/rosewood-florida-massacre-racial-violence-reparations [15 September 2025]
go.gale.com:
https://web.archive.org/web/20251003095248/https://go.gale.com/ps/i.do?p=GPS&amp;u=fl_program&amp;id=GALE%7CA15356039&amp;v=2.1&amp;it=r&amp;sid=GPS&amp;asid=69acb95d [03 October 2025]</t>
  </si>
  <si>
    <t xml:space="preserve">Reparations in the United States:
1994: The state of Florida approved $2.1 million for the living survivors of a 1923 racial pogrom that resulted in multiple deaths and the decimation of the Black community in the town of Rosewood. ("Rosewood Massacre: A Harrowing Tale of Racism and the Road toward Reparations" by Jessica Glenza, The Guardian, January 3, 2016.)
25 April 1994: The Senate passed a $2.1 million claims bill 26-14 to pay survivors and those who lost property, and create scholarships for Rosewood residents' descendants. Survivors will be eligible for up to $150,000 each if they can prove that they lived in Rosewood and were forced out by the violence. There are at least four people identified as survivors. (Jet)
</t>
  </si>
  <si>
    <t>rosewood_massacre, rosewood, victims, reparations, massacre, deaths, 1923, survivors, compensation, florida</t>
  </si>
  <si>
    <t>Philadelphia City Pays Compensation for 1985 MOVE Bombing in 1996</t>
  </si>
  <si>
    <t>City of Philapdelphia (USA)</t>
  </si>
  <si>
    <t>Philadelphian residents affected by the 1985 bombing</t>
  </si>
  <si>
    <t>In May 1985, Philadelphia police bombed a radical cult's row house; 61 houses were destroyed, leaving 250 people homeless and eleven people dead.
(source: Political Apologies and Reparations Archive)
The 1985 MOVE bombing, locally known by its date, May 13, 1985, was the aerial bombing of a house, and the destruction of 61 more houses by the subsequent fire, in the Cobbs Creek neighborhood of Philadelphia, Pennsylvania, United States, by the Philadelphia Police Department during an armed battle with MOVE, a black liberation organization. MOVE members shot at Philadelphia police who had come to evict them from the house they were using as their headquarters. Philadelphia police aviators then dropped two explosive devices from a Pennsylvania State Police helicopter onto the roof of the house, which was occupied at the time. For 90 minutes, the Philadelphia Police Department allowed the resulting fire to burn out of control, destroying 61 previously evacuated neighboring houses over two city blocks and leaving 250 people homeless. Six adults and five children were killed in the attack; two occupants of the house, one adult and one child, survived. 
(source: https://en.wikipedia.org/wiki/1985_MOVE_bombing)</t>
  </si>
  <si>
    <t>Political Apologies and Reparations Archive (2005.0207.01 - Updated)</t>
  </si>
  <si>
    <t>https://en.wikipedia.org/wiki/1985_MOVE_bombing</t>
  </si>
  <si>
    <t>en.wikipedia.org: http://web.archive.org/web/20250918015332/https://en.wikipedia.org/wiki/1985_MOVE_bombing [18 September 2025]</t>
  </si>
  <si>
    <t>Wikipedia: City of Philadelphia ordered to pay $1.5 million in 1996 to a MOVE bombing survivor and the families of people killed, $12.83 million awarded in 2005 to residents who were made homeless. In 1996, a federal jury ordered the city to pay a $1.5 million civil suit judgment to survivor Ramona Africa and relatives of two people killed in the bombing. The jury had found that the city used excessive force and violated the members' constitutional protections against unreasonable search and seizure. Ramona was awarded $500,000 for the pain, suffering and physical harm suffered in the fire.</t>
  </si>
  <si>
    <t>W. Wilson Goode, Goode, Philadelphia, United States, MOVE, John Africa, Donald Glassey, Vincent Leaphart, bombed, philadelphia, bombing, ramona, pay, compensation, philadelphian, judgment, pays, homeless</t>
  </si>
  <si>
    <t>Compensation for Aerial Incident of 3 July 1988 (Islamic Republic of Iran v. United States of America)</t>
  </si>
  <si>
    <t>Families of the victims affected by the Aerial Incident of 3 July 1988</t>
  </si>
  <si>
    <t>A US Navy warship in the Persian Gulf attacked an Iranian civilian jetliner; it mistook the civilian aircraft for an Iranian fighter plane and fired a heat-seeking missile at the jetliner; approximately 290 people died in the incident.
(source: Political Apologies and Reparations Archive)</t>
  </si>
  <si>
    <t xml:space="preserve">	290</t>
  </si>
  <si>
    <t>International Court of Justice (ICJ)</t>
  </si>
  <si>
    <t>Political Apologies and Reparations Archive (2005.0208.01 - Updaed)</t>
  </si>
  <si>
    <t>https://icj-cij.org/case/79,
https://en.wikipedia.org/wiki/Iran_Air_Flight_655</t>
  </si>
  <si>
    <t>icj-cij.org: http://web.archive.org/web/20250702224256/https://www.icj-cij.org/case/79 [02 July 2025]
en.wikipedia.org: http://web.archive.org/web/20250918130830/https://en.wikipedia.org/wiki/Iran_Air_Flight_655 [18 September 2025]</t>
  </si>
  <si>
    <t>17 May 1989: By an Application dated 17 May 1989, the Islamic Republic of Iran instituted proceedings before the Court against the United States of America, further to the destruction in the air by the USS Vincennes, a guided-missile cruiser of the United States armed forces operating in the Persian Gulf, of an Iran Air Airbus A-300B, causing the deaths of its 290 passengers and crew. (International Court of Justice)
Wikipedia: In 1996 both governments reached a settlement in the International Court of Justice in which the US agreed to pay US$61.8 million (equivalent to $124 million in 2024) on an ex gratia basis to the families of the victims. As part of the settlement, the US did not admit liability for the shootdown.</t>
  </si>
  <si>
    <t>United States, Iran, Ronald Reagan, Reagan, Ayatollah, uss, iranian, aircraft, missile, iran, jetliner, compensation, gulf, 1989, warship</t>
  </si>
  <si>
    <t>US Pays Compensation to Victims of Radiation Testing</t>
  </si>
  <si>
    <t>Victims of radiation testing</t>
  </si>
  <si>
    <t>Between 1945 and 1946, approximately 48 people were injected with plutonium, uranium, polonium, radium, thorium or radioactive lead without their knowledge. American scientists wanted to analyze the effects of radioactive substances on humans.
(source: Political Apologies and Reparations Archive)</t>
  </si>
  <si>
    <t>http://www.southcoasttoday.com/daily/12-96/12-17-96/a08wn045.htm (NOT WORKING).
https://www.nytimes.com/1996/11/20/us/us-to-settle-for-4.8-million-in-suits-on-radiation-testing.html</t>
  </si>
  <si>
    <t>Political Apologies and Reparations Archive (2005.0228.01):
In 1946, Mary Jean Connell entered Rochester's Strong Memorial Hospital for an eating disorder. Unknowingly, she was injected with 584 micrograms of uranium, 5,000 times the maximum dose permitted today. On 20 April 1997, Energy Secretary Hazel O'Leary apologized to Mary Jean Connell, the only surviving victim of the experiments. O'Leary also apologized to the families of seven other plutonium subjects. In March 1997, the United States federal government reached a settlement for $4.8 million, with Ms. Connell and relatives of eleven other victims.
20 November 1996:
The Federal Government has agreed to pay $4.8 million as compensation for injecting 12 people with radioactive materials in secret cold war experiments. Energy Secretary Hazel R. O'Leary, who announced the settlement yesterday in Manhattan, said it was part of a continuing effort to make amends for the many unethical experiments carried out by Government doctors, scientists and military officials from 1944 to 1974 on as many as 20,000 people. (The New York Times)</t>
  </si>
  <si>
    <t>The following source URL is no longer accessible: http://www.southcoasttoday.com/daily/12-96/12-17-96/a08wn045.htm. A snapshot of the original content is available through the Political Apologies and Reparations Archive (2005.0228.01). See attached snapshots.</t>
  </si>
  <si>
    <t>United States, radiation, nuclear, medical testing, Mary Jean Connell, Connell, plutonium, uranium, plutonium, radioactive, polonium, uranium, radiation, victims, settlement, thorium, compensation, reparations</t>
  </si>
  <si>
    <t>US Pays Rwanda for Inaction during Genocide</t>
  </si>
  <si>
    <t>The international community failed to respond to the 1994 genocide in Rwanda, during which 800,000 Tutsis and moderate Hutus were killed by government-sponsored forces and other individuals over the course of 90 days.
(source: Political Apologies and Reparations Archive)</t>
  </si>
  <si>
    <t>White House, The (Office of the Press Secretary)</t>
  </si>
  <si>
    <t>http://clinton6.nara.gov/1998/03/1998-03-25-remarks-by-the-president-to-genocide-survivors. (NOT WORKING)</t>
  </si>
  <si>
    <t>Political Apologies and Reparations Archive:
Compensation includes: acknowledgement/recognition of inaction by the international community; $2 million (US) to a Genocide Survivors Fund; a vow to prevent future genocides.</t>
  </si>
  <si>
    <t>The following source URL is no longer accessible: http://clinton6.nara.gov/1998/03/1998-03-25-remarks-by-the-president-to-genocide-survivors.. A snapshot of the original content is available through the Political Apologies and Reparations Archive (2004.0020.01). See attached snapshots.</t>
  </si>
  <si>
    <t>United States, Bill Clinton, Rwanda, Kigali, genocide, Tutsi, Hutu, Clinton, Africa, Habyarimana, rwanda, reparations, genocide, genocides, compensation, pays, hutus, fund, tutsis, killed</t>
  </si>
  <si>
    <t>US Pays for Education Improvements in Africa</t>
  </si>
  <si>
    <t>Multiple African countries</t>
  </si>
  <si>
    <t>The United States has had an exploitative relationship with African countries, including, inter alia: benefiting from the slave trade; using African countries as conflict proxies during the Cold War with the Soviet Union. Additionally, the United States and other Western powers have neglected African countries during their times of need. Compensation includes: Funds for education improvements ($120 million USD); development of community resource centres; partnerships between American and African schools; support for specific programs of study at African schools (business, health care, science, math, and engineering); and improvement of general ties between the United States and African countries.
(source: Political Apologies and Reparations Archive)</t>
  </si>
  <si>
    <t>1-Jan-1619</t>
  </si>
  <si>
    <t>http://clinton6.nara.gov/1998/03/1998-03-24-remarks-by-the-president-to-the-kisowera-school.html (NOT WORKING),
https://www.nytimes.com/1998/03/25/world/clinton-africa-overview-uganda-clinton-expresses-regret-slavery-us.html</t>
  </si>
  <si>
    <t>clinton6.nara.gov: http://web.archive.org/web/20160609013023/http://clinton6.nara.gov/1998/03/1998-03-24-remarks-by-the-president-to-the-kisowera-school.html [09 June 2016]
www.nytimes.com
https://web.archive.org/web/20231203183348/https://www.nytimes.com/1998/03/25/world/clinton-africa-overview-uganda-clinton-expresses-regret-slavery-us.html [03 December 2023]</t>
  </si>
  <si>
    <t>Political Apologies and Reparations Archive:
In a speech at the Kisowera School in Mukono, Uganda, then-President Bill Clinton acknowledged the fact the United States has not always done the right thing in regards to Africa. However, Clinton tries to steer the focus of his speech away from the past and instead direct it towards the future. Clinton states he will alert Americans to hopeful changes in Africa and try to direct more investment to Africa.
Political Apologies and Reparations Archive:
Compensation includes: Funds for education improvements ($120 million USD); development of community resource centres; partnerships between American and African schools; support for specific programs of study at African schools (business, health care, science, math, and engineering); and improvement of general ties between the United States and African countries.
25 March 1998:
Mr. Clinton announced today that he would seek to spend $120 million in the next two years to improve the quality of African education, through community resource centers, partnerships between African and American schools and programs focused on educating girls, who are often left out when officials plan for schooling. He also announced another two-year initiative, this one for $61 million, to improve farming techniques and food distribution. (The New York Times)</t>
  </si>
  <si>
    <t>United States, Bill Clinton, Uganda, Mukono, Africa, slave trade, Cold War, Soviet Union, Kisowera, slavery, Clinton, slave, exploitation, development, reparations, uganda, africa, african, educating, education, funds, pays, usd, spend</t>
  </si>
  <si>
    <t>City of New York Pays for Crown Heights Riot</t>
  </si>
  <si>
    <t>City of New York (USA)</t>
  </si>
  <si>
    <t>The Rosenbaum family and affected citizens of Crown Heights</t>
  </si>
  <si>
    <t>In August 1991 a multi-day riot occurred in Crown Heights, Brooklyn; the neighbourhood broke out into violence, specifically African Americans and Caribbean Americans against Jews in the community; many Jews were injured, had their property damaged and their stores looted.
(source: Political Apologies and Reparations Archive)</t>
  </si>
  <si>
    <t>Political Apologies and Reparations Archive (2005.0237.01)</t>
  </si>
  <si>
    <t>https://www.nytimes.com/1998/04/03/nyregion/mayor-apologizes-for-city-response-to-crown-heights.html</t>
  </si>
  <si>
    <t>www.nytimes.com: http://web.archive.org/web/20180131033611/http://www.nytimes.com/1998/04/03/nyregion/mayor-apologizes-for-city-response-to-crown-heights.html [31 January 2018]</t>
  </si>
  <si>
    <t>Political Apologies and Reparations Archive:
New York Mayor Rudolph W. Giuliani apologized to all those affected by the racial violence in Crown Heights in 1991. Giuliani also announced that the city would pay $1.1 million to settle a related lawsuit.
3 April 1998: Ending another bitter chapter stemming from the 1991 racial violence in Crown Heights, Mayor Rudolph W. Giuliani formally apologized yesterday for what he called the city's ''clearly inadequate response'' to the disturbances and announced that the city would pay $1.1 million to settle a lawsuit filed by the neighborhood's Hasidim. (The New York Times)</t>
  </si>
  <si>
    <t>New York, Rudolph Giuliani, Rudy Guiliani, Guiliani, Hasidic, Jews, Crown Heights, Brooklyn, Yankel Rosenbaum, Rosenbaum, anti-Semitic, Jews, Jewish, violence, riot, mayor, lawsuit, giuliani, brooklyn, city, york, riot, crown, reparations, neighborhood</t>
  </si>
  <si>
    <t>Out-of-court Settlement Compensation to Paul J. Marcoux for Clergy Abuse</t>
  </si>
  <si>
    <t>Archbishop Rembert G. Weakland</t>
  </si>
  <si>
    <t>Paul J. Marcoux</t>
  </si>
  <si>
    <t>Archbishop Rembert Weakland of the Catholic Church in Milwaukee was revealed to have had a sexual relationship with seminary student Paul Marcoux in 1979.
(source: Political Apologies and Reparations Archive)
Four years ago, Paul Marcoux accepted $450,000 in exchange for his silence about what he says was sexual misconduct by Archbishop Rembert G. Weakland of Milwaukee decades earlier. [In 2002] he was on national television discussing his claims and the settlement itself.
(source: https://www.nytimes.com/2002/05/26/us/price-of-broken-vows-of-silence.html)
At a tearful and somber prayer service, Archbishop Rembert G. Weakland apologized [...] to Roman Catholics here. He said he accepted ''full responsibility for the inappropriate nature'' of his relationship with a man who accused the archbishop of sexually assaulting him and was paid $450,000 in an out-of-court settlement.
(source: https://www.nytimes.com/2002/06/01/us/retired-bishop-offers-apology-for-sinfulness.html)</t>
  </si>
  <si>
    <t>Political Apologies and Reparations Archive (2005.0059.02 - Updated)</t>
  </si>
  <si>
    <t>https://www.nytimes.com/2002/05/26/us/price-of-broken-vows-of-silence.html,
https://www.nytimes.com/2002/06/01/us/retired-bishop-offers-apology-for-sinfulness.html</t>
  </si>
  <si>
    <t>www.nytimes.com:
https://web.archive.org/web/20240224052104/https://www.nytimes.com/2002/05/26/us/price-of-broken-vows-of-silence.html [24 February 2024]
www.nytimes.com: http://web.archive.org/web/20220830120058/https://www.nytimes.com/2002/06/01/us/retired-bishop-offers-apology-for-sinfulness.html [30 August 2022]</t>
  </si>
  <si>
    <t>Political Apologies and Reparations Archive (2005.0059.02):
[On May 31, 2002] Archbishop Weakland apologised to the members of the church for his inappropriate relationship with Paul Marcoux and his ignorance regarding the payment offered to Marcoux in 1998.
26 May 2002: Four years ago, Paul Marcoux accepted $450,000 in exchange for his silence about what he says was sexual misconduct by Archbishop Rembert G. Weakland of Milwaukee decades earlier. On Thursday, he was on national television discussing his claims and the settlement itself. (The New York Times)
1 June 2002: At a tearful and somber prayer service, Archbishop Rembert G. Weakland apologized tonight to Roman Catholics here. He said he accepted ''full responsibility for the inappropriate nature'' of his relationship with a man who accused the archbishop of sexually assaulting him and was paid $450,000 in an out-of-court settlement. (The New York Times)</t>
  </si>
  <si>
    <t>archbishop, compensation, weakland, marcoux, settlement, paul, accused, catholic, court, rembert</t>
  </si>
  <si>
    <t>Pigford Settlement I (Pigford v. Glickman)</t>
  </si>
  <si>
    <t>The United States Department of Agriculture</t>
  </si>
  <si>
    <t>Black farmers in the Unite States</t>
  </si>
  <si>
    <t>On April 14, 1999, Judge Paul L. Friedman of the U.S. District Court for the District of Columbia approved a settlement agreement and consent decree in Pigford v. Glickman, a class action discrimination suit between the U.S. Department of Agriculture (USDA) and black farmers. The suit claimed that the agency had discriminated against black farmers on the basis of race and failed to investigate or properly respond to complaints from 1983 to 1997. [...] Many voiced concern over the structure of the settlement agreement, the large number of applicants who filed late, and reported deficiencies in representation by class counsel. A provision in the 2008 farm bill (P.L. 110-246) permitted any claimant who had submitted a late-filing request under Pigford and who had not previously obtained a determination on the merits of his or her claim to petition in federal court to obtain such a determination. A maximum of $100 million in mandatory spending was made available for payment of these claims, and the multiple claims that were subsequently filed were consolidated into a single case, In re Black Farmers Discrimination Litigation (commonly referred to as Pigford II). On February 18, 2010, Attorney General Holder and Secretary of Agriculture Vilsack announced a $1.25 billion settlement of these Pigford II claims. 
(source: https://www.everycrsreport.com/reports/RS20430.html)</t>
  </si>
  <si>
    <t>https://en.wikipedia.org/wiki/Pigford_v._Glickman,
https://www.everycrsreport.com/reports/RS20430.html</t>
  </si>
  <si>
    <t>en.wikipedia.org: http://web.archive.org/web/20250717132343/https://en.wikipedia.org/wiki/Pigford_v._Glickman [17 July 2025]
www.everycrsreport.com: http://web.archive.org/web/20250921145118/https://www.everycrsreport.com/reports/RS20430.html [21 September 2025]</t>
  </si>
  <si>
    <t>Reparations in the United States:
1999: A class action lawsuit by black farmers against the United States Department of Agriculture was settled by a consent decree, leading to nearly $1 billion in payments to plaintiffs. The lawsuit alleged systematic racial discrimination in the allocation of farm loans from 1981 to 1996. A further $1.2 billion was appropriated by Congress for the second part of the settlement. (The Pigford Cases, Congressional Research Service, May 29, 2013; see also Learning from the Germans: Race and the Memory of Evil by Susan Neiman (New York: Macmillan, 2019).)
August 25, 2005 – May 29, 2013:
On April 14, 1999, Judge Paul L. Friedman of the U.S. District Court for the District of Columbia approved a settlement agreement and consent decree in Pigford v. Glickman, a class action discrimination suit between the U.S. Department of Agriculture (USDA) and black farmers. The suit claimed that the agency had discriminated against black farmers on the basis of race and failed to investigate or properly respond to complaints from 1983 to 1997. The deadline for submitting a claim as a class member was September 12, 2000. Cumulative data show that as of December 31, 2011, 15,645 (69%) of the 22,721 eligible class members had final adjudications approved under the Track A process, and 104 (62%) prevailed in the Track B process for a total cost of approximately $1.06 billion in cash relief, tax payments, and debt relief. On February 18, 2010, Attorney General Holder and Secretary of Agriculture Vilsack announced a $1.25 billion settlement of these Pigford II claims. However, because only $100 million was made available in the 2008 farm bill, the Pigford II settlement was contingent upon congressional approval of an additional $1.15 billion in funding. After a series of failed attempts to appropriate funds for the settlement agreement, the Senate passed the Claims Resolution Act of 2010 (H.R. 4783) to provide the $1.15 billion appropriation by unanimous consent on November 19, 2010. The Senate bill was then passed by the House on November 30 and signed by the President on December 8 (P.L. 111-291). (EveryCRSReport.com)</t>
  </si>
  <si>
    <t>NOTE ON CONVERSION: The total compensation disbursed ($1.06 billion) is reported as an accumulated figure paid as of 2011. We assume this figure represents the total value of all payments over the entire period. For comparison purposes, we treat it as a 2011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</si>
  <si>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discrimination, plaintiffs, lawsuit, discriminated, reparations, farmers, settlement, pigford, racial, agriculture</t>
  </si>
  <si>
    <t>Pigford Settlement II (Pigford v. Glickman)</t>
  </si>
  <si>
    <t>https://en.wikipedia.org/wiki/Pigford_v._Glickman,
https://www.everycrsreport.com/reports/RS20430.html,
https://sustainableagriculture.net/wp-content/uploads/2011/07/Federation-of-Southern-Cooperatives.pdf,
https://investigatemidwest.org/2014/02/18/settlement-payments-for-black-farmers-in-years-old-lawsuit-now-released/</t>
  </si>
  <si>
    <t>en.wikipedia.org: http://web.archive.org/web/20250717132343/https://en.wikipedia.org/wiki/Pigford_v._Glickman [17 July 2025]
www.everycrsreport.com: http://web.archive.org/web/20250921145118/https://www.everycrsreport.com/reports/RS20430.html [21 September 2025]
sustainableagriculture.net:
https://web.archive.org/web/20240811020118/https://sustainableagriculture.net/wp-content/uploads/2011/07/Federation-of-Southern-Cooperatives.pdf [11 August 2024]
investigatemidwest.org:
https://web.archive.org/web/20250122032300/https://investigatemidwest.org/2014/02/18/settlement-payments-for-black-farmers-in-years-old-lawsuit-now-released/ [22 January 2025]</t>
  </si>
  <si>
    <t>Reparations in the United States:
1999: A class action lawsuit by black farmers against the United States Department of Agriculture was settled by a consent decree, leading to nearly $1 billion in payments to plaintiffs. The lawsuit alleged systematic racial discrimination in the allocation of farm loans from 1981 to 1996. A further $1.2 billion was appropriated by Congress for the second part of the settlement. (The Pigford Cases, Congressional Research Service, May 29, 2013; see also Learning from the Germans: Race and the Memory of Evil by Susan Neiman (New York: Macmillan, 2019).)
August 25, 2005 – May 29, 2013:
On April 14, 1999, Judge Paul L. Friedman of the U.S. District Court for the District of Columbia approved a settlement agreement and consent decree in Pigford v. Glickman, a class action discrimination suit between the U.S. Department of Agriculture (USDA) and black farmers. The suit claimed that the agency had discriminated against black farmers on the basis of race and failed to investigate or properly respond to complaints from 1983 to 1997. The deadline for submitting a claim as a class member was September 12, 2000. Cumulative data show that as of December 31, 2011, 15,645 (69%) of the 22,721 eligible class members had final adjudications approved under the Track A process, and 104 (62%) prevailed in the Track B process for a total cost of approximately $1.06 billion in cash relief, tax payments, and debt relief. On February 18, 2010, Attorney General Holder and Secretary of Agriculture Vilsack announced a $1.25 billion settlement of these Pigford II claims. However, because only $100 million was made available in the 2008 farm bill, the Pigford II settlement was contingent upon congressional approval of an additional $1.15 billion in funding. After a series of failed attempts to appropriate funds for the settlement agreement, the Senate passed the Claims Resolution Act of 2010 (H.R. 4783) to provide the $1.15 billion appropriation by unanimous consent on November 19, 2010. The Senate bill was then passed by the House on November 30 and signed by the President on December 8 (P.L. 111-291). (EveryCRSReport.com)
13 July 2011: Congress has approved $1.25 billion for this Settlement. It is expected that no monies for successful claimants will be distributed until, perhaps, sometime in late 2012. The reason for the delay in the distribution is that the amount of the awards for successful claimants cannot be determined until it is known how many total claimants are successful. The Settlement is only for those persons who previously filed a petition to participate in the settlement of the original Pigford case after the original claim deadline in that case, which was October 12, 1999, and were denied the opportunity to participate. (Federation of Southern Cooperatives, Press Release)
18 February 2014: The Pigford II settlement paid out a total of $1.25 billion, according to the Congressional Black Caucus Office. The office confirmed that all checks related to the Pigford II settlement were mailed in fall of last year, therefore there should be no more payouts related to the case. (Investigate Midwest)</t>
  </si>
  <si>
    <t>NOTE ON CONVERSION: The total compensation disbursed ($1.25 billion) is reported as an accumulated figure paid as of 2013. We assume this figure represents the total value of all payments over the entire period. For comparison purposes, we treat it as a 2013 value and convert it to our year of interest (2024).</t>
  </si>
  <si>
    <t>US Aid Payments to Guatemala</t>
  </si>
  <si>
    <t>Following the CIA-orchestrated overthrow of the Guatemalan government in 1954, Guatemala entered into a period known as the 'Armed Confrontation,' lasting until 1996. Motivated by an intense 'anti-communism,' the close alliance between the army and the government, with documented support from the United States, committed many human rights abuses. It has been estimated that up to 200,000 people were killed or 'disappeared' during this time 
(source: Political Apologies and Reparations Archive)</t>
  </si>
  <si>
    <t>Political Apologies and Reparations Archive (2005.0054.01)</t>
  </si>
  <si>
    <t>Remarks by the President in Roundtable Discussion on Peace Efforts (Government of the United States)</t>
  </si>
  <si>
    <t>http://clinton6.nara.gov/1999/03/1999-03-10-remarks-by-the-president-in-roundtable-in-guatemala.html (NOT WORKING)</t>
  </si>
  <si>
    <t>Political Apologies and Reparations Archive:
Then-President Bill Clinton acknowledged the support of the United States given to military and intelligence forces during the armed confrontation in Guatemala, and pledged never to do it again. Clinton also mentioned a plan to provide $25 million (USD) through aid to support the peace accords and rebuild the country.
Government of the United States:
This year, we plan to provide an additional $25 million to support the peace accords through aid to the justice sector, to education, to literary training, to the generation of income and to citizen participation in government.</t>
  </si>
  <si>
    <t>The following source URL is no longer accessible: http://clinton6.nara.gov/1999/03/1999-03-10-remarks-by-the-president-in-roundtable-in-guatemala.html. A snapshot of the original content is available through the Political Apologies and Reparations Archive (2005.0054.01). See attached snapshots.</t>
  </si>
  <si>
    <t>Guatemala, Commission for Historical Clarification, Central Intelligence Agency, CIA, United States, America, Armed Confrontation,Rebels, Military, Bill Clinton, guatemalan, aid, reparations, million, cia, usd, provide, payments, income</t>
  </si>
  <si>
    <t>US Pays Compensation for Chinese Embassy Bombing (to Individual Victims)</t>
  </si>
  <si>
    <t>Victims of the NATO bombing of the Chinese Embassy</t>
  </si>
  <si>
    <t>www.nytimes.com:
https://web.archive.org/web/20241203050851/https://www.nytimes.com/1999/12/16/world/us-agrees-to-pay-china-28-million-for-bombing.html [03 December 2024]
www.everycrsreport.com: http://web.archive.org/web/20250812113948/https://www.everycrsreport.com/reports/RS20547.html [12 August 2025]
en.wikipedia.org: http://web.archive.org/web/20250925131741/https://en.wikipedia.org/wiki/United_States_bombing_of_the_Chinese_embassy_in_Belgrade [25 September 2025]</t>
  </si>
  <si>
    <t>bombed, bombing, embassy, beijing, nato, humanitarian, diplomatic, chinese, compensation, yugoslavia</t>
  </si>
  <si>
    <t>US Pays Compensation for Chinese Embassy Bombing (to China)</t>
  </si>
  <si>
    <t>Political Apologies and Reparations Archive (2005.0242.01 - Updated)</t>
  </si>
  <si>
    <t>NATO, China, Chinese embassy bombing, bombed, beijing, diplomatic, humanitarian, chinese, compensation, 1999</t>
  </si>
  <si>
    <t>Bikini Atoll Reparations (Lawsuit at the Nuclear Claims Tribunal, 2001)</t>
  </si>
  <si>
    <t>2001: The Nuclear Claims Tribunal awards reparations of $563,315,500.00 in favor of the people of Bikini Atoll, but the Tribunal is underfunded and unable to pay the award.
2006: The people of Bikini Atoll filed a lawsuit in the U.S. Court of Federal Claims.</t>
  </si>
  <si>
    <t>Nuclear Claims Tribunal</t>
  </si>
  <si>
    <t>Political Apologies and Reparations Archive:
In 2006, the people of Bikini launched a lawsuit against the United States for damages of $561 million (USD) or more.
Bikini Atoll:
On March 5, 2001, the Nuclear Claims Tribunal handed down a decision on a seven year lawsuit the Bikinians had brought against the United States for damages done to their islands and their people during the nuclear testing on Bikini. The Tribunal gave them a total award of $563,315,500.00 [loss of value $278,000,000.00, restoration costs $251,500,000.00, suffering and hardship $33,814,500.00], which is the final amount after deducting the past compensation awarded by the U.S. government [see above three trust funds]. The problem is that the Nuclear Claims Tribunal, which was created by the Compact of Free Association of 1986, was underfunded and does not have the money to pay for this claim. It is now up to the people of Bikini to petition the U.S. Congress for the money to fulfill this award. This is expected to take many years and it is uncertain if the United States will honor their claim.
On April 12 [April 11 US date], 2006, the people of Bikini Atoll filed a lawsuit against the U.S. Government in the U.S. Court of Federal Claims. The lawsuit seeks compensation under the Fifth Amendment to the U.S. Constitution for the taking of their property damage claims resulting from the U.S. Government’s failure and refusal to adequately fund the March 5, 2001 order of the Nuclear Claims Tribunal. Alternatively, the people of Bikini seek damages for the U.S. Government’s breaches of its fiduciary duty to provide just and adequate compensation for the taking of their lands in consideration for their agreement to move off Bikini Atoll and for the breach of the implied duties and covenants integral to that agreement, the Compact of Free Association, and the Section 177 Agreement. The lawsuit will seek compensation and/or damages of at least $561,036,320 (which represents the Tribunal’s original award to the Bikinians of $563,315,500 less the two payments totaling $2,279,180), plus interest as required by law. The total with interest on the filing date of April 11, 2006, is approximately $724,560,902.</t>
  </si>
  <si>
    <t>United States, Bikini Atoll, Bikini,nuclear, nuclear test, fallout, bikinians, atoll, bikini, lawsuit, damages, nuclear, tribunal, compensation, claims, reparations</t>
  </si>
  <si>
    <t>The September 11th Victim Compensation Fund (VCF I: 2001-2003)</t>
  </si>
  <si>
    <t>People who died or were physically harmed during the 9/11 terrorist attacks or the subsequent debris cleanup</t>
  </si>
  <si>
    <t>The September 11th Victim Compensation Fund (VCF) was established in 2001 in response to the terrorist attacks on September 11th, which killed nearly 3,000 people and caused significant economic and social disruption in New York City and across the United States. (source: https://www.marcowitzlaw.com/victim-compensation-fund-history/)</t>
  </si>
  <si>
    <t>The VCF was first established in 2001, 11 days after the terrorist attacks. The original fund closed in 2003 but was then reactivated in 2011.</t>
  </si>
  <si>
    <t>Who Gets What: Fair Compensation After Tragedy and Financial Upheaval
By Kenneth R Feinberg (2012) p.202:
- Total funds awarded: $7,049,415,536.64
- Number of awards to deceased victims: 2,880
- Number of awards to physical injury victims: 2,680</t>
  </si>
  <si>
    <t>9/11, terrorist, terrorist attack, terrorism, September 11 2001, September 11th ,United States, World Trade Centre, vcf, victims, compensation, lawsuits, terrorists, pentagon, awarding, funded, 11th, fund</t>
  </si>
  <si>
    <t>Ayers &amp; United States v. Fordice</t>
  </si>
  <si>
    <t>State of Mississippi (USA)</t>
  </si>
  <si>
    <t>Historically black colleges and Universities in Mississippi (HBCUs)</t>
  </si>
  <si>
    <t>On January 28, 1975, Mississippi was sued for maintaining an unconstitutional dual system of higher education. Plaintiffs argued that Mississippi denied equal opportunities to black students and faculty members by favoring the State's historically white colleges and universities at the expense of its historically black colleges and universities, and by failing to remove the vestiges of racial segregation in the former de jure dual system.
(source: https://casetext.com/analysis/case-summary-ayers-united-states-v-fordice)</t>
  </si>
  <si>
    <t>Casetext</t>
  </si>
  <si>
    <t>https://casetext.com/analysis/case-summary-ayers-united-states-v-fordice</t>
  </si>
  <si>
    <t>casetext.com: http://web.archive.org/web/20240920002428/https://casetext.com/analysis/case-summary-ayers-united-states-v-fordice [20 September 2024]</t>
  </si>
  <si>
    <t>Reparations in the United States:
2002: Parties in the case of Ayres v. Fordice, a lawsuit first brought in 1975, agree on a settlement of $503 million. The lawsuit alleged that the state of Mississippi had systematically underfunded or otherwise neglected its Historically Black Colleges and Universities (HBCUs) as compared with other post-secondary institutions, and essentially creating a system of segregation based on race. The settlement money would be used for improving academic programs and for capital investments.(Harris, A. (2021). Thirteen years a remedy, thirty years a fight, two centuries a struggle. In The state must provide: Why America’s colleges have always been unequal—And how to set them right (pp. 163–196). New York: Ecco.)</t>
  </si>
  <si>
    <t>mississippi, plaintiffs, lawsuit, settlement, reparations, sued, universities, segregation, institutions, colleges</t>
  </si>
  <si>
    <t>US Navy Pays Ehime Government for Ehime Maru Collision</t>
  </si>
  <si>
    <t>United States Navy (USN)</t>
  </si>
  <si>
    <t>Ehime Prefectural Government</t>
  </si>
  <si>
    <t>On February 9, 2001 the U.S.S. Greenville, a nuclear submarine, collided with the Ehime Maru, a training ship from a fisheries high school in Uwajima, Japan. The Ehime Maru sank within ten minutes of the collision, killing nine crew members of the Ehime Maru.
(source: Political Apologies and Reparations Archive)</t>
  </si>
  <si>
    <t>The White House</t>
  </si>
  <si>
    <t>https://en.wikipedia.org/wiki/Ehime_Maru_and_USS_Greeneville_collision</t>
  </si>
  <si>
    <t>en.wikipedia.org: http://web.archive.org/web/20250919111250/https://en.wikipedia.org/wiki/Ehime_Maru_and_USS_Greeneville_collision [19 September 2025]</t>
  </si>
  <si>
    <t>Political Apologies and Reparations Archive (2014.0008.01):
On February 27th, 2001 President George Bush’s administration apologized for the incident. On behalf of the Bush administration, Admiral William Fallon travelled to Japan to apologize, saying  “I sincerely and humbly request, on behalf of the United States government, the United States Navy and the American people, that the government and people of Japan accept our apology for the tragic loss of the Ehime Maru”. On April 10th 2002 the United States Navy distributed $11.47 million in reparations, $8.87 million for the replacement of the ship and $2.6 million in aid for the victims’ families.</t>
  </si>
  <si>
    <t>Pentagon, Japan, USS Greenville, Ehime Maru, reparations, sank, ship, navy, submarine, maru, uwajima, ehime, aid, incident</t>
  </si>
  <si>
    <t>US Pays Families of the Victims of the Ehime Maru Collision</t>
  </si>
  <si>
    <t>Injured survivors or families of victims of the collision of the Ehime Maru</t>
  </si>
  <si>
    <t>https://en.wikipedia.org/wiki/Ehime_Maru_and_USS_Greeneville_collision,
https://unseen-japan.com/ehime-maru-tragedy/</t>
  </si>
  <si>
    <t>en.wikipedia.org: http://web.archive.org/web/20250919111250/https://en.wikipedia.org/wiki/Ehime_Maru_and_USS_Greeneville_collision [19 September 2025]
unseen-japan.com: http://web.archive.org/web/20250522232323/https://unseen-japan.com/ehime-maru-tragedy/ [22 May 2025]</t>
  </si>
  <si>
    <t>10 February 2020: The US Navy provided financial compensation to Ehime prefecture to cover the reconstruction of a new Ehime Maru and to help fund medical costs for the survivors. They also paid roughly $13.9 million to 33 of the 35 families affected by the incident. Two of the families extracted conditions from the Navy before accepting the compensation — in-person apologies from the persons responsible, a thorough investigation, and efforts to prevent similar tragedies in the future. (Unseen Japan)
Wikipedia:
On 14 November 2002, the USN agreed to pay $13.9 million in compensation to 33 of the 35 families of victims or injured survivors. The remaining two families accepted a $2.6 million settlement from the USN on 31 January 2003. Before accepting the settlement, the two families had asked for face-to-face apologies from the USN and Waddle, a full investigation into the collision, a reasonable compensation offer, and a promise from the USN to help prevent similar accidents in the future. Masumi Terata, whose teenage son Yusuke died in the accident, said that she was happy that the settlement was behind them, but added that, "My true feeling is that if possible, I want to see my son one more time."</t>
  </si>
  <si>
    <t>Pentagon, Japan, USS Greenville, Ehime Maru, compensation, sank, settlement, pay, pays, victims, maru, paid, survivors, ehime</t>
  </si>
  <si>
    <t>Boston Archdiocese Compensation for Clergy Abuse</t>
  </si>
  <si>
    <t>The Roman Catholic Archdiocese of Boston</t>
  </si>
  <si>
    <t>Victims of clergy sexual abuse</t>
  </si>
  <si>
    <t>In the late 1990s and early 2000s, allegations of sexual abuse by Catholic priests surfaced, as well as evidence that the Church had attempted to prevent the allegations from becoming public knowledge.
(source: Political Apologies and Reparations Archive)</t>
  </si>
  <si>
    <t>Boston Archdiocese continues to offer financial compensations.</t>
  </si>
  <si>
    <t>Political Apologies and Reparations Archive (2005.0059.10 - Updated)</t>
  </si>
  <si>
    <t>Archdiocese of Boston</t>
  </si>
  <si>
    <t>https://www.nytimes.com/2003/09/10/us/church-in-boston-to-pay-85-million-in-abuse-lawsuits.html,
https://www.cbsnews.com/news/boston-archdiocese-will-pay-85m/,
https://www.bishop-accountability.org/ma_boston/2006_04_19_RCAB_Sexual_Abuse_Source_and_Use_of_Funds.htm</t>
  </si>
  <si>
    <t>www.nytimes.com: http://web.archive.org/web/20250817040236/https://www.nytimes.com/2003/09/10/us/church-in-boston-to-pay-85-million-in-abuse-lawsuits.html [17 August 2025]
www.cbsnews.com:
https://web.archive.org/web/20251003100444/https://www.cbsnews.com/news/boston-archdiocese-will-pay-85m/ [03 October 2025]
www.bishop-accountability.org: http://web.archive.org/web/20250808060803/https://www.bishop-accountability.org/ma_boston/2006_04_19_RCAB_Sexual_Abuse_Source_and_Use_of_Funds.htm [08 August 2025]</t>
  </si>
  <si>
    <t>Political Apologies and Reparations Archive (2005.0059.10):
Cardinal Bernard Law apologised to members of the Cathedral of the Holy Cross in Boston for his role in assigning sexually abusive priests to positions where they would have access to children.
10 September 2003: The Roman Catholic Archdiocese of Boston agreed today to pay $85 million to settle almost 550 lawsuits by people who say they were sexually abused by priests. The settlement is the largest ever by an American diocese to resolve sexual abuse cases. (The New York Times)
16 October 2003: The Boston Archdiocese agreed Tuesday to pay $85 million to settle more than 500 lawsuits from people who claim Roman Catholic priests abused them, a lead attorney in the cases told The Associated Press. It is the largest known payout by a U.S. diocese to settle molestation charges. (CBS News)
19 April 2006: The total amount expended by the Archdiocese to settle sexual abuse claims prior to June 30, 2005 was $127.4 million. A total of 895 settlements were reached. These figures include the global settlement of 541 claims reached by Archbishop O’Malley in the fall of 2003 at a cost of $84.1 million. (Archdiocese of Boston)</t>
  </si>
  <si>
    <t>archdiocese, diocese, lawsuits, archbishop, priests, settlement, boston, allegations, clergy, compensation</t>
  </si>
  <si>
    <t>Marootian, et al. v. New York Life Insurance Company</t>
  </si>
  <si>
    <t>New York Life Insurance Company</t>
  </si>
  <si>
    <t>During the decline of the Ottoman Empire, from 1915 to 1917, the Young Turk government sponsored a genocide against ethnic Armenians. While Armenians resident in the Ottoman Empire lived in harmony with other ethnic groups until the late nineteenth century, they began to be persecuted by the sultanate during the latter half of that century. When the Young Turk government rose to power in 1908, it maintained the persecution which led to the death/forced relocation of more than one million Armenians. Survivors and their heirs faced difficulties collecting the benefits of insurance policies taken out prior to 1914. Having been forced to flee on short notice, survivors often lacked the appropriate documentation necessary to prove insurance claims.
(source: Political Apologies and Reparations Archive)</t>
  </si>
  <si>
    <t>New York Insurance Life Company</t>
  </si>
  <si>
    <t>Armenian National Institute</t>
  </si>
  <si>
    <t>http://www.newyorklife.com/nyl/v/index.jsp?vgnextoid=3597e62f139d2210a2b3019d221024301cacRCRD (NOT WORKING),
https://nuhanovicfoundation.org/database/us-state-of-california-class-action-lawsuit-settlements-by-heirs-of-the-victims-of-the-armenian-genocide-vs-new-your-life-insurance/,
https://www.armenian-genocide.org/News.18/current_category.173/press_detail.html</t>
  </si>
  <si>
    <t>Political Apologies and Reparations Archive:
New York Life, an American corporation, was one of many companies that sold life insurance policies to Armenians living in the Ottoman Empire prior to the genocide. As of 28 January 2004, New York Life's records showed that there were more than 2,000 unresolved insurance policies issued to Armenians living in Turkey prior to 1915. The number of unresolved claims encouraged the victims living in the United States and abroad to file a class action lawsuit (Marootian, et al. v. New York Life Insurance Company) against New York Life in November 1999. The settlement between the plaintiffs and the defendant requires New York Life to pay all 2,000 unresolved claims at ten times the face-value amount of each policy. The company also agreed to cover the plaintiffs' legal expenses and contribute $3 million to Armenian civic organizations located in New York, California, Massachusetts and New Jersey.
29 January 2004: New York Life Insurance Co. has agreed to pay $20 million to settle a lawsuit filed in Los Angeles by heirs of Armenian genocide victims who accused the company of failing to honor valid claims. (Armenian National Institute)</t>
  </si>
  <si>
    <t>The following source URL is no longer accessible: http://www.newyorklife.com/nyl/v/index.jsp?vgnextoid=3597e62f139d2210a2b3019d221024301cacRCRD. A snapshot of the original content is available through the Political Apologies and Reparations Archive (2010.0031.01). See attached snapshots.</t>
  </si>
  <si>
    <t>genocide, Armenian genocide, Armenia, Armenian, New York Life Insurance, insurance, litigation, Ottoman Empire, Ottoman, class action suit, lawsuit, Turkey, Turkish insurance, armenians, armenian, turk, genocide, ottoman, lawsuit, lived, policies, reparations</t>
  </si>
  <si>
    <t>Philadelphia Pays Compensation for 1985 MOVE Bombing in 2005</t>
  </si>
  <si>
    <t>https://en.wikipedia.org/wiki/1985_MOVE_bombing,
https://libguides.ccp.edu/c.php?g=519877&amp;p=3555594</t>
  </si>
  <si>
    <t>en.wikipedia.org: http://web.archive.org/web/20250918015332/https://en.wikipedia.org/wiki/1985_MOVE_bombing [18 September 2025]
libguides.ccp.edu: http://web.archive.org/web/20240603103518/https://libguides.ccp.edu/c.php?g=519877&amp;p=3555594 [03 June 2024]</t>
  </si>
  <si>
    <t>Wikipedia: City of Philadelphia ordered to pay $1.5 million in 1996 to a MOVE bombing survivor and the families of people killed, $12.83 million awarded in 2005 to residents who were made homeless.
In 2005, federal judge Clarence Charles Newcomer presided over a civil trial brought by residents seeking damages for having been displaced by the widespread destruction following the 1985 police bombing of MOVE. A jury awarded them a $12.83 million verdict against the City of Philadelphia.
Community College of Philadelphia Library:
In May 2005, the 24 residents who sued the city were awarded $12.8 million by a federal jury, which amounted to $530,000 per household. However, the city appealed the judgment, and in December 2005, a federal judge cut the amount in half, to $6.3 million dollars, which left the plaintiffs with $250,000 apiece.</t>
  </si>
  <si>
    <t>W. Wilson Goode, Goode, Philadelphia, United States, MOVE, John Africa, Donald Glassey, Vincent Leaphart, bombed, damages, philadelphia, judgment, verdict, bombing, philadelphian, judge, 1985, sued</t>
  </si>
  <si>
    <t>State of Virginia and John Kluge Pay Reparations for Racial Past</t>
  </si>
  <si>
    <t>The state of Virginia (USA), matched by the billionaire media investor John Kluge</t>
  </si>
  <si>
    <t>State residents who were denied proper education during public school shutdowns in support of segregation</t>
  </si>
  <si>
    <t>Virginia, five decades after ignoring Prince Edward County and other locales that shut down their public schools in support of segregation, is making a rare effort to confront its racist past, in effect apologizing and offering reparations in the form of scholarships.
(source: https://guides.library.umass.edu/reparations)</t>
  </si>
  <si>
    <t>https://www.nytimes.com/2005/07/31/education/a-new-hope-for-dreams-suspended-by-segregation.html</t>
  </si>
  <si>
    <t>www.nytimes.com: http://web.archive.org/web/20241207101616/https://www.nytimes.com/2005/07/31/education/a-new-hope-for-dreams-suspended-by-segregation.html [07 December 2024]</t>
  </si>
  <si>
    <t>Reparations in the United States:
2005: Virginia, five decades after ignoring Prince Edward County and other locales that shut down their public schools in support of segregation, is making a rare effort to confront its racist past, in effect apologizing and offering reparations in the form of scholarships. With a $1 million donation from the billionaire media investor John Kluge and a matching amount from the state, Virginia is providing up to $5,500 to any state resident who was denied a proper education when public schools shut down. So far, more than 80 students have been approved for the scholarships and the numbers are expected to rise. Several thousand are potentially eligible. (“A New Hope For Dreams Suspended By Segregation”, The New York Times, July 31, 2005 by Michael Janofsky.)</t>
  </si>
  <si>
    <t>reparations, tuition, scholarships, virginia, virginiahistory, schools, grants, educate, donation, education</t>
  </si>
  <si>
    <t>JPMorgan Sets Up Scolarship Fund for African-American Students in Louisiana</t>
  </si>
  <si>
    <t>JPMorgan Chase &amp; Co.</t>
  </si>
  <si>
    <t>African-American students from Louisiana</t>
  </si>
  <si>
    <t>JPMorgan Chase &amp; Co. is the first company to acknowledge that two of its predecessor banks had specific links to the slave trade. The bank said that historical researchers had found that two now-defunct predecessor banks — Citizens Bank and Canal Bank, both based in Louisiana — served as banks to plantations from the 1830s until the Civil War. The bank estimated that the two banks "accepted approximately 13,000 enslaved individuals as collateral and that the banks came to own approximately 1,250 enslaved individuals as a result" of defaults.
(source: https://www.nbcnews.com/id/wbna6851727)</t>
  </si>
  <si>
    <t>https://www.nbcnews.com/id/wbna6851727</t>
  </si>
  <si>
    <t>www.nbcnews.com: http://web.archive.org/web/20250707151710/https://www.nbcnews.com/id/wbna6851727 [07 July 2025]</t>
  </si>
  <si>
    <t>Reparations in the United States:
Banking corporation JPMorgan Chase issues an apology for their historical ties to the slave trade. The corporation set up a $5 million scholarship fund for black students to attend college. The scholarship program, called Smart Start Louisiana, was likened to reparations by several commentators, including Rev. Jesse Jackson. ("JPMorgan: Predecessors linked to slavery", January 21, 2005, Associated Press; "JP Morgan Chase Creates 'Smart Start Louisiana'", Howard University News Service.)
21 January 2005:
"We apologize to the African-American community, particularly those who are descendants of slaves, and to the rest of the American public for the role that Citizens Bank and Canal Bank played," Harrison and Dimon said in their statement. "The slavery era was a tragic time in U.S. history and in our company's history." JPMorgan said it was setting up a program called Smart Start Louisiana. The bank will provide $5 million over five years for full tuition undergraduate scholarships for African-American students from Louisiana to attend college in their home state. (NBC News)</t>
  </si>
  <si>
    <t>banking, banks, bank, scholarships, jpmorgan, scholarship, collateral, louisiana, reparations, slaves</t>
  </si>
  <si>
    <t>U.S. and Five Major News Organizations Settlement with Wen Ho Lee</t>
  </si>
  <si>
    <t>Federal government of the United States and Five News Organisations (The Washington Post, The New York Times, Los Angeles Times, ABC News and The Associated Press)</t>
  </si>
  <si>
    <t>Wen Ho Lee</t>
  </si>
  <si>
    <t>Wen Ho Lee, who in 2000 pleaded guilty to mishandling nuclear secrets, was held at length and under restrictive conditions following his plea but before his trial. Following his plea bargain and eventual release, several major public figures expressed discomfort with Lee's treatment at the hands of the United States government. Lee himself later claimed that he had been targeted because of his Chinese ancestry.
(source: Political Apologies and Reparations Archive)</t>
  </si>
  <si>
    <t>Political Apologies and Reparations Archive (2006.0098.01)</t>
  </si>
  <si>
    <t>http://seattletimes.nwsource.com/html/nationworld/2003036601_wenholee03.html,
https://www.washingtonpost.com/archive/business/technology/2006/06/05/wen-ho-lee-settles-privacy-lawsuit/ce52e390-9525-4d01-bc6d-30c2bfbf84f8/</t>
  </si>
  <si>
    <t>seattletimes.nwsource.com: http://web.archive.org/web/20081203005453/http://seattletimes.nwsource.com/html/nationworld/2003036601_wenholee03.html [03 December 2008]
www.washingtonpost.com: http://web.archive.org/web/20170827193726/https://www.washingtonpost.com/archive/business/technology/2006/06/05/wen-ho-lee-settles-privacy-lawsuit/ce52e390-9525-4d01-bc6d-30c2bfbf84f8/ [27 August 2017]</t>
  </si>
  <si>
    <t>Political Apologies and Reparations Archive:
Lee has charged the United States government and five major news organisations with violating his privacy, through the leakage and subsequent publication of classified information. He has received an estimated $1.6 million (USD) in compensation.
3 June 2006: Wen Ho Lee, the nuclear scientist once identified in news reports as the target of a government spying investigation, will receive more than $1.6 million from the federal government and five news organizations to settle allegations that government leaks violated his privacy. The unusual agreement heads off a Supreme Court confrontation over whether reporters can be fined and jailed for refusing to reveal their sources to lawyers pursuing a civil suit. The government will pay Lee $895,000 to drop his lawsuit, filed in 1999, in which he accused the Energy and Justice departments of violating his privacy rights by leaking information that he was being investigated for spying for China while working at the Los Alamos National Laboratory in New Mexico. In addition, the news organizations agreed to pay Lee $750,000. None of the media outlets — The Washington Post, The New York Times, Los Angeles Times, ABC News and The Associated Press — had been sued by Lee and none of their reporting was directly challenged. (The Seattle Times)
4 June 2006: Wen Ho Lee, a former nuclear weapons scientist who came under government suspicion of being a spy for China, settled a lawsuit today over violation of his privacy rights and will receive $1.65 million from the government and five news organizations, including The Washington Post. Under the settlement, which was filed in U.S. District Court in Washington and cited in a joint statement by the five news organizations, Lee will receive $895,000 from the government for legal fees and taxes related to his lawsuit accusing the U.S. Justice Department and Energy Department of violating his rights under the Privacy Act by leaking information that he was under investigation for suspected espionage. The five news organizations -- the Post, the New York Times, the Los Angeles Times, the Associated Press and ABC News -- agreed to pay Lee a total of $750,000 as part of the settlement. (The Washington Post)</t>
  </si>
  <si>
    <t>United States, Wen Ho Lee,Lee,nuclear, Los Alamos National Laboratory, Los Alamos,Bill Richardson, Richardson,James Parker, Parker, lee, lawsuit, reporters, sued, spying, news, accused, guilty, allegations, media</t>
  </si>
  <si>
    <t>The Hokie Spirit Memorial Fund for Victims of the Virginia Tech Shootings</t>
  </si>
  <si>
    <t>Virginia Tech (funded by private voluntary donations)</t>
  </si>
  <si>
    <t>Families of the victims of the shooting</t>
  </si>
  <si>
    <t>The Virginia Tech shooting was a spree shooting that occurred on Monday, April 16, 2007, comprising two attacks on the campus of the Virginia Polytechnic Institute and State University (Virginia Tech) in Blacksburg, Virginia, United States. Seung-Hui Cho, an undergraduate student at the university, killed 32 people and wounded 17 others with two semi-automatic pistols before committing suicide. Six others were injured jumping out of windows to escape Cho.
(source: https://en.wikipedia.org/wiki/Virginia_Tech_shooting)
In the wake of the April 16, 2007 shootings at Virginia Tech, which claimed the lives of thirty-two victims and injured scores of faculty and students, the Virginia Tech School Administration announced the creation of “The Hokie Spirit Memorial Fund.” This Fund of approximately $7.5 million—the result of unsolicited private donations from some 20,000 individuals around the globe—will be distributed to the victims and their families pursuant to a proposed Victims Assistance Program Protocol, which delineates the terms and conditions of victim eligibility and levels of compensation.
(source: https://virginialawreview.org/articles/compensating-victims-catastrophe-virginia-tech-victims-assistance-program/)</t>
  </si>
  <si>
    <t>The initial funds were distributed by the end of  2007. The fund remained then open for contributions to scholarships for five years.</t>
  </si>
  <si>
    <t>https://virginialawreview.org/articles/compensating-victims-catastrophe-virginia-tech-victims-assistance-program/,
https://www.archive.vtmag.vt.edu/memorial07/fund.html</t>
  </si>
  <si>
    <t>virginialawreview.org: http://web.archive.org/web/20250810065634/https://virginialawreview.org/articles/compensating-victims-catastrophe-virginia-tech-victims-assistance-program/ [10 August 2025]
www.archive.vtmag.vt.edu:
https://web.archive.org/web/20240819103211/https://www.archive.vtmag.vt.edu/memorial07/fund.html [19 August 2024]</t>
  </si>
  <si>
    <t>Who Gets What: Fair Compensation After Tragedy and Financial Upheaval
By Kenneth R Feinberg (2012):
- Total funds awarded from private donations: $7,074,377
- Number of awards for deceased victims: 32
- Payment per deceased victim: $208,000
- Number of awards for physical injury victims and those present at the site of the shooting: 48
- Average payment for physical injury victims and those present at the site of the shooting: $35,668.75
Virginia Law Review (September 3, 2013):
In the wake of the April 16, 2007 shootings at Virginia Tech, which claimed the lives of thirty-two victims and injured scores of faculty and students, the Virginia Tech School Administration announced the creation of “The Hokie Spirit Memorial Fund.” This Fund of approximately $7.5 million—the result of unsolicited private donations from some 20,000 individuals around the globe—will be distributed to the victims and their families pursuant to a proposed Victims Assistance Program Protocol, which delineates the terms and conditions of victim eligibility and levels of compensation.
VirginiaTech Magazine:
Another incredible outpouring of support has come in the form of gifts of all shapes and sizes donated to the Hokie Spirit Memorial Fund, which was established to offer assistance to those affected by the tragedy. There has also been strong support of the Hokie Spirit Scholarship Fund, which includes 32 scholarships, one in the name of each victim.</t>
  </si>
  <si>
    <t>Brown &amp; Slavery &amp; Justice</t>
  </si>
  <si>
    <t>Brown University</t>
  </si>
  <si>
    <t>African Americans</t>
  </si>
  <si>
    <t>Brown University - an Ivy League, private university - was founded in 1764 as the College of Rhode Island. However, the institution came under scrutiny for having a past linked to slavery. During the 18th century, the university's founder Rev. James Manning accepted donations from slave owners and slave traders. In fact, the four original Brown brothers were involved in trading slaves, employed slave labour and owned slave ships.
(source: Political Apologies and Reparations Archive)</t>
  </si>
  <si>
    <t>1-Jan-1764</t>
  </si>
  <si>
    <t xml:space="preserve">http://www.brown.edu/Research/Slavery_Justice/about/response.html,
https://slaveryandjustice.brown.edu/history
</t>
  </si>
  <si>
    <t>www.brown.edu: http://web.archive.org/web/20210926000037/https://www.brown.edu/Research/Slavery_Justice/about/response.html [26 September 2021]
slaveryandjustice.brown.edu: http://web.archive.org/web/20250115082312/https://slaveryandjustice.brown.edu/history [15 January 2025]</t>
  </si>
  <si>
    <t>Political Apologies and Reparations Archive (2008.0002.02):
Brown University will commission a revision of its official history, disseminate the report and make it accessible to anyone upon request in a variety of media, undertake a major research and teaching initiative on slavery and justice, take steps to strengthen and expand the Department of Africana Studies, and raise a permanent endowment in the amount of $10 million to establish a Fund for the Education of the Children of Providence.
Political Apologies and Reparations Archive (2008.0002.03):
After a three year investigation, Brown University's Committee on Slavery and Justice has published a report documenting their findings and recommendations. The committee suggested the university build a memorial, create a centre for the study of slavery and injustice and increase its efforts to recruit minority students, specifically those from Africa and the West Indies. The committee decided against outright reparations but recommends the university publicly acknowledge its historical ties to slavery.
Brown &amp; Slavery &amp; Justice:
In keeping with recommendations from the Report of the Brown University Steering Committee on Slavery and Justice, Brown commits on February 24, 2007, to raising a permanent endowment in the amount of $10 million to establish a Fund for the Education of the Children of Providence, providing college scolarships to students in local schools.</t>
  </si>
  <si>
    <t>Brown, Brown University, Brown family, College of Rhode Island, Ivy League, Ruth Simmons, Simmons, United States, slavery, slave industry, slavery report, Steering Committee on Slavery and Justice, slavery, slaves, slave, university, reparations, institution, college, justice, students</t>
  </si>
  <si>
    <t>L.A. Catholic Church Pays for Clergy Abuse</t>
  </si>
  <si>
    <t>L.A. Catholic Church</t>
  </si>
  <si>
    <t>Multiple settlements were made since 2007.</t>
  </si>
  <si>
    <t>Political Apologies and Reparations Archive (2005.0059.05 - Updated)</t>
  </si>
  <si>
    <t>Los Angeles Times</t>
  </si>
  <si>
    <t>https://www.latimes.com/california/story/2024-10-16/archdiocese-of-los-angeles-to-pay-880-million-in-the-largest-clergy-sexual-abuse-settlement</t>
  </si>
  <si>
    <t>www.latimes.com:
https://web.archive.org/web/20250902085447/https://www.latimes.com/california/story/2024-10-16/archdiocese-of-los-angeles-to-pay-880-million-in-the-largest-clergy-sexual-abuse-settlement [02 September 2025]</t>
  </si>
  <si>
    <t>Political Apologies and Reparations Archive (2005.0059.05):
Cardinal Roger Mahoney, Archbishop of the Archdiocese of Los Angeles, read a letter of acknowledgement and apology to a Hollywood church mass.
16 October 2024: In what could be the closing chapter in a landmark legal battle, the Archdiocese of Los Angeles has agreed to pay $880 million to victims of clergy sexual abuse dating back decades in the largest settlement involving the Catholic Church. Attorneys for 1,353 people who allege that they suffered horrific abuse at the hands of local Catholic priests reached the settlement after months of negotiations with the archdiocese. The agreement caps a quarter-century of litigation against the most populous archdiocese in the United States. The settlement leaves only a few lawsuits pending against the church in Los Angeles, attorneys for the victims say. The archdiocese had previously paid $740 million to victims in various settlements and had pledged to better protect its church members, so this settlement would put the total payout at more than $1.5 billion. (Los Angeles Times)</t>
  </si>
  <si>
    <t>NOTE ON CONVERSION: The total compensation disbursed ($1.5 billion) is reported as an accumulated figure paid as of 2024. We assume this figure represents the total value of all payments over the entire period.
According to Google, first settlement was made in 2007.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</si>
  <si>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Catholic, Catholic Church, Church, United States, US, America, bishop, cardinal, archbishop, priest, sexual abuse, Bernard Law, Boston, Mahony, archdiocese, priests, clergy, lawsuits, litigation, payouts, settlement, catholic, payout, attorneys</t>
  </si>
  <si>
    <t>Virginia Tech Shootings Settlement</t>
  </si>
  <si>
    <t>State of Virginia (USA)</t>
  </si>
  <si>
    <t>The Virginia Tech shooting was a spree shooting that occurred on Monday, April 16, 2007, comprising two attacks on the campus of the Virginia Polytechnic Institute and State University (Virginia Tech) in Blacksburg, Virginia, United States. Seung-Hui Cho, an undergraduate student at the university, killed 32 people and wounded 17 others with two semi-automatic pistols before committing suicide. Six others were injured jumping out of windows to escape Cho.
(source: https://en.wikipedia.org/wiki/Virginia_Tech_shooting)</t>
  </si>
  <si>
    <t>https://www.nbcnews.com/id/wbna24050712</t>
  </si>
  <si>
    <t>www.nbcnews.com: http://web.archive.org/web/20231002150059/https://www.nbcnews.com/id/wbna24050712 [02 October 2023]</t>
  </si>
  <si>
    <t>10 April 2008: Most families of victims of the Virginia Tech shootings have agreed to an $11 million state settlement to compensate families who lost loved ones, pay survivors' medical costs and avoid a court battle over whether anyone besides the gunman was to blame. (NBC News)</t>
  </si>
  <si>
    <t>Reparations after Hurricane Katrina</t>
  </si>
  <si>
    <t>Victims of the Hurricane Katrina</t>
  </si>
  <si>
    <t>Near the end of August 2005 hurricane Katrina, one of the strongest hurricanes ever to make landfall in the United States, came ashore on the south coast of Louisiana and Mississippi as a category 3 hurricane. The hurricane and its subsequent storm surge devastated several communities in southern Louisiana, including New Orleans, which suffered a break in the levees designed to contain the flood waters. Approximately 1,836 people died as a result of the storm and property damage was in excess of $81 billion.The response of the Government of the United States, and particularly the Federal Emergency Management Agency (FEMA) to the disaster posed by hurricane Katrina has been widely criticized as being too slow. Federal response took several days, and many of the victims were stranded on rooftops in New Orleans for days without rescue, and succumbed to dehydration, exhaustion and drowning. FEMA director Michael Brown resigned in the aftermath of the storm and his department's failure to respond in a timely fashion. (source: Political Apologies and Reparations Archive)
Despite the influx of billions of dollars for recovery, some residents—particularly Black, people of color, and low-income residents—are still reeling from the fallout. Historic inequities like redlining and loan refusal have pushed Black residents into flood-prone areas of New Orleans. The Road Home housing recovery program—funded by the U.S. Department of Housing and Urban Development—was created shortly after Katrina and provided grant money to help Louisiana residents rebuild or sell their homes damaged by the hurricane. However, the money was disbursed based on the pre-storm property value of a home rather than the cost of damage or to rebuild. This meant that lower-income residents were left with fewer resources to rebuild, and as a result, the Black population in New Orleans has dramatically decreased post-Katrina.
(source: https://blog.nwf.org/2025/08/katrina-20-years-later-disasters-are-worsening/)</t>
  </si>
  <si>
    <t>Political Apologies and Reparations Archive (2005.0291.01 - Updated)</t>
  </si>
  <si>
    <t>http://releases.usnewswire.com/GetRelease.asp?id=54819 (NOT WORKING),
https://theweek.com/speedreads/442175/nine-years-later-hurricane-katrina-victims-payouts,
https://www.cobellsettlement.com</t>
  </si>
  <si>
    <t>Political Apologies and Reparations Archive:
This year the Millions More Movement weekend will begin with a conference called, Reparations, Healing and Hurricane Katrina. The national event will begin on October 14th.
10 October 2005: The Millions More Movement weekend will kick off Oct. 14 with a powerful Black Family Conference entitled: "Reparations, Healing, and Hurricane Katrina." This historic national event will take place from 5 p.m. to 11 p.m. at the Scripture Cathedral Church, located on 9th and O St. NW (2 blocks from the DC Convention Center) in Downtown Washington D.C. Doors will open at 4 p.m. (US Newswire)
10 January 2015: Residents and business owners in New Orleans affected by Hurricane Katrina in 2005 can now apply for compensation from a $14 million settlement fund.
The money is from a settlement reached in 2009 with levee boards in New Orleans, Jefferson Parish, and St. Bernard Parish; all three were found responsible for the upkeep of the levees that were destroyed during the hurricane. The funds will be available to residents, businesses, and visitors who were in New Orleans when Katrina hit, with the money coming from insurance policies. (The Week)</t>
  </si>
  <si>
    <t>The harm in this case stems from a natural disaster where government negligence in providing assistance played a central role. Some sources also highlight environmental racism and discrimination in post-disaster assistance programs, which disproportionately disadvantaged Black communities during recovery efforts.
See also:
https://www.communitycommons.org/entities/2dd005b9-a62d-43af-bf50-00d0f2e5d675,
https://blog.nwf.org/2025/08/katrina-20-years-later-disasters-are-worsening/,
https://www.ciel.org/katrina-20-years-later/
The following source URL is no longer accessible: http://releases.usnewswire.com/GetRelease.asp?id=54819. A snapshot of the original content is available through the Political Apologies and Reparations Archive (2005.0291.01). See attached snapshots.</t>
  </si>
  <si>
    <t>United States, Hurricane Katrina, Katrina,Hurricane, FEMA, New Orleans, Millions More Movement, Millions More March, orleans, hurricanes, fema, disaster, storm, flood, reparations, rescue</t>
  </si>
  <si>
    <t>Cobell v. Salazar Settlement Case</t>
  </si>
  <si>
    <t>Individual Native American tribes</t>
  </si>
  <si>
    <t>A $3.4 billion dollar settlement was approved in a class action lawsuit, called Cobell v. Salazar, that claimed individual Indian land, funds and other assets were mismanaged by the federal government.
(source: https://www.cobellsettlement.com)</t>
  </si>
  <si>
    <t>1-Jan-1887</t>
  </si>
  <si>
    <t>https://www.npr.org/2009/12/08/121216558/u-s-in-3b-settlement-with-american-indians,
https://www.justice.gov/archives/opa/pr/attorney-general-loretta-e-lynch-and-secretary-interior-sally-jewell-announce-settlements,
https://www.cobellsettlement.com,
https://www.doi.gov/cobell,
https://en.wikipedia.org/wiki/Cobell_v._Salazar</t>
  </si>
  <si>
    <t>www.npr.org: http://web.archive.org/web/20250919084748/https://www.npr.org/2009/12/08/121216558/u-s-in-3b-settlement-with-american-indians [19 September 2025]
www.justice.gov:
https://web.archive.org/web/20250919084756/https://www.justice.gov/archives/opa/pr/attorney-general-loretta-e-lynch-and-secretary-interior-sally-jewell-announce-settlements [19 September 2025]
www.cobellsettlement.com:
https://web.archive.org/web/20250925003553/https://www.cobellsettlement.com/ [25 September 2025]
www.doi.gov/cobell:
https://web.archive.org/web/20250924073019/https://www.doi.gov/cobell [24 September 2025]
en.wikipedia.org:
https://web.archive.org/web/20250809161906/https://en.wikipedia.org/wiki/Cobell_v._Salazar [09 August 2025]</t>
  </si>
  <si>
    <t>8 December 2009:
The U.S. Justice Department announced Tuesday a $3 billion settlement with Indian tribes. This marks the end of a 13-year lawsuit brought against the government by Indian tribes over billions of dollars in valuable land and oil royalties. (NPR)
Cobell Settlement:
A $3.4 billion dollar settlement was approved in a class action lawsuit, called Cobell v. Salazar, that claimed individual Indian land, funds and other assets were mismanaged by the federal government. Cobell v. Salazar, a class action lawsuit about individual Indian land, funds and other assets held in trust by the federal government. Courts decided that the federal government has violated its trust duties, including a duty to account for Individual Indian Money trust funds. The Settlement will resolve claims that the government violated  its  trust duties by (a) mismanaging individual Indian trust funds and other assets, (b) improperly accounting  for  those  funds, and (c) mismanaging trust land and other  assets. The individual Indian trust land is called “allotted” land and owners are from time to time referred to as “beneficiaries,” “allottees,” or “landowners.”
U.S. Department of the Interior:
The Cobell settlement was approved by Congress on November 30, 2010 (Claims Resolution Act of 2010) and signed by President Obama on December 8, 2010. The $3.4 billion Cobell Settlement includes a $1.9 billion Trust Land Consolidation Fund and $1.5 billion in direct payments to class members.
Wikipedia:
The case was settled for $3.4 billion in 2009. $1.4 billion was allocated to be paid to the plaintiffs and $2 billion allocated to repurchase fractionated land interests from those distributed under the Dawes Act and to return it to reservations and communal tribal ownership. In addition, a scholarship fund for Native American and Alaska Native students was created, to be funded from purchase of fractionated lands. It is named the Cobell Educational Scholarship Fund in honor of lead plaintiff Elouise Cobell, who filed suit against the government in 1996 and persisted with the case until settlement. The scholarship fund has a cap of $60 million; $40 million had been contributed to the fund by November 2016. By November 2016, the Department of Interior had paid $900 million to individual landholders for the fair market value of their fractionated lands, and transferred an estimated 1.7 million acres to tribal reservations for communal use. As more reservations are participating in the program, the pace of buy back has increased.</t>
  </si>
  <si>
    <t>United States, Native americans, settlement, tribes, lawsuits, tribal, reparations, lawsuit, settlement, indians, settlements, federal, disputes</t>
  </si>
  <si>
    <t>City of Chicago Compensates Victims of Police Brutality</t>
  </si>
  <si>
    <t>City of Chicago (USA)</t>
  </si>
  <si>
    <t>African American men (David Fauntleroy and Michael Tillman) — who were beaten, electrocuted or suffocated with plastic bags by Burge and his subordinates.</t>
  </si>
  <si>
    <t>Former Chicago police lieutenant, Jon Burge, was accused of torturing dozens of suspects - mainly black men - until they confessed to crimes. Burge was accused of not only participatingin torture, but also for allowing it under his watch. More than 100 victims said that torture in Chicago's police stations lasted from the 1970s until the 1990s.
(source: Political Apologies and Reparations Archive)</t>
  </si>
  <si>
    <t>Political Apologies and Reparations Archive (2012.0052.02)</t>
  </si>
  <si>
    <t xml:space="preserve">https://www.theguardian.com/info/2015/dec/09/removed-news-agency-feed-article (NOT WORKING)
</t>
  </si>
  <si>
    <t>Political Apologies and Reparations Archive:
A Chicago City Council committee has approved settlements for two men who alleged that they were victims of police torture while Jon Burge was Chicago’s police lieutenant. The settlements of $1.8 million for David Fauntleroy and $5 million for Michael Tillman await the City Council’s approval.
28 June 2010: A decorated former Chicago police lieutenant accused of suffocating, shocking and beating confessions out of scores of suspects was convicted Monday of federal perjury and obstruction of justice charges for lying about torture.
[...] Former Illinois Gov. George Ryan released four condemned men from death row in 2003 after Ryan said Burge had extracted confessions from them using torture. The four later reached a $20 million settlement with the city. (The Guardian)
23 June 2012: A Chicago City Council committee has signed off on settlements in two lawsuits filed by men who allege they were victims of police torture during the tenure of former Chicago Police Cmdr. Jon Burge. The settlements totaling $7.17 million still need the full City Council's approval. More than $5 million would go to Michael Tillman, who says officers tortured him for four days until he confessed to murder. He was exonerated after spending more than 23 years in prison. Additionally, David Fauntleroy would get $1.8 million. He spent 25 years in prison after being charged in a 1983 double murder, but that case was dropped in 2009. (The Guardian)</t>
  </si>
  <si>
    <t>The following source URL is no longer accessible: https://www.theguardian.com/info/2015/dec/09/removed-news-agency-feed-article. A snapshot of the original content is available through the Political Apologies and Reparations Archive (2012.0052.02). See attached snapshots.</t>
  </si>
  <si>
    <t>Chicago police, Jon Burge, Burge, torture, Patrick Fitzgerald, Fitzgerald, police brutality, police torture, accused, tortured, officers, torture, victims, torturing, convicted, prison</t>
  </si>
  <si>
    <t>The September 11th Victim Compensation Fund (VCF II: 2011-Ongoing)</t>
  </si>
  <si>
    <t>On September 11, 2001, two hijacked aircraft were flown by terrorists into the World Trade Centre, and one hijacked aircraft was flown into the Pentagon. In all approximately 3,000 people were killed as a result of the attacks.
(source: Political Apologies and Reparations Archive)
In 2010, Congress passed the James Zadroga 9/11 Health and Compensation Act, which reopened the VCF and provided additional funding for compensation and medical treatment for 9/11-related illnesses. The Zadroga Act expanded the eligibility criteria for the VCF to include individuals who were present in certain areas of Lower Manhattan in the months following the attacks and who may have been exposed to toxins and other harmful substances as a result. (source: https://www.marcowitzlaw.com/victim-compensation-fund-history/)</t>
  </si>
  <si>
    <t>The VCF was first established in 2001, 11 days after the terrorist attacks. The original fund closed in 2003 but was then reactivated in 2011. In 2015 the programme was extended until 2090.
Payments are still ongoing.</t>
  </si>
  <si>
    <t>Political Apologies and Reparations Archive (2007.0001.01 - Updated)</t>
  </si>
  <si>
    <t>https://www.vcf.gov,
https://www.vcf.gov/sites/vcf/files/media/document/2025-01/2024%20Annual%20Report%20-%20508.pdf</t>
  </si>
  <si>
    <t>www.vcf.gov: http://web.archive.org/web/20250926123424/https://www.vcf.gov/ [26 September 2025]
www.vcf.gov: http://web.archive.org/web/20250601131857/https://www.vcf.gov/sites/vcf/files/media/document/2025-01/2024%20Annual%20Report%20-%20508.pdf [01 June 2025]</t>
  </si>
  <si>
    <t>September 11th Victim Compensation Fund:
The September 11th Victim Compensation Fund (VCF) is a federally funded program that was established to compensate for physical harm or death caused by the September 11, 2001, terrorist attacks, or the debris removal efforts in the immediate aftermath. The VCF was established to provide a no-fault alternative to lawsuits and is administered by the U.S. Department of Justice and the Special Master, Allison Turkel.
September 11th Victim Compensation Fund - Annual Report 2024:
Rounding out the year’s significant progress is the new milestone of awarding $14.9 billion to over 65,600 claimants since the VCF re-opened in October of 2011.
[Numbers retrieved are as of 2024]</t>
  </si>
  <si>
    <t>NOTE ON CONVERSION: The total compensation disbursed ($14.9 billion) is reported as an accumulated figure paid as of 2024. We assume this figure represents the total value of all payments over the entire period. For comparison purposes, we treat it as a 2024 value and convert it to our year of interest.
The original Total Amount Pledged is: 7,375,000,000.00 USD.</t>
  </si>
  <si>
    <t>U.S. Military Pays Compensation to Families of the Victims of Kandahar Massacre</t>
  </si>
  <si>
    <t>U.S. Military</t>
  </si>
  <si>
    <t>Family members of Afghan massacre victims</t>
  </si>
  <si>
    <t>Staff Sgt. Robert Bales murdered 16 unarmed Afghan civilians in their homes on the night of March 11th, 2012. Nine children, four women and three men were shot and killed in the Afghan villages of Balandi and Alkozai. US Army investigators determined that Staff Sgt. Baleswas the only person responsible for the attacks. Immediately after the massacres, Bales was detained and would later plead guilty on all counts to avoid the death penalty.
(source: Political Apologies and Reparations Archive)</t>
  </si>
  <si>
    <t>https://www.bbc.com/news/world-asia-17503733,
https://edition.cnn.com/2012/03/25/world/asia/afghanistan-killings-money/?hpt=hp_t1,
https://en.wikipedia.org/wiki/Kandahar_massacre</t>
  </si>
  <si>
    <t>www.bbc.com: http://web.archive.org/web/20221011213138/https://www.bbc.com/news/world-asia-17503733 [11 October 2022]
edition.cnn.com: http://web.archive.org/web/20211219010858/https://edition.cnn.com/2012/03/25/world/asia/afghanistan-killings-money/?hpt=hp_t1 [19 December 2021]
en.wikipedia.org: http://web.archive.org/web/20250814235955/https://en.wikipedia.org/wiki/Kandahar_massacre [14 August 2025]</t>
  </si>
  <si>
    <t>25 March 2012: Afghan families who lost relatives in the Kandahar massacre have been paid compensation by the US military. They received $46,000 (£29,000) for each person killed and $10,000 (£6,300) for each person injured, Afghan officials and tribal elders said. (BBC News)
26 March 2012: Staff Sgt. Robert Bales has been charged with 17 counts of murder “with premeditation” in the March 11 slayings in the Panjwai district of Afghanistan’s Kandahar Province. But Afghan authorities have said there were 16 people killed in the Panjwai killings. Sunday, two Afghan provincial council members said the United States has paid the victims’ families a total of $860,000 – $10,000 for each of the six wounded survivors, and $50,000 apiece for the 16 dead. (CNN World)
Wikipedia:
On 25 March 2012, at the office of the governor of Kandahar province, the United States gave the equivalent of US$860,000 to the victims' families, allocated as $50,000 for each person killed and $10,000 for each person injured. The official who disbursed payments to the families said the money was not compensation but the U.S. government's offering to help the victims and their families. A member of the Kandahar provincial council described the payments as assistance, but not as the kind of legal compensation that would absolve the accused.</t>
  </si>
  <si>
    <t>The payments were described as "assistance", and not properly reparations or compensation.</t>
  </si>
  <si>
    <t>War in Afghanistan, Robert Bales, Afghan Massacre, victims, massacre, massacres, afghan, murdered, killings, murder, afghanistan, kandahar, civilians</t>
  </si>
  <si>
    <t>Eugenics Compensation Program in North Carolina (The "Justice for Sterilization Victims" Foundation)</t>
  </si>
  <si>
    <t>State of North Carolina (USA)</t>
  </si>
  <si>
    <t>Living survivors victims of forced sterilisation in North Carolina</t>
  </si>
  <si>
    <t>From 1929 to 1974, the Eugenics Board of North Carolina ran a eugenics program that sterilised more than 7,600 welfare recipients, with the stated purpose of eliminating mental illness and socially undesirable characteristics from the gene pool.
(source: Political Apologies and Reparations Archive)</t>
  </si>
  <si>
    <t>Additional payments may have been made after 2014, but no publicly available information could be identified to confirm this.</t>
  </si>
  <si>
    <t>https://lozierinstitute.org/victims-of-nc-eugenics-program-to-receive-compensation-at-last/,
https://www.doa.nc.gov/about/special-programs/office-justice-sterilization-victims,
http://extras.journalnow.com/againsttheirwill/,
 https://www.wunc.org/law/2014-10-06/why-some-nc-sterilization-victims-wont-get-share-of-10-million-fund,
https://abcnews.go.com/Health/WomensHealth/north-carolina-compensate-victims-eugenics-program-sterilized/story?id=15328707,
https://lrs.sog.unc.edu/bill/eugenics-compensation-program-4,
https://www.newsobserver.com/news/politics-government/state-politics/article139219933.html,
https://www.npr.org/sections/thetwo-way/2013/07/25/205547272/north-carolina-set-to-compensate-forced-sterilization-victims,
https://www.npr.org/sections/health-shots/2014/10/31/360355784/payments-start-for-n-c-eugenics-victims-but-many-wont-qualify</t>
  </si>
  <si>
    <t>lozierinstitute.org: http://web.archive.org/web/20250804120456/https://lozierinstitute.org/victims-of-nc-eugenics-program-to-receive-compensation-at-last/ [04 August 2025]
www.doa.nc.gov: http://web.archive.org/web/20250820071224/https://www.doa.nc.gov/about/special-programs/office-justice-sterilization-victims [20 August 2025]
extras.journalnow.com: http://web.archive.org/web/20121005055948/http://extras.journalnow.com:80/againsttheirwill/ [05 October 2012]
www.wunc.org:
https://web.archive.org/web/20250613045810/https://www.wunc.org/law/2014-10-06/why-some-nc-sterilization-victims-wont-get-share-of-10-million-fund [13 June 2025]
abcnews.go.com: http://web.archive.org/web/20250707204403/https://abcnews.go.com/Health/WomensHealth/north-carolina-compensate-victims-eugenics-program-sterilized/story?id=15328707 [07 July 2025]
lrs.sog.unc.edu: http://web.archive.org/web/20250513191341/https://lrs.sog.unc.edu/bill/eugenics-compensation-program-4 [13 May 2025]
www.newsobserver.com: http://web.archive.org/web/20241228194157/https://www.newsobserver.com/news/politics-government/state-politics/article139219933.html [28 December 2024]
www.npr.org:
https://web.archive.org/web/20250922020600/https://www.npr.org/sections/thetwo-way/2013/07/25/205547272/north-carolina-set-to-compensate-forced-sterilization-victims [22 September 2025]
www.npr.org:
https://web.archive.org/web/20251009000731/https://www.npr.org/sections/health-shots/2014/10/31/360355784/payments-start-for-n-c-eugenics-victims-but-many-wont-qualify [09 October 2025]</t>
  </si>
  <si>
    <t>10 January 2012: North Carolina will become the first state to compensate victims of a mass sterilization program that targeted poor minorities in a 20th century eugenics program, offering a $50,000 a person. In a vote today, the Eugenics Compensation Task Force recommended the lump-sum amount, putting a three-year statute of limitations on claiming those funds. (ABC News)
25 July 2013: North Carolina could become the first state to compensate people who were forcibly sterilized in programs across the country that began during the Great Depression and continued for decades, targeting individuals deemed feeble-minded or otherwise unfit.In a proposed budget, lawmakers have set aside $10 million for one-time payments to an estimated 1,500 people still alive who were part of a state program that sterilized 7,600 men, women and children from 1929 to 1974. The amount of each payout would be determined by how many people came forward. Julie Rose, of member station WFAE in Charlotte, N.C., reports on Thursday's All Things Considered that fewer than 200 people have come forward so far, meaning each of them could get as much as $50,000, but possibly far less. If 1,000 people seek compensation, for example, each one would get only $10,000. (NPR)
5 August 2013: On July 25th, the State Legislature passed a budget which would distribute $10 million amongst those who remain of the victims of the state’s coercive and forcible sterilization policy that existed in North Carolina from 1929 until 1974. Discussion of compensation has been going on for a long time and the North Carolina Legislature has been wrestling with the issue for ten years.  “It’s been a long hard fight,” said state Rep. Larry Womble (D). “We’re trying to correct a wrong.” According to Charmaine Fuller-Cooper, former director of the North Carolina Justice for Sterilization Victims Foundation, less than 200 people have come forward. That means each verified victim would receive about $50,000. (Lozier Institute)
6 October 2014: In 2013, North Carolina lawmakers set up a $10 million compensation fund for victims of state-sponsored eugenics. More than 780 people applied, claiming they had been forcibly or coercively sterilized by the state. Now, after an initial review, the state has decided only about 200 of those claims are valid, while more than 500 have come up short. The applicants are either denied outright or are asked for more information. (WUNC)
31 October 2014: As for people who will be compensated, the first half of the money went out this week --220 checks for $20,000 each. The rest will be disbursed next summer, after the approval process is complete. (npr.org)
23 July 2018: The legislature approved money as compensation in 2013 but required the payments to go to surviving victims. The N.C. Supreme Court issued a ruling Friday that put the question of that limitation back before the state Court of Appeals for further review. (The News &amp; Observer)</t>
  </si>
  <si>
    <t>North Carolina, United States, USA, North Carolina Eugenics Board, eugenics, sterilization, sterilisation, welfare, sterilised, sterilized, carolina, victims, compensation, fund, appeals</t>
  </si>
  <si>
    <t>Eugenics Sterilization Compensation Program in Virginia</t>
  </si>
  <si>
    <t>Living victims of the 1924 Virginia Eugenic Sterilization Act</t>
  </si>
  <si>
    <t>Virginia was a leader in the promotion and practice of eugenic sterilization in the first half of the twentieth century, largely due to the leadership role of the University of Virginia in the eugenics movement. In 1924, Virginia passed a compulsory sterilization law intended to limit the reproduction of disabled, poor, and “feebleminded” individuals committed to state hospitals. The peak of eugenic sterilizations in Virginia was between 1933 and 1944, although legal sterilizations continued until the practice was banned in 1972 and a small number of “therapeutic” sterilizations were performed until 1979. It is estimated that approximately 8,000 people were sterilized in the commonwealth between 1927 and 1979. 
(source: https://encyclopediavirginia.org/entries/eugenic-sterilization-in-virginia/)</t>
  </si>
  <si>
    <t>https://law.lis.virginia.gov/admincodefull/title12/agency35/chapter240/,
https://encyclopediavirginia.org/entries/eugenic-sterilization-in-virginia/,
https://www.reuters.com/article/world/us/virginia-lawmakers-ok-payout-to-forced-sterilization-survivors-idUSKBN0LU2D3/,
https://www.washingtonpost.com/opinions/victims-of-forced-sterilization-deserve-a-gesture-of-justice-from-virginia/2016/02/18/d426c2a4-d5bd-11e5-be55-2cc3c1e4b76b_story.html
https://pmc.ncbi.nlm.nih.gov/articles/PMC5308144/,
https://dbhds.virginia.gov/developmental-services/victimsofeugenics/</t>
  </si>
  <si>
    <t>According to the Transitional Justice Evaluation Tools, the cost estimate is: $400,000 (unspecified amount was added later)
Reparations in the United States: 
2016: The state of Virginia, one of more than 30 other states that practiced forced sterilizations, followed North Carolina’s lead and has since 2016 been awarding $25,000 to each survivor. ("Virginia Votes Compensation for Victims of its Eugenic Sterilization Program" by Jaydee Hanson, Center for Genetics and Society, March 5, 2015.)
Encyclopedia Virginia: 
In 2015, the General Assembly approved a financial compensation program for living survivors of eugenic sterilization that allowed them to claim up to $25,000.
26 February 2015:
Virginia would pay the handful of survivors of a forced sterilization program $25,000 each in compensation under a measure approved by the U.S. state's legislature on Thursday. Virginia forcibly sterilized those it viewed as social misfits or mentally deficient, among others from the mid-1920s to the mid-1970s, when the program officially ended. More than 8,000 people were sterilized. The compensation plan was part of an amended two-year, roughly $96 billion budget package approved by the Republican-dominated legislature. Only about 11 people who underwent sterilization are known to be still alive, and the fund totals $400,000. (Reuters)
18 February 2016: Last year, Richmond recognized that, despite then-Gov. Mark R. Warner's (D) apology for eugenics in 2002, refusing to atone by providing compensation was no longer morally defensible. It authorized payment of $400,000 to survivors who had been castrated or vasectomized, in the case of men and boys (most of them black), or had their ovaries or fallopian tubes removed, in the case of women and girls. That was a good start, but little more than a symbolic one. At $25,000 per victim — half of what North Carolina allocated — the amount approved by the General Assembly provided compensation to just 16 survivors.  (The Washington Post)
January 2017:
The number of survivors in Virginia was estimated to be approximately 1500 on the basis of North Carolina’s calculation that approximately 20% of initial victims had survived to the present day. In 2015, the state set aside $400 000 to compensate survivors with awards of approximately $25 000 each. The Virginia Eugenical Sterilization Act Compensation Program required that victims be alive on February 1, 2015, and the program continues to accept claims. (Stern et al. 2017)</t>
  </si>
  <si>
    <t>sterilizations, sterilization, sterilized, eugenics, eugenic, eugenical, virginia, reparations, reproduction, victims</t>
  </si>
  <si>
    <t>Burge Reparations Case</t>
  </si>
  <si>
    <t>The City of Chicago (USA)</t>
  </si>
  <si>
    <t>Lving survivors of police torture (and families in certain cases)</t>
  </si>
  <si>
    <t>Under the command of Chicago Police Department (CPD) Commander Jon Burge, over 120 people, predominantly African-American men, were tortured from 1972-1991. Jon Burge and officers under his command targeted communities of color, kidnapping and torturing individuals producing confessions to crimes not committed. 
(source: https://www.chicagotorturejustice.org/history)</t>
  </si>
  <si>
    <t>City of Chicago</t>
  </si>
  <si>
    <t>https://web.archive.org/web/20170209184557/https://www.cityofchicago.org/city/en/depts/dol/supp_info/burge-reparations-information.html,
https://www.themarshallproject.org/2018/10/30/payback,
https://www.injusticewatch.org/archive/2022/burge-torture-taxpayer-tab-210-million/,
https://news.wttw.com/2023/06/19/chicago-officials-use-68m-grant-build-8-new-monuments-including-memorial-torture,
https://chicagotorture.org/reparations/history/</t>
  </si>
  <si>
    <t>www.cityofchicago.org:
https://web.archive.org/web/20170209184557/https://www.cityofchicago.org/city/en/depts/dol/supp_info/burge-reparations-information.html [09 February 2017]
www.themarshallproject.org: http://web.archive.org/web/20250821175330/https://www.themarshallproject.org/2018/10/30/payback [21 August 2025]
www.injusticewatch.org: http://web.archive.org/web/20250801072936/https://www.injusticewatch.org/archive/2022/burge-torture-taxpayer-tab-210-million/ [01 August 2025]
news.wttw.com: http://web.archive.org/web/20241211220856/https://news.wttw.com/2023/06/19/chicago-officials-use-68m-grant-build-8-new-monuments-including-memorial-torture [11 December 2024]
chicagotorture.org: http://web.archive.org/web/20250828105954/https://chicagotorture.org/reparations/history/ [28 August 2025]</t>
  </si>
  <si>
    <t>Reparations in the United States:
2015: The City of Chicago signed into law an ordinance granting cash payments, free college education, and a range of social services to 57 living survivors of police torture (Burge Reparations). Explicitly defined as reparations, which totaled $5.5 million, the ordinance includes a formal apology from Mayor Rahm Emanuel and a mandate to teach the broader public about the torture through a memorial and public school curriculum.
The City of Chicago's Official Site:
On May 6, 2015, the City Council of the City of Chicago enacted an Ordinance providing for financial reparations to individuals who have a credible claim that they were tortured or physically abused by Jon Burge or one of the officers under his command at Area 2 or Area 3 Police Headquarters between May 1, 1972 and November 30, 1991.  At the same time, the City Council adopted a Resolution providing a formal apology for any and all harm suffered by the torture survivors, their family members, and other affected individuals and communities.  The Resolution also provides for non-financial benefits to the torture survivors, their immediate family members, and, in some cases, their grandchildren. 
30 October 2018: The clerk read the resolution, and the legislation passed. From a total of $5.5 million, each of the 57 documented torture-ring survivors would get nearly $100,000. All survivors and their families would have the benefit of free Chicago junior college tuition and a counseling center; Chicago public schools would teach the history of police abuse to all eighth and 10th graders, and there would be a public memorial erected in the city. (The Marshall Project)
14 June 2022:
Since 2005, the city has now settled 19 cases for a total $101.25 million. When the $5.5 million in reparations and the $1.4 million obtained in the 1990s are added, the total awarded adds up to $108.15 million, with at least seven cases still pending. (Injustice Watch)
20 June 2023: Chicago officials will use a $6.8 million grant from the Mellon Foundation to build eight new public monuments, including a monument to the more than 100 Black men who were tortured by Chicago Police officers trained by Jon Burge, a disgraced Chicago police commander, Mayor Brandon Johnson announced Monday. Chicago agreed in May 2015 to build the memorial as part of a package of reparations that included payments of $5.5 million to 118 people — many of them innocent, most of them African American men — who were beaten, electrocuted or suffocated with plastic bags by Burge and his subordinates. The city also agreed to teach Chicago students in 8th and 10th grades about one of the darkest chapters in Chicago Police Department history. In addition to $1.8 million from the Mellon Foundation, the city will set aside $1 million in public funds to ensure the memorial is finally built, more than eight years after it was promised, Johnson said at a celebration timed to coincide with this year’s Juneteenth celebration. (WTTW News)</t>
  </si>
  <si>
    <t>The Total Pledged amount might even be more from settlement cases. See: https://www.injusticewatch.org/archive/2022/burge-torture-taxpayer-tab-210-million/</t>
  </si>
  <si>
    <t>Chicago, police brutality, racism, african-americans, torture, Jon Burge, Burge, reparations, chicagotorturejustice, tortured, torture, torturing, chicago, burge, crimes, cpd, injustice</t>
  </si>
  <si>
    <t>US Settlement with 17 American Indian Tribes</t>
  </si>
  <si>
    <t>17 American Indian Tribes</t>
  </si>
  <si>
    <t>The 2016 settlements, including the $492 million for 17 tribes, were part of ongoing efforts by the Obama administration to resolve the last of the more than 100 lawsuits filed by American Indian tribes challenging a century of federal mismanagement of their property. 
(source: https://www.npr.org/sections/thetwo-way/2016/09/27/495627997/u-s-government-to-pay-492-million-to-17-american-indian-tribes)</t>
  </si>
  <si>
    <t>U.S. Department of Justice</t>
  </si>
  <si>
    <t>https://www.npr.org/sections/thetwo-way/2016/09/27/495627997/u-s-government-to-pay-492-million-to-17-american-indian-tribes</t>
  </si>
  <si>
    <t>www.npr.org:
https://web.archive.org/web/20250802191430/https://www.npr.org/sections/thetwo-way/2016/09/27/495627997/u-s-government-to-pay-492-million-to-17-american-indian-tribes [02 August 2025]</t>
  </si>
  <si>
    <t>Reparations in the United States:
2016: The U.S. government reached a settlement of $492 million with 17 Native American tribes to resolve lawsuits alleging the federal government mismanaged tribal land, resources, and money. (“U.S. Government To Pay $492 Million To 17 American Indian Tribes” by Rebecca Hersher, NPR, September 27, 2016.)
26 September 2016:
Attorney General Loretta E. Lynch and Secretary of the Interior Sally Jewell today announced that, as a result of an initiative begun in the summer of this year, the United States has reached settlement with 17 additional tribal governments who alleged that the Department of the Interior and the Department of the Treasury had mismanaged monetary assets and natural resources held in trust by the United States for the benefit of the tribes.  With these resolutions, the Obama Administration will have settled the vast majority of the outstanding claims, some dating back more than a century, with more than 100 tribes and totaling over $3.3 billion. (U.S. Department of Justice)</t>
  </si>
  <si>
    <t>The number of beneficiaries reported refers to tribes, not individuals.</t>
  </si>
  <si>
    <t>The Guam World War II Loyalty Recognition Act of 2016</t>
  </si>
  <si>
    <t>The island of Guam, an unincorporated territory of the United States, was seized by Japan during World War II. Following liberation, the US navy mobilized available resources to rebuild the country. After the war was over, the United States congress initiated the Guam Meritorious Claims Act of 1945 to provide relief for those who suffered under the Japanese occupation. The Guam War Claims Review Commission was established in 2002 to review the 'parity' of awards to Guam with awards to other, similarly affected, US citizens.
(source: Political Apologies and Reparations Archive)</t>
  </si>
  <si>
    <t>2004: The Guam War Claims Review Commission - estabished by the U.S. Congress - published a report with reparations reccomendations;
2005: The Guam World War II Loyalty Recognition Act was introduced in Congress;
2016: President Barack Obama signed into law the Guam World War II Loyalty Recognition Act;
2017-2018: Window to file reparations claims.
2019: The governments of the US and Guam agreed to let the government of Guam make payments to war survivors, with the government of Guam later to be reimbursed by the federal government.
2020: Payments by the government of Guam to war survivors began.
Under the Loyalty Recognition Act, claimants had between June 2017 and June 2018 to file a claim.</t>
  </si>
  <si>
    <t>Report on the Implementation of the Guam Meritorious Claims Act of 1945, Including Findings and Recommendations (Guam War Claims Review Commission)</t>
  </si>
  <si>
    <t>http://archives.starbulletin.com/2004/06/10/news/story6.html,
https://www.nytimes.com/2005/08/16/world/americas/a-quest-for-compensation-in-guam.html,
https://www.dawn.com/news/166998/hopes-of-reparations-for-victims-of-japan-atrocities,
https://www.guampedia.com/guam-world-war-ii-war-claims-legislative-history/,
https://www.stripes.com/theaters/asia_pacific/2023-08-04/guam-ww2-japanese-occupation-reparations-10941771.html</t>
  </si>
  <si>
    <t>Political Apologies and Reparations Archive:
The commission reviews the parity of the awards offered to Guamanians and recommends an additional $126 million (USD) to compensate for inequity (see pg 95-96 of the report).
Political Apologies and Reparations Archive: After World War II, the US government agreed to compensate the people of Guam for their losses suffered under Japanese occupation, but payments were never made. Now 50 years later, the House passed a measure to begin looking at compensating Guamanian victims. The Guam War Claims Commission recommends the US provide $125 million in compensation to Guamanian survivors of the Japanese occupation during World War II.
Political Apologies and Reparations Archive: The Guam World War 2 Loyalty Recognition Act was introduced in Congress in 2005; approximately $85 million in compensation has been reserved for Guam victims and their families.
10 June 2004: A federal commission recommended yesterday that the U.S. government provide $125 million to eligible Guam residents as further compensation for their suffering during the Japanese occupation of the territory during World War II. The five-member commission recommended lump-sum payments of $12,000 to those who suffered personal injury, internment, forced labor or forced march during the occupation. The total payment is estimated at $100 million. Survivors of mistreated residents who were still alive in 1990, but have since died, also are eligible. Lump-sum payments of $25,000 are recommended for survivors of Guamanians who died during the occupation. The total payment is estimated at $25 million. The report also recommended that a trust fund be established to pay for scholarships, medical facilities and other benefits for the people of Guam. Funds from eligible claims not filed or awards that are refused would be deposited into the fund. (The Honolulu Star-Advertiser)
16 August 2005: With 83 U.S. congressional sponsors supporting the Guam World War II Loyalty Recognition Act, a House of Representatives bill introduced in April, momentum for compensation is building. The Guam compensation program would cost about $135 million: $12,000 to each of the roughly 9,000 survivors of the occupation, and lump sums of $25,000 to children of about 1,000 Guam residents killed by Japanese occupation forces.
25 November 2005: About $85 million has been earmarked for survivors and remaining family members through the Guam World War Two Loyalty Recognition Act introduced in Congress earlier this year. The list of reparations is stark: For rape, paralysis or loss of a limb, $15,000; for forced labour, scarring or disfigurement, $12,000; for internment or forced march, $10,000. (dawn.com)
Guampedia, "Guam World War II War Claims: A Legislative History":
Finally, in 2016, President Barack Obama signed into law the Guam World War II Loyalty Recognition Act, clearing the way for federal payment of reparations. In 2019, while a correction to that law made its way through Congress, the governments of the US and Guam agreed to let GovGuam make payments to war survivors, with GovGuam later to be reimbursed by the federal government. Those GovGuam payments to war survivors began in January 2020.
4 August 2023: Under the Loyalty Recognition Act, claimants had between June 2017 and June 2018 to file a claim, according to the U.S. Department of Justice website. The program received nearly 4,000 claims and awarded more than $34.28 million. (Stars and Stripes)</t>
  </si>
  <si>
    <t>The Guam World War II Loyalty Recognition Act (2016) established a federal legal framework for recognizing and compensating Guam WWII victims through a U.S. claims process. The Guam World War II Reconciliation Act (2021) builds on this framework by creating a domestic mechanism to compensate individuals who would have been eligible under the 2016 Act but were excluded due to the federal filing deadline, including victims who had died prior to the claims period. The 2021 Act adopts the same eligibility definitions and compensable harms as the 2016 federal law, while expanding coverage to previously unaddressed claimants. (See entry: GUM-GUM-2021-001)
NOTE ON CONVERSION: The total compensation disbursed ($34.28 million) is reported as an accumulated figure paid as of 2023. We assume this figure represents the total value of all payments over the entire period. For comparison purposes, we treat it as a 2023 value and convert it to our year of interest.
The entry is classified as an "International" reparations case, but technically Guam is part of the USA (as a non-incorporated territory).</t>
  </si>
  <si>
    <t>World War II, World War 2, WWII, WW2, Guam, United States, US, America, Japan, Occupation, Military, Clinton, CIA, guam, guampedia, reparations, guamanian, guamanians, compensation, reimbursed, internment, 1945</t>
  </si>
  <si>
    <t>Georgetown University's Reconciliation Fund</t>
  </si>
  <si>
    <t>Georgetown University</t>
  </si>
  <si>
    <t xml:space="preserve">Descendants of enslaved Africans </t>
  </si>
  <si>
    <t xml:space="preserve">272 Slaves Were Sold to Save Georgetown: in 1838, the Jesuit priests who ran the country’s top Catholic university needed money to keep it alive.  The enslaved African-Americans had belonged to the nation’s most prominent Jesuit priests. And they were sold, along with scores of others, to help secure the future of the premier Catholic institution of higher learning at the time, known today as Georgetown University.
(source: https://www.nytimes.com/2016/04/17/us/georgetown-university-search-for-slave-descendants.html)
</t>
  </si>
  <si>
    <t>1-Jan-1838</t>
  </si>
  <si>
    <t>https://www.nytimes.com/2019/04/12/us/georgetown-reparations.html,
https://www.georgetown.edu/news/georgetown-launches-400000-annual-fund-to-support-descendants-of-the-enslaved/,
https://www.nytimes.com/2019/10/30/us/georgetown-slavery-reparations.html</t>
  </si>
  <si>
    <t>www.nytimes.com: http://web.archive.org/web/20250924134939/https://www.nytimes.com/2019/04/12/us/georgetown-reparations.html [24 September 2025]
www.georgetown.edu: http://web.archive.org/web/20250716101831/https://www.georgetown.edu/news/georgetown-launches-400000-annual-fund-to-support-descendants-of-the-enslaved/ [16 July 2025]
www.nytimes.com: http://web.archive.org/web/20250403195916/https://www.nytimes.com/2019/10/30/us/georgetown-slavery-reparations.html [03 April 2025]</t>
  </si>
  <si>
    <t>Reparations in the United States:
2019***: "Students at Georgetown University voted to increase their tuition to benefit descendants of the 272 enslaved Africans that the Jesuits who ran the school sold nearly two centuries ago to secure its future." In a nonbinding student-led referendum, "the undergraduate student body voted to add a new fee of $27.20 per student per semester to their tuition bill, with the proceeds devoted to supporting education and health care programs in Louisiana and Maryland, where many of the 4,000 known living descendants of the 272 enslaved people now reside." ("Georgetown Students Agree to Create Reparations Fund" by Adeel Hassan, The New York Times, April 12, 2019.)
*** first college students to vote to financially support reparations
12 April 2019:
Students at Georgetown University voted on Thursday to increase their tuition to benefit descendants of the 272 enslaved Africans that the Jesuits who ran the school sold nearly two centuries ago to secure its financial future. The fund they voted to create would represent the first instance of reparations for slavery by a prominent American organization. The undergraduate student body voted to add a new fee of $27.20 per student per semester to their tuition bill, with the proceeds devoted to supporting education and health care programs in Louisiana and Maryland, where many of 4,000 known living descendants of the 272 enslaved people now reside. The university has about 7,000 undergraduates, so the fee would raise about $380,000 a year for the fund. (The New York Times)
Reparations in the United States:
2019: Georgetown University announced that it would raise about $400,000 a year to benefit descendants of the 272 enslaved people who were sold to aid the college 200 years ago, and the funds will be used to support community projects. While students would be involved in the initiative, they would not be required to pay extra fees; the money would be raised through voluntary donations from alumni, faculty, students, and philanthropists. ("Descendants of 272 Slaves Offered Aid By Georgetown" by Rachel Swarns, The New York Times, October 30, 2019.)
30 October 2019: 
Joining a wave of American institutions moving to offer a measure of restitution for their ties to slavery, Georgetown University announced on Tuesday that it would raise about $400,000 a year to benefit the descendants of the 272 enslaved people who were sold to help keep the college afloat nearly two centuries ago, officials said. The university plans to use the money to support community projects such as health clinics and schools. The announcement came six months after Georgetown students voted in a nonbinding referendum to impose student fees that would have raised about $400,000 a year to support the descendants. Georgetown officials said students would play “a substantial role” in the new initiative but would not be required to pay additional fees. The university plans to seek voluntary contributions from alumni, faculty, students and philanthropists. 
(The New York Times)
26 October 2022:
The university committed to creating the Reconciliation Fund following a student referendum in 2019. The project’s implementation was delayed during the COVID-19 pandemic, and the university set aside funding for a 2022 launch. The Reconciliation Fund will provide $400,000 in grants per year to community-based projects proposed by organizations and individuals. The fund will prioritize applications that demonstrate engagement with Descendant communities connected to Jesuit slaveholding in the U.S., particularly the families who were once enslaved on plantations in Maryland and sold in 1838 to plantation owners in Louisiana. (Georgetown University)</t>
  </si>
  <si>
    <t>The total amount pledged reported in the entry reflects the estimated annual sum pledged.</t>
  </si>
  <si>
    <t>United States, slavery, Georgetown University, tuition, jesuits, jesuit, reparations, enslaved, slaves, slavery, students, slaveholding</t>
  </si>
  <si>
    <t xml:space="preserve">The Virginia Theological Seminary Pays Reparations to Descendants of African Americans </t>
  </si>
  <si>
    <t>The Virginia Theological Seminary</t>
  </si>
  <si>
    <t>Descendants of African Americans who were enslaved to work on the campus</t>
  </si>
  <si>
    <t xml:space="preserve">The Virginia Theological Seminary began handing out cash payments to the descendants of Black Americans who were forced to work there during the time of slavery and Jim Crow.
(source: https://www.nytimes.com/2021/05/31/us/reparations-virginia-theological-seminary.html)
</t>
  </si>
  <si>
    <t>1-Jan-1823</t>
  </si>
  <si>
    <t>https://www.theroot.com/virginia-theological-seminary-with-deep-roots-in-slave-1838025884,
https://www.nytimes.com/2021/05/31/us/reparations-virginia-theological-seminary.html</t>
  </si>
  <si>
    <t>www.theroot.com: http://web.archive.org/web/20241207121420/https://www.theroot.com/virginia-theological-seminary-with-deep-roots-in-slave-1838025884 [07 December 2024]
www.nytimes.com: http://web.archive.org/web/20250922164643/https://www.nytimes.com/2021/05/31/us/reparations-virginia-theological-seminary.html [22 September 2025]</t>
  </si>
  <si>
    <t>Reparations in the United States:
2019: The Virginia Theological Seminary has earmarked $1.7 million to pay reparations to descendants of African Americans who were enslaved to work on their campus. The first payments of $2,100, to 15 recipients, were distributed in February 2021. ("Virginia Theological Seminary, With Deep Roots in Slavery, Sets Aside $1.7 Million to Pay Reparations" by Dara Sharif, The Root, September 10, 2019; Wright, W. (2021, May 31). Seminary built on slavery and Jim Crow labor has begun paying reparations. The New York Times.)
10 September 2019:
The Virginia Theological Seminary, in what is being called a first for an institution of its kind, has set aside $1.7 million in a fund to pay reparations to the descendants of enslaved Africans that toiled on its campus during the 1800s. Unlike some other institutions which have grappled with figuring out how to come to terms with a slaveholding past, VTS won’t be offering scholarships or commemorative plaques to African-American descendants of slaves. Instead, according to CNN, the main seminary of the Episcopal Church says it will look for the descendants of African Americans it held in bondage and use the fund to offer restitution or reparations. (The Root)
31 May 2021:
The checks, about $2,100 this year, will come annually and have begun to flow to the descendants of those Black workers. The money has been pulled from a $1.7 million fund, which is set to grow at the rate of the seminary’s large endowment. Though just 15 people have received payments so far, that number could grow by the dozens as genealogists pore through records to find living descendants. (The New York Times)</t>
  </si>
  <si>
    <t>The total amount paid is as of 2021.</t>
  </si>
  <si>
    <t>United States, African americans, slave, slavery, reparations, virginia, payments, pays, slaveholding, pay, scholarships, seminary, paying</t>
  </si>
  <si>
    <t>Princeton Theological Seminary Pays Compensation to African-American Communities</t>
  </si>
  <si>
    <t>Princeton Theological Seminary</t>
  </si>
  <si>
    <t>African-American communities</t>
  </si>
  <si>
    <t>Princeton Theological Seminary announced a $27 million commitment for various initiatives to recognize how it benefited from black slavery.
(source: https://guides.library.umass.edu/reparations)</t>
  </si>
  <si>
    <t>The Root</t>
  </si>
  <si>
    <t>https://www.theroot.com/wwjd-princeton-theological-seminary-announces-27-mill-1839304752</t>
  </si>
  <si>
    <t>www.theroot.com:
https://web.archive.org/web/20241208054153/https://www.theroot.com/wwjd-princeton-theological-seminary-announces-27-mill-1839304752 [08 December 2024]</t>
  </si>
  <si>
    <t>Reparations in the United States:
2019: Princeton Theological Seminary announced a $27 million commitment for various initiatives to recognize how it benefited from black slavery. This is the largest monetary commitment by an educational institution. ("WWJD: Princeton Theological Seminary Announces $27 Million Reparations Plan" by Anne Branigin, The Root, October 24, 2019.)</t>
  </si>
  <si>
    <t>United States, African americans, Princeton Theological Seminary, slave, slavery, princeton, seminary, reparations, pays, theological, compensation</t>
  </si>
  <si>
    <t>Evanston Reparations Program</t>
  </si>
  <si>
    <t>The City Council of Evanston, Illinois (USA)</t>
  </si>
  <si>
    <t>Black residents of the City Council of Evanston (Illinois)</t>
  </si>
  <si>
    <t>The City Council of Evanston, Illinois, voted to allocate the first $10 million in tax revenue from the sale of recreational marijuana (which became legal in the state on January 1, 2020) to fund reparations initiatives that address the gaps in wealth and opportunity of black residents.
(source: https://guides.library.umass.edu/reparations)
Qualifying residents must either have lived in or been a direct descendant of a Black person who lived in Evanston between 1919 to 1969 and who suffered discrimination in housing because of city ordinances, policies or practices.
(source: https://www.nbcnews.com/news/us-news/evanston-illinois-becomes-first-u-s-city-pay-reparations-blacks-n1261791)</t>
  </si>
  <si>
    <t>The program will last 10 years.
Reparations payments are still ongoing, but data are as of 2024.</t>
  </si>
  <si>
    <t>https://patch.com/illinois/evanston/evanston-recreational-cannabis-tax-fund-referendum-program,
https://www.nbcnews.com/news/us-news/evanston-illinois-becomes-first-u-s-city-pay-reparations-blacks-n1261791,
https://news.wttw.com/2022/01/22/evanston-selects-first-residents-receive-housing-benefits-reparations-plan,
https://www.nbcnews.com/news/nbcblk/reparations-evanston-il-transforming-lives-black-residents-rcna173534</t>
  </si>
  <si>
    <t>patch.com:
https://web.archive.org/web/20241223042825/https://patch.com/illinois/evanston/evanston-recreational-cannabis-tax-fund-referendum-program [23 December 2024]
www.nbcnews.com:
https://web.archive.org/web/20250705004351/https://www.nbcnews.com/news/us-news/evanston-illinois-becomes-first-u-s-city-pay-reparations-blacks-n1261791 [05 July 2025]
news.wttw.com: http://web.archive.org/web/20241109220333/https://news.wttw.com/2022/01/22/evanston-selects-first-residents-receive-housing-benefits-reparations-plan [09 November 2024]
www.nbcnews.com: http://web.archive.org/web/20250403081637/https://www.nbcnews.com/news/nbcblk/reparations-evanston-il-transforming-lives-black-residents-rcna173534 [03 April 2025]</t>
  </si>
  <si>
    <t>Reparations in the United States: 
2019: The City Council of Evanston, Illinois, voted to allocate the first $10 million in tax revenue from the sale of recreational marijuana (which became legal in the state on January 1, 2020) to fund reparations initiatives that address the gaps in wealth and opportunity of black residents. "This week's City Council vote appears to have made Evanston the first municipal government in the nation to create and fund its own reparations program."  Note: While Chicago created a program to compensate victims of police torture (see above), the reparations were not primarily race-based. (“Future Weed Revenue Will Fund Evanston’s New Reparations Program” by Jonah Meadows, Patch, November 27, 2019; Associated Press. (2021, March 23). Evanston, Illinois, becomes first U.S. city to pay reparations to Black residents. NBC News.) 
Reparations in the United States: 
2022: Evanston, Illinois began paying reparations to Black residents under their Restorative Housing Program (see entry above in 2019). The 16 residents were chosen at random and receive $25,000 each for housing assistance. (Mogos, A. (2022, January 22). Evanston selects first residents to receive housing benefits in reparations plan. WTTW News.)
27 November 2019: 
Evanston will use the first $10 million in revenue from a new tax on the sale of recreational marijuana to fund a recently established reparation fund aimed at addressing the wealth gap and population decline among the city's black residents. Aldermen have yet to determine how the money will be spent, but this weeks' City Council vote appears to have made Evanston the first municipal government in the nation to create and fund its own reparations program.
(Patch)
23 March 2021: Evanston, Illinois, on Monday became the first U.S. city to make reparations available to its Black residents for past discrimination and the lingering effects of slavery. The Chicago suburb’s City Council voted 8-1 to distribute $400,000 to eligible black households. Each qualifying household would receive $25,000 for home repairs or down payments on property. The program is being funded through donations and revenue from a 3% tax on the sale of recreational marijuana. The city has pledged to distribute $10 million over 10 years.
Qualifying residents must either have lived in or been a direct descendant of a Black person who lived in Evanston between 1919 to 1969 and who suffered discrimination in housing because of city ordinances, policies or practices.
(NBC News)
22 January 2022:
Evanston has selected the first group of Black residents to receive reparations through the city’s Restorative Housing Program. The program will distribute $10 million over 10 years using tax revenue from recreational marijuana sales. Each recipient may receive $25,000 in housing benefits that can be used toward a down payment, home repairs, or interest and late penalties. The first 16 recipients were chosen at random last week. They’re among a total of 122 Black residents approved for reparations so far. Evanston has a long history of discrimination against Black homeowners, putting housing at the top of the priority list.
(WTTW)
23 December 2024:
That year [2019], the city set out to create the country’s first reparations program to atone for its history of racial discrimination. Since the program began in 2022, Evanston has awarded $25,000 checks and in-kind financial assistance to more than 200 people.</t>
  </si>
  <si>
    <t>The total amount paid is as of 2024.</t>
  </si>
  <si>
    <t>reparations, reparation, evanston, illinois, chicago, initiatives, donations, municipal, residents, funded</t>
  </si>
  <si>
    <t>Virginia Tech Shootings Lawsuit</t>
  </si>
  <si>
    <t>Families of two victims of the shooting (students Erin Peterson and Julia Pryde)</t>
  </si>
  <si>
    <t>FindLaw.com</t>
  </si>
  <si>
    <t>https://www.findlaw.com/legalblogs/courtside/virginia-tech-victims-families-win-8m-in-wrongful-death-lawsuit/</t>
  </si>
  <si>
    <t>www.findlaw.com: http://web.archive.org/web/20250804003716/https://www.findlaw.com/legalblogs/courtside/virginia-tech-victims-families-win-8m-in-wrongful-death-lawsuit/ [04 August 2025]</t>
  </si>
  <si>
    <t>21 March 2019: The suit, brought by relatives of slain students Erin Peterson and Julia Pryde, alleged Virginia Tech officials were negligent in taking too long to notify the campus that a gunman was on the loose, WTKR-TV reports. […] Jurors deliberated for more than three hours Wednesday before siding with the victims' families, MSNBC reports. Each family will receive $4 million from the state of Virginia, because Virginia Tech is a state university. (FindLaw.com)</t>
  </si>
  <si>
    <t>Episcopal Diocese of New York Reparations Program</t>
  </si>
  <si>
    <t>The Episcopal Diocese of New York</t>
  </si>
  <si>
    <t>The resolution calling for the $1.1 million allocation was proposed from the floor of the convention, in response to a request to do so from Bishop Dietsche in his address at the start of the day’s business. Explaining why this is appropriate, the Bishop [Dietsche] said:
“During the eighteenth century the proportion of people in New York owning slaves was the second highest among all of the colonies, after only Charleston, South Carolina.  We have records of churches in our diocese which owned men and women as parish servants or as property assets. Churches whose wealth was built on the traffic in human beings. Sojourner Truth was enslaved in this diocese. The State of New York had banned the importation of slaves in 1808, and passed legislation for a gradual emancipation of slaves, and finally freed all slaves in New York in 1827, 201 years after the first slaves arrived in this colony. Yet thirty two years later, in 1859, the year before the John Jay resolution, the London Times declared that New York City remained the largest slave market in the world, because of the ships which sailed from this city to patrol the West Coast of the African continent, continuing to kidnap slaves for the American south, generating untold wealth for the shippers and merchants in this city. New York was all in, and that is why the Episcopal Church, in this diocese, would not condemn slavery on the very eve of the Civil War, and would not accept the John Jay resolution, which, it must be said, was actually quite a modest proposal. We have a great deal to answer for.  We are complicit.”
(source: https://dioceseny.org/diocesan-convention-votes-1-1-million-towards-reparations-passes-1860-anti-slavery-resolutions/)</t>
  </si>
  <si>
    <t>Episcopal News Service</t>
  </si>
  <si>
    <t>https://www.dioceseny.org/diocesan-convention-votes-1-1-million-towards-reparations-passes-1860-anti-slavery-resolutions/,
https://episcopalnewsservice.org/2019/11/12/diocese-of-new-york-establishes-reparations-fund-adopts-anti-slavery-resolutions-from-1860/</t>
  </si>
  <si>
    <t>www.dioceseny.org: http://web.archive.org/web/20240806080513/https://dioceseny.org/diocesan-convention-votes-1-1-million-towards-reparations-passes-1860-anti-slavery-resolutions/ [06 August 2024]
episcopalnewsservice.org: http://web.archive.org/web/20241227085704/https://www.episcopalnewsservice.org/2019/11/12/diocese-of-new-york-establishes-reparations-fund-adopts-anti-slavery-resolutions-from-1860/ [27 December 2024]</t>
  </si>
  <si>
    <t>Reparations in the United States: 
2019: A convention of the Episcopal Diocese of New York voted to allocate $1.1 million to initiate a reparations program. (Episcopal Diocese of New York. (2019, November 10). Diocesan Convention votes $1.1 million towards reparations, passes 1860 anti-slavery resolutions.)
10 November 2019:
Clergy and Lay Delegates at the 243rd Convention of the Diocese in Tarrytown, NY unanimously approved on Saturday Nov 9 a resolution calling for the allocation of $1.1 million from the diocese’s endowment towards reparations for slavery, and passed a number of anti-slavery resolutions previously brought before the convention in 1860 by John Jay II, when they were tabled in the face of overwhelming opposition from both clergy and laity. The resolution calling for the $1.1 million allocation was proposed from the floor of the convention, in response to a request to do so from Bishop Dietsche in his address at the start of the day’s business. (The Episcopal Diocese of New York)
12 November 2019:
At its annual convention on Nov. 8 and 9, the Diocese of New York established a task force to examine how it can make meaningful reparations for its participation in the slave trade and committed $1.1 million from its endowment to fund the efforts the task force recommends. (Episcopal News Service)</t>
  </si>
  <si>
    <t>United States, African americans, Episcopal Diocese of New York, slave, slavery, enslaved, 1859, reparations, york, ny, bishop, colony</t>
  </si>
  <si>
    <t>The Episcopal Diocese of Texas Reparations for Racial Justice</t>
  </si>
  <si>
    <t>The Episcopal Diocese of Texas</t>
  </si>
  <si>
    <t xml:space="preserve">Individuals and communities “directly injured” by the history of racism of the Episcopal Diocese of Texas </t>
  </si>
  <si>
    <t>More than 160 years after it elected a slave owner as its first bishop, the Episcopal Diocese of Texas is launching a $13 million initiative aimed at healing individuals and communities “directly injured” by its history of racism.
(source: https://www.houstonchronicle.com/news/houston-texas/houston/article/Texas-Episcopalians-pledge-13M-to-repair-and-15053645.php)</t>
  </si>
  <si>
    <t>Houston Chronicle</t>
  </si>
  <si>
    <t>https://www.houstonchronicle.com/news/houston-texas/houston/article/Texas-Episcopalians-pledge-13M-to-repair-and-15053645.php</t>
  </si>
  <si>
    <t>www.houstonchronicle.com: http://web.archive.org/web/20250925144718/https://www.houstonchronicle.com/news/houston-texas/houston/article/Texas-Episcopalians-pledge-13M-to-repair-and-15053645.php [25 September 2025]</t>
  </si>
  <si>
    <t>Reparations in the United States: 
2020: The Episcopal Diocese of Texas (whose first bishop, Alexander Gregg, was a slave holder) pledged $13 million for a racial justice project. (Downen, R. (2020, February 13). Texas Episcopalians pledge $13M to 'repair and commence racial healing'. Houston Chronicle.)
14 February 2020:
More than 160 years after it elected a slave owner as its first bishop, the Episcopal Diocese of Texas is launching a $13 million initiative aimed at healing individuals and communities “directly injured” by its history of racism. The funding, which the diocese called unprecedented for a racial justice project, will go toward “racial reconciliation projects and scholarships” at a number of historically black colleges, seminaries and organizations in Texas. Some of it will underwrite work by the Equal Justice Initiative, a nonprofit that established a lynching memorial in Alabama. (Houston Chronicle)</t>
  </si>
  <si>
    <t>episcopal, episcopalians, diocese, texas, bishop, reparations, houston, gregg, racial, funding</t>
  </si>
  <si>
    <t>The "Fund for Reparations Now"</t>
  </si>
  <si>
    <t>Collaborative effort amongst the Elaine Legacy Center, the National African American Reparations Commission, and the Samuel DeWitt Proctor Conference</t>
  </si>
  <si>
    <t>The descendants of the Elaine, Arkansas massacre</t>
  </si>
  <si>
    <t>The Elaine Massacre was by far the deadliest racial confrontation in Arkansas history and possibly the bloodiest racial conflict in the history of the United States. While its deepest roots lay in the state’s commitment to white supremacy, the events in and around Elaine (Phillips County) stemmed from tense race relations and growing concerns about labor unions. A shooting incident that occurred at a meeting of the Progressive Farmers and Household Union escalated into mob violence on the part of the white people in Elaine and surrounding areas. Although the exact number is unknown, estimates of the number of African Americans killed by whites have ranged into the hundreds; five white people lost their lives.
(source: https://encyclopediaofarkansas.net/entries/elaine-massacre-of-1919-1102/)</t>
  </si>
  <si>
    <t>Institute of the Black World</t>
  </si>
  <si>
    <t>https://ibw21.org/reparations/national-groups-honor-pledge-to-descendants-of-elaine-arkansas-massacre/</t>
  </si>
  <si>
    <t>ibw21.org:
https://web.archive.org/web/20250803022237/https://ibw21.org/reparations/national-groups-honor-pledge-to-descendants-of-elaine-arkansas-massacre/ [03 August 2025]</t>
  </si>
  <si>
    <t>Reparations in the United States: 
2020: The "Fund for Reparations Now" was established to raise $150,000 for the descendants of the Elaine, Arkansas massacre in which at least 200 African Americans were killed. The fund is a collaborate effort amongst the Elaine Legacy Center, the National African American Reparations Commission, and the Samuel DeWitt Proctor Conference. As of December 2020, $50,000 has been contributed to the fund. (National groups honor pledge to descendants of Elaine, Arkansas massacre. (December 15, 2020).)
15 December 2020:
As a result of this extraordinary meeting, a collaborative partnership was formed between the ELC, NAARC and SDPC. The Fund for Reparations Now, which is affiliated with NAARC, pledged to raise $150,000 to be utilized by the ELC towards its priority agenda for reparatory justice. “We are delighted that our allies in the Fund For Reparations Now have responded quickly with a contribution of $50,000 towards the pledge of $150,000,” Dr. Ron Daniels, Convener of NAARC commented. “We are committed to assist the Elaine descendants in amplifying their demand for reparations with the faith that more organizations, institutions and leaders from around the nation will come forward to support this righteous cause.” (Institute of the Black World)</t>
  </si>
  <si>
    <t>The total amount paid is as of 2020.</t>
  </si>
  <si>
    <t>reparations, reparatory, massacre, fund, arkansas, elaine, whites, racial, justice, shooting</t>
  </si>
  <si>
    <t>Goldman Sachs Pays Compensation Over the 1MDB Corruption Scandal</t>
  </si>
  <si>
    <t>The Goldman Sachs Group</t>
  </si>
  <si>
    <t>Government of Malaysia</t>
  </si>
  <si>
    <t>Malaysia</t>
  </si>
  <si>
    <t>MYS</t>
  </si>
  <si>
    <t>The 1MDB scheme was a global web of fraud and corruption, in which billions of dollars ostensibly raised for public development projects in Malaysia instead landed in private pockets, including those of the country's former prime minister Najib Razak. Probes of Goldman Sachs focused on its help raising $6.5bn in 2012 and 2013 for the fund formally known as 1Malaysia Development Bhd (1MDB), work authorities said earned the firm more than $600m. Goldman had long blamed rogue employees, asserting it had no idea the money it helped raise would be diverted from planned development projects within Malaysia. But on Thursday, the bank admitted that its Malaysian unit had "knowingly and willingly" paid bribes to foreign officials and that it had ignored red flags that should have alerted higher-ups to problems with the deal.  (source: https://www.bbc.com/news/business-54597256)
The scandal dates to the government of former Malaysian Prime Minister Najib Razak, which set up the 1MDB fund in 2009. Between 2009 and 2014, Goldman bankers paid more than $1.6 billion in bribes to foreign officials in Malaysia and Abu Dhabi to win 1MDB business, including underwriting $6.5 billion in bond sales, for which it earned $600 million in fees. (source: https://www.reuters.com/world/asia-pacific/goldman-pay-3-bln-claw-back-executive-pay-over-role-1mdb-corruption-scandal-2020-10-22/)</t>
  </si>
  <si>
    <t>https://www.cnbc.com/2018/12/21/malaysia-seeks-7point5-billion-in-reparations-from-goldman-sachs-ft.html,
https://www.bbc.com/news/business-53529075,
https://economictimes.indiatimes.com/news/international/business/goldman-pays-malaysia-2-5-billion-as-part-of-1mdb-deal/articleshow/77802493.cms</t>
  </si>
  <si>
    <t>www.cnbc.com: http://web.archive.org/web/20231002015639/https://www.cnbc.com/2018/12/21/malaysia-seeks-7point5-billion-in-reparations-from-goldman-sachs-ft.html [02 October 2023]
www.bbc.com
https://web.archive.org/web/20250825001728/https://www.bbc.com/news/business-53529075 [25 August 2025]
economictimes.indiatimes.com:
https://web.archive.org/web/20221202141946/https://economictimes.indiatimes.com/news/international/business/goldman-pays-malaysia-2-5-billion-as-part-of-1mdb-deal/articleshow/77802493.cms [02 December 2022]</t>
  </si>
  <si>
    <t>21 December 2018: Malaysia is seeking $7.5 billion in reparations from Goldman Sachs Group Inc over its dealings with scandal-linked state fund 1MDB, the Financial Times reported on Friday, citing the country’s finance minister. (CNBC)
24 July 2020: Goldman Sachs has reached a $3.9bn (£3bn) settlement with the Malaysian government for its role in the multi-billion-dollar 1MDB corruption scheme. [...] The settlement - the largest reached so far in the scandal - includes a $2.5bn cash payout by Goldman. The firm also said it would guarantee that the government would receive at least $1.4bn from money recovered from the scheme. (BBC News)
28 August 2020: Goldman Sachs has paid Malaysia $2.5 billion as part of a settlement over the US investment bank's role in the multi-billion-dollar 1MDB scandal, officials said Friday. [...] The settlement comprises a payment of $2.5 billion to Malaysia and a guarantee that at least $1.4 billion in assets acquired with misappropriated funds would be recovered. (The Economic Times)</t>
  </si>
  <si>
    <t>goldman, 1mdb, sachs, fund, bribes, corruption, malaysian, billion, scandal, financial</t>
  </si>
  <si>
    <t>Episcopal Church in Baltimore Creates a Reparations Fund</t>
  </si>
  <si>
    <t>Memorial Episcopal Church of Baltimore (Maryland)</t>
  </si>
  <si>
    <t>Community organizations focused on justice-centered work</t>
  </si>
  <si>
    <t>Memorial Episcopal Church in Baltimore, Maryland, created a fund to spend $100,000 per year over the next five years, for community organizations to do "justice-centered work" to address historical racial inequalities. The church had been founded by slave owners in the 1860s.
(source: https://guides.library.umass.edu/reparations)</t>
  </si>
  <si>
    <t>The project will go on for 5 years and reparations are currently ongoing.</t>
  </si>
  <si>
    <t>https://www.memorialboltonhill.org/the-memorial-reparations-fund,
 https://www.baltimoresun.com/maryland/baltimore-city/bs-md-church-reparations-20210129-jmiroxmrarc37a54ykonanoc2y-story.html</t>
  </si>
  <si>
    <t>www.memorialboltonhill.org: http://web.archive.org/web/20241218203140/https://www.memorialboltonhill.org/the-memorial-reparations-fund [18 December 2024]
www.baltimoresun.com: http://web.archive.org/web/20230930160249/https://www.baltimoresun.com/maryland/baltimore-city/bs-md-church-reparations-20210129-jmiroxmrarc37a54ykonanoc2y-story.html [30 September 2023]</t>
  </si>
  <si>
    <t>Reparations in the United States: 
2021: Memorial Episcopal Church in Baltimore, Maryland, created a fund to spend $100,000 per year over the next five years, for community organizations to do "justice-centered work" to address historical racial inequalities. The church had been founded by slave owners in the 1860s. (Pitts, J. M. (2021, January 29). Episcopal church established by Baltimore slave owners creates $500,000 reparations fund. Baltimore Sun.)</t>
  </si>
  <si>
    <t>episcopal, baltimore, maryland, church, reparations, fund, memorial, organizations, spend, founded</t>
  </si>
  <si>
    <t>The Jesuit Conference of Priests Pledge to Atone for Slave Labor and Sales</t>
  </si>
  <si>
    <t>The Jesuit Conference of Priests</t>
  </si>
  <si>
    <t>Descendants of enslaved people owned by the Jesuit Conference of Priests</t>
  </si>
  <si>
    <t>In one of the largest efforts by an institution to atone for slavery, a prominent order of Catholic priests has vowed to raise $100 million to benefit the descendants of the enslaved people it once owned and to promote racial reconciliation initiatives across the United States. [...] The money raised by the Jesuits will flow into a new foundation established in partnership with a group of descendants, who pressed for negotiations with the Jesuits after learning from a series of articles in The New York Times that their ancestors had been sold in 1838.
(source: https://www.nytimes.com/2021/03/15/us/jesuits-georgetown-reparations-slavery.html)</t>
  </si>
  <si>
    <t>https://www.nytimes.com/2021/03/15/us/jesuits-georgetown-reparations-slavery.html</t>
  </si>
  <si>
    <t>www.nytimes.com:
https://web.archive.org/web/20250913161456/https://www.nytimes.com/2021/03/15/us/jesuits-georgetown-reparations-slavery.html [13 September 2025]</t>
  </si>
  <si>
    <t>Reparations in the United States: 
2021: The Jesuit Conference of Priests pledged to raise $100 million for the descendants of enslaved people. This pledge is the largest monetary effort of the Roman Catholic Church to atone for its role in slavery. $15 million has already been deposited into a trust as of March 2021. (Swarns, R. L. (2021, March 15). Catholic order pledges $100 million to atone for slave labor and sales. The New York Times.)
15 March 2021:
In one of the largest efforts by an institution to atone for slavery, a prominent order of Catholic priests has vowed to raise $100 million to benefit the descendants of the enslaved people it once owned and to promote racial reconciliation initiatives across the United States. The move by the leaders of the Jesuit conference of priests represents the largest effort by the Roman Catholic Church to make amends for the buying, selling and enslavement of Black people, church officials and historians said. The pledge comes at a time when calls for reparations are ringing through Congress, college campuses, church basements and town halls, as leaders grapple with the painful legacies of segregation and the nation’s system of involuntary servitude. The money raised by the Jesuits will flow into a new foundation established in partnership with a group of descendants, who pressed for negotiations with the Jesuits after learning from a series of articles in The New York Times that their ancestors had been sold in 1838. Father Kesicki said his order had already deposited $15 million into a trust established to support the foundation, whose governing board will include representatives from other institutions with roots in slavery. The Jesuits have also hired a national fund-raising firm with a goal of raising the rest within the next three to five years, he said.
(The New York Times)</t>
  </si>
  <si>
    <t>The total amount paid is the amount deposited into the Trust Fund as of 2021.</t>
  </si>
  <si>
    <t>jesuits, jesuit, pledges, pledge, reparations, pledged, priests, slavery, enslaved, catholic</t>
  </si>
  <si>
    <t>Black Wealth Builders Fund</t>
  </si>
  <si>
    <t>Arlington Community Church in Kensington, California</t>
  </si>
  <si>
    <t>Black residents in Kensington, California</t>
  </si>
  <si>
    <t>The Black Wealth Builders (BWB) Fund is a reparations project launched by Arlington Community Church (UCC) in 2021. The fund is designed to help repair a small portion of the financial damage of racism and white supremacist policies—in particular, the longstanding barriers to Black homeownership that have existed in our East Bay communities.
(source: https://www.arlingtoncommunitychurchucc.org/bwb)</t>
  </si>
  <si>
    <t>The Black Wealth Builders Fund</t>
  </si>
  <si>
    <t>https://www.arlingtoncommunitychurchucc.org/bwb,
https://religionnews.com/2022/12/23/a-california-church-attempts-reparations-for-historic-redlining-of-black-homebuyers/</t>
  </si>
  <si>
    <t>www.arlingtoncommunitychurchucc.org: http://web.archive.org/web/20250913025707/https://www.arlingtoncommunitychurchucc.org/bwb [13 September 2025]
religionnews.com: http://web.archive.org/web/20241207095841/https://religionnews.com/2022/12/23/a-california-church-attempts-reparations-for-historic-redlining-of-black-homebuyers/ [07 December 2024]</t>
  </si>
  <si>
    <t>Reparations in the United States: 
2022: Arlington Community Church in Kensington, California, a predominantly white congregation of the United Church of Christ, established the Black Wealth Builders Fund to offer zero-interest loans to Black residents for a down payment on purchasing their first home. The fund is intended to rectify lower levels of ownership among Black residents due to historical redlining (mortgage discrimination). (Nguyen, F. (2022, December 23). A California church attempts reparations for historic redlining of Black homebuyers. Religion News Service.)
The Black Wealth Builders Fund [Last accessed in March 2025]:
The Black Wealth Builders (BWB) Fund is a reparations project launched by Arlington Community Church (UCC) in 2021. The fund is designed to help repair a small portion of the financial damage of racism and white supremacist policies—in particular, the longstanding barriers to Black homeownership that have existed in our East Bay communities.  Churches throughout the East Bay contributed to a special Lenten offering in 2021, helping us raise over $100,000 to establish the fund. Many more organizations and individuals have contributed since. [CURRENT AMOUNT RAISED: $880,835]
Since making our first loan in May 2022, we have now made 43 loans, for a total of $553,800 provided throughout Contra Costa, Alameda, and Solano counties.</t>
  </si>
  <si>
    <t>fund, builders, reparations, churches, loans, wealth, mortgage, church, homebuyers, financial</t>
  </si>
  <si>
    <t>The Coalition for Equity and Excellence in Maryland Higher Education, et al. v. Maryland Higher Education Commission, et al.</t>
  </si>
  <si>
    <t>State of Maryland (USA)</t>
  </si>
  <si>
    <t>Historically Black Colleges and Universities in Maryland (HBCUs)</t>
  </si>
  <si>
    <t>The Maryland legislature passes a bill (PDF) subsequent to the settlement of the lawsuit The Coalition for Equity and Excellence in Maryland Higher Education, et al. v. Maryland Higher Education Commission, et al., which alleged that the state failed to sufficiently desegregate its colleges and universities.
(source: https://guides.library.umass.edu/reparations)</t>
  </si>
  <si>
    <t>The payment is to be provided over 10 years.</t>
  </si>
  <si>
    <t>Maryland General Assembly</t>
  </si>
  <si>
    <t>The Washington Post</t>
  </si>
  <si>
    <t>https://mgaleg.maryland.gov/2021RS/fnotes/bil_0001/sb0001.pdf,
https://casetext.com/case/equity-v-md-higher-educ-commn,
https://www.washingtonpost.com/education/2021/03/24/maryland-hbcus-lawsuit-settlement/</t>
  </si>
  <si>
    <t>mgaleg.maryland.gov: http://web.archive.org/web/20250416035519/https://mgaleg.maryland.gov/2021RS/fnotes/bil_0001/sb0001.pdf [16 April 2025]
casetext.com: http://web.archive.org/web/20241207215326/https://casetext.com/case/equity-v-md-higher-educ-commn [07 December 2024]
www.washingtonpost.com: http://web.archive.org/web/20250620185713/https://www.washingtonpost.com/education/2021/03/24/maryland-hbcus-lawsuit-settlement/ [20 June 2025]</t>
  </si>
  <si>
    <t xml:space="preserve">Reparations in the United States: 
2021: The Maryland legislature passes a bill (PDF) subsequent to the settlement of the lawsuit The Coalition for Equity and Excellence in Maryland Higher Education, et al. v. Maryland Higher Education Commission, et al., which alleged that the state failed to sufficiently desegregate its colleges and universities. The legislation provides for $577 million over 10 years to be used for various programs benefitting the state's Historically Black Colleges and Universities (HBCUs). (Douglas-Gabriel, D., &amp; Wiggins, O. (2021, March 24). Hogan signs off on $577 million for Maryland’s Historically Black Colleges and Universities. The Washington Post.)
Maryland General Assembly:
This emergency bill, contingent on final settlement of The Coalition for Equity and Excellence in Maryland Higher Education, et al. v. Maryland Higher Education Commission, et al. lawsuit by June 1, 2021, provides a total of $577.0 million in general funds for Maryland’s historically black colleges and universities (HBCUs) from fiscal 2023 through 2032 to be distributed and used as specified. Specified Cigarette Restitution Fund (CRF) revenues, if available, must be used instead of general funds. An HBCU Reserve Fund is created to hold unused funds at the end of each fiscal year. A new academic program evaluation unit is established in the Maryland Higher Education Commission (MHEC) with a specified mandated staffing level. In addition, the bill has several study and reporting provisions that are not contingent on final settlement of the lawsuit. Most of the bill’s provisions are contingent on the execution of a final settlement agreement in the HBCU lawsuit, as specified, by June 1, 2021.
</t>
  </si>
  <si>
    <t>maryland, hbcu, colleges, legislation, universities, reparations, hbcus, lawsuit, legislature, settlement</t>
  </si>
  <si>
    <t>The Forced or Involuntary Sterilization Compensation Program (FISCP)</t>
  </si>
  <si>
    <t>State of California (USA)</t>
  </si>
  <si>
    <t>Survivors of state-sponsored forced sterilization in the State of California</t>
  </si>
  <si>
    <t>From 1909 to 1979, under the state eugenics laws, California forcibly sterilized about 20,000 people in state institutions who were deemed “unfit to produce”. The program disproportionately targeted the Latino community, women, people with disabilities and impairments – even those who had children out of wedlock. The mean age of victims was 17, and they included children as young as 12.
(source: https://www.theguardian.com/us-news/2020/jun/30/california-prisons-forced-sterilizations-belly-beast)</t>
  </si>
  <si>
    <t>If CalVCB approves an application after additional review, CalVCB will issue payment within 60 days of the board’s determination, and no later than January 1, 2026.</t>
  </si>
  <si>
    <t>California Victim Compensation Board (CalVCB)</t>
  </si>
  <si>
    <t>Disability Rights Education &amp; Defense Fund</t>
  </si>
  <si>
    <t>https://dredf.org/california-passes-landmark-law-to-provide-reparations-to-survivors-of-state-sponsored-forced-sterilization/,
https://en.wikipedia.org/wiki/Eugenics_in_California,
https://victims.ca.gov/for-victims/fiscp/,
https://www.gov.ca.gov/2021/12/31/california-launches-program-to-compensate-survivors-of-state-sponsored-sterilization/</t>
  </si>
  <si>
    <t>dredf.org:
https://web.archive.org/web/20250619074549/https://dredf.org/california-passes-landmark-law-to-provide-reparations-to-survivors-of-state-sponsored-forced-sterilization/ [19 June 2025]
en.wikipedia.org: http://web.archive.org/web/20250804075142/https://en.wikipedia.org/wiki/Eugenics_in_California [04 August 2025]
victims.ca.gov: http://web.archive.org/web/20250710083102/https://victims.ca.gov/for-victims/fiscp/ [10 July 2025]
www.gov.ca.gov:
https://web.archive.org/web/20250811182322/https://www.gov.ca.gov/2021/12/31/california-launches-program-to-compensate-survivors-of-state-sponsored-sterilization/ [11 August 2025]</t>
  </si>
  <si>
    <t>Reparations in the United States: 
2021: The California legislature enacted a law requesting $7.5 million of the budget be put towards providing reparations to survivors of the state's former eugenics law, by which over 20,000 institutionalized women were forcibly sterilized. (California passes landmark law to provide reparations to survivors of state-sponsored forced sterilization. (2021, July 13). Disability Rights Education &amp; Defense Fund.)
13 July 2021:
On June 12, 2021, Governor Gavin Newsom approved a $7.5 million budget request to provide reparations to survivors of state-sponsored forced or involuntary sterilization in California institutions between 1909-1979 and survivors of involuntary sterilizations in women’s state prisons after 1979. This makes California the third state in the nation to provide monetary compensation to survivors who were sterilized under state eugenics laws and the first state to provide reparations to survivors who were sterilized while incarcerated in California’s women’s prisons. (Disability Rights Education &amp; Defense Fund)
Beginning Jan. 1, 2022, survivors of state-sponsored sterilization can apply for compensation through California’s Forced or Involuntary Sterilization Compensation Program, which is being administered by the California Victim Compensation Board (CalVCB).
The state is providing $4.5 million to be split evenly among all eligible individuals who apply, in addition to $2 million for administration and outreach for the program and $1 million to establish markers or plaques at designated sites that acknowledge the wrongful sterilization of thousands of vulnerable people. It is estimated that at least 600 survivors of forced sterilization are still alive today and eligible for compensation. Assemblymember Wendy Carrillo (D-Los Angeles) proposed the program in AB 1007. The budget provided legislative language establishing the forced sterilization compensation program and appropriated $7.5 million to fund the program.
Wikipedia:
The 2021-22 state budget package included funding $7.5 million for the California Forced or Involuntary Sterilization Compensation Program legislation, to begin Jan. 1, 2022, administered by the California Victim Compensation Board (CalVCB), for survivors of state-sponsored sterilization 1909 through 1979 and survivors of involuntary sterilizations in women’s prisons after 1979 to ask about and apply for compensation (www.victims.ca.gov/fiscp or reach out to CalVCB at 800-777-9229 or fiscp@victims.ca.gov). Researchers estimated hundreds of Californians are alive who might hypothetically qualify before the December 2023 deadline, but reportedly as of early September 2023, only 101 applications had been approved, with seven cases closed as incomplete, and 339 denied.</t>
  </si>
  <si>
    <t>California, United States, eugenics, sterilisation, sterilization, eugenics, sterilizations, sterilization, sterilized, reparations, californians, legislation</t>
  </si>
  <si>
    <t>Amherst Council Establishes Reparations Fund</t>
  </si>
  <si>
    <t>The town of Amherst, Massachusetts (USA)</t>
  </si>
  <si>
    <t>Black residents and descendants impacted by slavery and racial injustice in the town of Amherst</t>
  </si>
  <si>
    <t>Amherst is establishing a reparations fund that will be used for making restitution to Black residents for past harms against them and leading to a process of reconciliation.
(source: https://gazettenet.com/2021/06/23/amherst-town-council-establishes-reparations-fund-41095651/)</t>
  </si>
  <si>
    <t>Daily Hampshire Gazette</t>
  </si>
  <si>
    <t>https://gazettenet.com/2021/06/23/amherst-town-council-establishes-reparations-fund-41095651/</t>
  </si>
  <si>
    <t>https://www.gazettenet.com:
https://web.archive.org/web/20230711034357/https://www.gazettenet.com/Amherst-Town-Council-establishes-reparations-fund-41095651 [11 July 2023]</t>
  </si>
  <si>
    <t>Reparations in the United States: 
2021: The town council of Amherst, Massachusetts voted to establish a reparations fund that will begin with a $210,000 special appropriation and accept contributions from local organizations. The town also approved the establishment of the African Heritage Reparations Assembly to develop the reparations plan. (Merzbach, S. (2021, June 23). Amherst council establishes reparations fund. Daily Hampshire Gazette.)
23 June 2021:
Amherst is establishing a reparations fund that will be used for making restitution to Black residents for past harms against them and leading to a process of reconciliation.
The Town Council Monday voted 12-1 in favor of setting up a special purpose stabilization fund for reparations. No money is yet in the account, though a plan was recently presented by town finance officials that would put $210,000 into the account later this year when free cash is certified. (Daily Hampshire Gazette)</t>
  </si>
  <si>
    <t>amherst, reparations, massachusetts, fund, restitution, appropriation, hampshire, injustice, contributions, reconciliation</t>
  </si>
  <si>
    <t>Harvard's “Legacy of Slavery Fund”</t>
  </si>
  <si>
    <t>Harvard University</t>
  </si>
  <si>
    <t>Descendant communities of those affected by Harvard's slavery history</t>
  </si>
  <si>
    <t>Harvard University published a report (Harvard &amp; the Legacy of Slavery) detailing how the institution benefitted from the enslavement of Black people in the United States. The university has also pledged $100 million for a fund to continue researching its ties to slavery, and for programs of reconciliation and redress.
(source: https://guides.library.umass.edu/reparations)</t>
  </si>
  <si>
    <t>Harvard &amp; the Legacy of Slavery Initiative</t>
  </si>
  <si>
    <t>https://legacyofslavery.harvard.edu,
https://www.nytimes.com/2022/04/26/us/harvard-slavery-redress-fund.html</t>
  </si>
  <si>
    <t>legacyofslavery.harvard.edu: http://web.archive.org/web/20250925160757/https://legacyofslavery.harvard.edu/ [25 September 2025]
www.nytimes.com: http://web.archive.org/web/20250503074249/https://www.nytimes.com/2022/04/26/us/harvard-slavery-redress-fund.html [03 May 2025]</t>
  </si>
  <si>
    <t>Reparations in the United States: 
2022: Harvard University published a report (Harvard &amp; the Legacy of Slavery) detailing how the institution benefitted from the enslavement of Black people in the United States. The university has also pledged $100 million for a fund to continue researching its ties to slavery, and for programs of reconciliation and redress. (Hartocollis, A. (2022, April 26). Harvard details its ties to slavery and its plans for redress. The New York Times.)
Harvard &amp; the Legacy of Slavery Initiative:
Harvard University takes responsibility for our legacy of slavery and seeks to mend the harm done to descendant communities, the Harvard community, Cambridge, Boston, and beyond. We recognize that repair efforts take time. Over the next few years, the Initiative will focus our efforts on three priority areas: memorialization, advancing HBCU partnerships, and supporting descendant communities. We will also continue to provide learning opportunities and invite the Harvard community to join our reparative work.
26 April 2022:
The university is committing $100 million for an endowed “Legacy of Slavery Fund.” Its report carefully avoided treading on direct financial reparations for descendants of enslaved people.  The report by a committee of Harvard faculty members, released on Tuesday, is Harvard’s effort to begin redressing the wrongs of the past, as some other universities have been doing for decades. As part of the process, the university’s governing corporation has pledged $100 million in part to create an endowed “Legacy of Slavery Fund” that would allow scholars and students to bring Harvard’s connections to slavery into the light for generations to come.
(The New York Times)</t>
  </si>
  <si>
    <t>harvard, reparations, memorialization, slavery, reparative, scholars, legacy, researching, universities, fund</t>
  </si>
  <si>
    <t>The Episcopal Diocese of Massachusetts Sets Up a Reparations Fund</t>
  </si>
  <si>
    <t>The Episcopal Diocese of Massachusetts</t>
  </si>
  <si>
    <t>The Episcopal Diocese of Massachusetts voted to create a reparations fund to address "our legacy of wealth accumulated through the enslaved labor of Africans and Afro-Caribbeans."
(source: https://guides.library.umass.edu/reparations)</t>
  </si>
  <si>
    <t>https://episcopalnewsservice.org/2022/11/16/massachusetts-diocese-creates-reparations-rund-with-11-1-million-goal/,
https://www.diomass.org/reparations-toolkit</t>
  </si>
  <si>
    <t>episcopalnewsservice.org: http://web.archive.org/web/20241207234138/https://episcopalnewsservice.org/2022/11/16/massachusetts-diocese-creates-reparations-rund-with-11-1-million-goal/ [07 December 2024]
www.diomass.org:
https://web.archive.org/web/20250930112530/https://www.diomass.org/reparations-toolkit [30 September 2025]</t>
  </si>
  <si>
    <t>Reparations in the United States: 
2022: The Episcopal Diocese of Massachusetts voted to create a reparations fund to address "our legacy of wealth accumulated through the enslaved labor of Africans and Afro-Caribbeans." The pool will consist of $3 million to create investment income, as well as further annual funding with a goal of $11.1 million. The Diocese has also created a Reparations Toolkit. (Sukraw, T. J. (2022, November 16). Massachusetts diocese creates reparations fund with $11.1 million goal. Episcopal News Service.)
16 November 2022:
In a vote described as historic by many in attendance, the 237th annual convention of the Diocese of Massachusetts, meeting Oct. 28-29 in Danvers, approved the creation of an Episcopal Diocese of Massachusetts Reparations Fund “as part of our effort to address our legacy of wealth accumulated through the enslaved labor of Africans and Afro-Caribbeans on our behalf and for our use today.
The convention resolution calls for an initial pool of approximately $3 million to generate investment income for the new reparations fund. That pool is to be established in part with 15% of the diocese’s unrestricted agency and Diocesan Council-designated endowment funds. The resolution calls for additional commitments of 15% of the annual draw from unrestricted trusts and bishop-directed funds, as well as 3 percent of income from parochial assessments until the reparations fund exceeds $11.1 million. The resolution also urges contributions from congregations, organizations and individuals.
The resolution does not detail how the reparations fund will operate, instead putting authority for making disbursements “in the hands of a body made up predominantly of people from the communities suffering generations of harm.”  That body’s composition and guiding principles are to be presented by the Racial Justice Commission for approval at next year’s diocesan convention.
(Episcopal News Service)</t>
  </si>
  <si>
    <t>reparations, diocese, episcopal, massachusetts, diocesan, funding, fund, disbursements, funds, trusts</t>
  </si>
  <si>
    <t>Providence Municipal Reparations Program</t>
  </si>
  <si>
    <t>City of Providence, Rhode Island (USA)</t>
  </si>
  <si>
    <t>Black and Native American residents of Providence, Rhode Island (also White residents can apply)</t>
  </si>
  <si>
    <t>[Providence] is attempting to rectify its history of discrimination against Black and Native American people through reparations, but half of its White residents could qualify.
(source: https://www.washingtonpost.com/nation/2022/11/29/reparations-program-providence-rhode-island/)</t>
  </si>
  <si>
    <t>https://www.washingtonpost.com/nation/2022/11/29/reparations-program-providence-rhode-island/</t>
  </si>
  <si>
    <t>www.washingtonpost.com:
https://web.archive.org/web/20221222131444/https://www.washingtonpost.com/nation/2022/11/29/reparations-program-providence-rhode-island/ [22 December 2022]</t>
  </si>
  <si>
    <t>Reparations in the United States: 
2022: Providence, Rhode Island mayor Jorge Elorza signed a $10 million budget for the Providence Municipal Reparations program, with funds coming from the American Rescue Plan. Black and Native American residents qualify automatically, and White residents may also apply as the funding decisions must be race-neutral. (Felton, E. (2022, November 30). Providence offers reparations to address racism. White people can apply. Washington Post.)
29 November 2022:
Providence, R.I., is joining the growing ranks of cities trying to rectify their history of discrimination against Black residents through reparations programs.
Mayor Jorge Elorza (D), with Black residents by his side, recently signed a $10 million budget for the Providence Municipal Reparations program. While Elorza has focused on how the program would help the city’s Black and Native American residents, there’s a hitch: It’s race-neutral. Black and Native American Providence residents qualify automatically, but the city has also established a separate, income criteria that could include about half its White residents. (The Washington Post)</t>
  </si>
  <si>
    <t>reparations, providence, mayor, discrimination, rhode, residents, race, municipal, racism, funding</t>
  </si>
  <si>
    <t>Georgetown University's Descendants Truth &amp; Reconciliation Foundation</t>
  </si>
  <si>
    <t>Georgetown University and Jesuits</t>
  </si>
  <si>
    <t xml:space="preserve">272 Slaves Were Sold to Save Georgetown: in 1838, the Jesuit priests who ran the country’s top Catholic university needed money to keep it alive. The enslaved African-Americans had belonged to the nation’s most prominent Jesuit priests. And they were sold, along with scores of others, to help secure the future of the premier Catholic institution of higher learning at the time, known today as Georgetown University.
(source: https://www.nytimes.com/2016/04/17/us/georgetown-university-search-for-slave-descendants.html)
</t>
  </si>
  <si>
    <t>National African-American Reparations Commission</t>
  </si>
  <si>
    <t>https://reparationscomm.org/reparations-news/georgetown-university-27m-reparations/</t>
  </si>
  <si>
    <t>reparationscomm.org: http://web.archive.org/web/20250327130636/https://reparationscomm.org/reparations-news/georgetown-university-27m-reparations/ [27 March 2025]</t>
  </si>
  <si>
    <t>19 September 2023:
Georgetown University and the Jesuits have pledged $27 million in money and land donations to the descendants of 19th-century enslaved people who were sold to fund the highly prestigious institution. According to CNN, the Descendants Truth &amp; Reconciliation Foundation confirmed the gifts of $10 million from Georgetown and an additional $17 million from the Jesuits in the form of financial retribution and plantation land. (National African-American Reparations Commission)</t>
  </si>
  <si>
    <t>United States, slavery, Georgetown University, Jesuits, jesuits, georgetown, jesuit, slaves, descendants, enslaved, reparations, donations, plantation, africans</t>
  </si>
  <si>
    <t>Chiquita Pays Compensation to Victims of  Colombian Paramilitary Group</t>
  </si>
  <si>
    <t>Chiquita Brands International S.à.r.l.</t>
  </si>
  <si>
    <t>Family members of eight victims killed by a Colombian paramilitary group funded by Chiquita</t>
  </si>
  <si>
    <t>On June 10, the jury in a U.S. federal court case found Chiquita Brands International liable for killings carried out by a Colombian paramilitary group – a group that the company funded from the mid-1990s to the mid-2000s. [...] Fast forward to the 1990s, the period under scrutiny in the recent trial. Chiquita never resumed the cozy relationship with the government that it had during its early days in Colombia. But the more acute issue in the 1990s was the civil conflict between the Colombian government and guerrilla groups such as the Revolutionary Armed Forces of Colombia (FARC). The conflict seriously strained Colombia’s state capacity. In some areas of the country – notably in the main banana zones – the government ceded key state functions to right-wing paramilitary groups such as the United Self-Defenses of Colombia (AUC). In this context, Chiquita made payments to various armed groups to smooth business operations in northern Colombia. Chiquita made payments to the FARC in the early 1990s, apparently under an agreement that the leftist revolutionaries would not interfere with Chiquita’s management of the banana unions. Yet in the mid-1990s, Chiquita transitioned to funding right-wing paramilitaries. In a 2007 lawsuit, Chiquita admitted to making over 100 payments totaling over $1.7 million to the AUC between 1997 and 2004. Evidence from internal documents released through Freedom of Information requests show that the payments to right-wing groups began as early as 1992.
(source: https://goodauthority.org/news/chiquita-farc-auc-colombia-guilty-jury-deaths-banana-multinational/)</t>
  </si>
  <si>
    <t>https://goodauthority.org/news/chiquita-farc-auc-colombia-guilty-jury-deaths-banana-multinational/,
https://news.mongabay.com/2024/07/colombian-victims-win-historic-lawsuit-over-banana-giant-chiquita/</t>
  </si>
  <si>
    <t>goodauthority.org: http://web.archive.org/web/20250209223744/https://goodauthority.org/news/chiquita-farc-auc-colombia-guilty-jury-deaths-banana-multinational/ [09 February 2025]
news.mongabay.com:
https://web.archive.org/web/20250805083349/https://news.mongabay.com/2024/07/colombian-victims-win-historic-lawsuit-over-banana-giant-chiquita/ [05 August 2025]</t>
  </si>
  <si>
    <t>17 June 2024:
On June 10, the jury in a U.S. federal court case found Chiquita Brands International liable for killings carried out by a Colombian paramilitary group – a group that the company funded from the mid-1990s to the mid-2000s. The court ordered the multinational distributor of bananas and produce to pay $38.3 million to family members of the eight victims named in the lawsuit. (GoodAuthority.org)
1 July 2024:
After winning a historic lawsuit, nine victims of paramilitary violence in Colombia have finally obtained justice, 17 years after they filed cases against the banana company Chiquita Brands International for financing the United Self-Defense Forces of Colombia, or AUC, paramilitary group. According to experts, this verdict represents an important legal precedent in matters of reparation and justice for thousands of other families who have filed similar lawsuits against Chiquita. The victims’ family members will be awarded $38.3 million in compensation. (Mongabay)</t>
  </si>
  <si>
    <t>colombia, paramilitary, colombian, chiquita, guerrilla, paramilitaries, armed, reparation, bananas, victims</t>
  </si>
  <si>
    <t>Newsom Sets Aside $12 million on Reparations Legislation</t>
  </si>
  <si>
    <t>State of California (Gov. Gavin Newsom)</t>
  </si>
  <si>
    <t>In June 2024, Gov. Gavin Newsom set aside $12 million to spend on reparations legislation, a historic move by the state to atone for its legacy of racism and discrimination against Black residents. While the dispersal of the money is still being decided in the state Legislature, disagreements over how it should be used have surfaced between politicians, academics and reparative justice advocates.
(source: https://www.kqed.org/news/12044638/california-reparations-bills-definition-12-million-explainer)</t>
  </si>
  <si>
    <t>KQED.org</t>
  </si>
  <si>
    <t>https://www.kqed.org/news/12044638/california-reparations-bills-definition-12-million-explainer</t>
  </si>
  <si>
    <t>www.kqed.org: http://web.archive.org/web/20250729220644/https://www.kqed.org/news/12044638/california-reparations-bills-definition-12-million-explainer [29 July 2025]</t>
  </si>
  <si>
    <t>18 June 2024: In June 2024, Gov. Gavin Newsom set aside $12 million to spend on reparations legislation, a historic move by the state to atone for its legacy of racism and discrimination against Black residents. […] One of the top recommendations from the California Reparations Task Force was direct cash payments — totaling hundreds of thousands of dollars — to descendants of enslaved people. But the idea of payments has been difficult to get support from political figures, like Newsom, who cite budgetary issues. The $12 million has been allotted for “the implementation of reparations legislation that is enacted into law,” meaning any bills or proposals that pass through the state government. (KQED.org)</t>
  </si>
  <si>
    <t>reparations, reparative, payments, legislature, million, budgetary, legislation, dollars, cash, justice</t>
  </si>
  <si>
    <t>Reparations for Former "Section 14" Residents</t>
  </si>
  <si>
    <t>The city council of Palm Springs, California (USA)</t>
  </si>
  <si>
    <t>Survivors and descendants of Section 14’s historically Black and Latino residents</t>
  </si>
  <si>
    <t>Beginning around the 1940s, a neighborhood near downtown Palm Springs became home to mostly Black and Latino residents. The one-square-mile tract was on the land of the Cahuilla Indians and offered one of the few places minorities could live because of racial housing discrimination. After a federal law change in 1959, these residents were evicted and their homes destroyed to make way for economic development. For years, former residents said they were evicted with little or no notice. From 1965 to 1967, 235 structures in Section 14 were demolished and burned by the city Fire Department, according to municipal records. The ensuing state investigation, which noted that about 1,000 residents were affected, concluded that there was no evidence a crime was committed in the removals but that the city had shown “civil disregard” for the rights of its minority residents.
(source: https://www.nytimes.com/2024/05/21/us/section-14-palm-springs-reparations.html)</t>
  </si>
  <si>
    <t>https://www.kqed.org/news/12014575/palm-springs-oks-5-9-million-in-reparations-for-black-and-latino-families-whose-homes-the-city-burned,
https://engagepalmsprings.com/section-14</t>
  </si>
  <si>
    <t>/www.kqed.org:
https://web.archive.org/web/20250629021542/https://www.kqed.org/news/12014575/palm-springs-oks-5-9-million-in-reparations-for-black-and-latino-families-whose-homes-the-city-burned [29 June 2025]
engagepalmsprings.com:
https://web.archive.org/web/20251113094018/https://engagepalmsprings.com/section-14 [13 November 2025]</t>
  </si>
  <si>
    <t>Reparations in the United States: 
2024: The city council of Palm Springs, California, approved a $5.9 million settlement for survivors and descendants of Section 14, an historically Black and Latino neighborhood that had been destroyed 60 years ago for commercial development. The agreement compensates around 1,200 individuals, establishes a cultural healing center and a public monument, and allocates $21 million for housing and economic programs prioritizing former residents. (Bolaños, M. (2024, November 15). Palm Springs OKs $5.9 million in reparations for Black and Latino families whose homes the city burned. KQED.)
15 November 2024:
In a historic move, the Palm Springs City Council voted unanimously Thursday night to approve a settlement offer for the surviving former residents and descendants of a Black and Latino neighborhood that the city burned to the ground 60 years ago to make way for commercial development. The settlement includes $5.9 million in direct cash payments to an estimated 1,200 people. It also includes a commitment from the city to explore naming a community park and to establish a cultural healing center and a public monument to honor the legacy of the former residents. The City Council also approved $21 million in housing and economic development programs to address the city’s past discrimination against its Black and Latino residents. That includes $10 million for a first-time homebuyer assistance program and $10 million to establish a community land trust. Both programs will prioritize doing outreach to families that formerly lived in the Section 14 community. (KQED.org)
7 October 2025:
The City of Palm Springs would like to inform the community that it has fulfilled the payment terms of its settlement with the survivors and descendants of Section 14 by transferring $5.9 million to their legal representatives. This payment marks the completion of the City’s financial commitment to the agreement approved by the City Council in November 2024.
Under the terms of the agreement:
The City Council approved $5.9 million in direct financial compensation for eligible survivors and descendants. The payment was contingent upon receipt of at least 1,200 signed legal waivers. As of October 6, nearly 1,500 release/waivers have been received by the City.
(Engage Palm Springs)</t>
  </si>
  <si>
    <t>There was a tentative reparations deal of $27 million: https://www.politico.com/news/2024/11/13/palm-springs-reparations-settlement-00189504</t>
  </si>
  <si>
    <t>reparations, demolished, settlement, housing, evicted, residents, cahuilla, neighborhood, california, survivors</t>
  </si>
  <si>
    <t>New York Court Settlement with Illegally Detained Immigrants</t>
  </si>
  <si>
    <t>The City of New York (USA)</t>
  </si>
  <si>
    <t>Illegally detained people between 1997 and 2012</t>
  </si>
  <si>
    <t>Between April 1, 1997, and December 21, 2012, thousands of migrants were held for days, weeks, or months longer than they should have been. New York was not the sanctuary city it later became, and authorities worked hand in hand with ICE, sending people directly from prison to be deported. From October 2012 to September 2013, the Department of Corrections handed over more than 3,000 detainees to ICE. Some of the migrants involved in the lawsuit — one of the largest against New York City — were in police custody or serving short prison sentences. ICE asked New York City officials to hold them for up to 48 hours while it considered them for deportation proceedings. But time ran out. Reports say the detainees were held in total for more than 166,000 days, or 454 years, from their scheduled release dates. The city’s Law Department said in a statement that officials had “operated under the assumption that compliance with ICE detainers was mandated under federal law.”
(source: https://english.elpais.com/usa/2024-12-23/new-york-will-have-to-pay-92-million-in-damages-to-20000-illegally-detained-immigrants.html)</t>
  </si>
  <si>
    <t>El Pais</t>
  </si>
  <si>
    <t>https://english.elpais.com/usa/2024-12-23/new-york-will-have-to-pay-92-million-in-damages-to-20000-illegally-detained-immigrants.html</t>
  </si>
  <si>
    <t>english.elpais.com: http://web.archive.org/web/20250519172238/https://english.elpais.com/usa/2024-12-23/new-york-will-have-to-pay-92-million-in-damages-to-20000-illegally-detained-immigrants.html [19 May 2025]</t>
  </si>
  <si>
    <t xml:space="preserve">23 December 2024: Now, under a court settlement, New York City, which had been denying any responsibility, must pay $92.5 million in damages to thousands of illegally detained migrants, some of whom remain in the United States and others have gone on to countries such as Mexico, the Dominican Republic, Haiti, Jamaica, Ecuador, Cuba, Colombia, Trinidad and Tobago, Honduras and Guyana. [...] With the settlement, the more than 20,000 affected migrants will be able to seek compensation. Some could obtain tens of thousands of dollars, depending on the length of their detention and the damage caused. (El Pais)
</t>
  </si>
  <si>
    <t>deportation, detainees, detained, deported, detention, settlement, detainers, lawsuit, prison, illegally</t>
  </si>
  <si>
    <t>Uruguayan Reparations Law (Law No. 18.596)</t>
  </si>
  <si>
    <t>Government of Uruguay</t>
  </si>
  <si>
    <t>Uruguay</t>
  </si>
  <si>
    <t>URY</t>
  </si>
  <si>
    <t>Victims of the illegitimate action of the state in the period between June 13, 1968 and February 28, 1985</t>
  </si>
  <si>
    <t>Violation of human rights which took place during the last civil-military dictatorship in Uruguay, between June 13, 1968 and February 28, 1985 (including the pre-dictatorship period).</t>
  </si>
  <si>
    <t>According to the Transitional Justice Evaluation Tools, the cost estimate is: USD$8 million as 2011.</t>
  </si>
  <si>
    <t>Some reparations were awarded as of 2010, according to this source (in Spanish): https://www.lr21.com.uy/politica/443601-indemnizacion-a-victimas-del-terrorismo-de-estado-suma-us-2500000-al-2011
But no other cumulative data are available.</t>
  </si>
  <si>
    <t>uruguayan, reparations, cost, dictatorship, 1985, victims, law, justice, usd, 2011</t>
  </si>
  <si>
    <t>Crystallex International Corporation v. Bolivarian Republic of Venezuela</t>
  </si>
  <si>
    <t>Bolivarian Republic of Venezuela</t>
  </si>
  <si>
    <t>VEN</t>
  </si>
  <si>
    <t>Crystallex International Corporation</t>
  </si>
  <si>
    <t>On September 17, 2002 Crystallex and Corporación Venezolana de Guayana (CVG), a Venezuelan state corporation, entered into a Mining Operation Contract (MOC) to develop mining concessions in the Las Cristinas area. Large gold deposits are said to exist in the area, located within Venezuela’s Imataca National Forest Reserve. Between 2003 and 2008 Crystallex sought the necessary permits. To address certain concerns raised by Venezuela, Crystallex had to submit a revised environmental impact study. Afterwards, in a letter of May 16, 2007, the Ministry of Environment requested Crystallex to post a bond to “guarantee the implementation of the measures proposed in the document presented for the Environmental Impact Evaluation of the project, which have been analyzed and approved by this Office.” The letter further stated that, after the bond-related formalities, “the [environmental permit] […] will be handed over” (para. 561). Even though Crystallex posted the bond and paid the environmental taxes, the Ministry of Environment denied the environmental permit in a letter dated April 14, 2008, based on concerns over the project’s impact on the environment and indigenous peoples in the Imataca reserve. In several public statements from 2008 to 2010, then-President Hugo Chávez and high-level officials expressed Venezuela’s intention to nationalize gold deposits, including Las Cristinas. Crystallex notified the Ministry of Mines of a treaty dispute as early as November 2008. However, only on February 16, 2011—after CVG formally rescinded the MOC on February 3, 2011—did Crystallex initiate arbitration against Venezuela for expropriation of its investments and failure to accord them fair and equitable treatment (FET) and full protection and security, in breach of the Canada–Venezuela bilateral investment treaty (BIT). Crystallex asked for compensation of US$3.16 billion plus interest.
(source: https://www.iisd.org/itn/2016/08/10/crystallex-international-corporation-v-bolivarian-republic-of-venezuela-icsid-case-no-arb-af-11-2/)</t>
  </si>
  <si>
    <t>Investment Treaty News</t>
  </si>
  <si>
    <t>https://www.iisd.org/itn/2016/08/10/crystallex-international-corporation-v-bolivarian-republic-of-venezuela-icsid-case-no-arb-af-11-2/</t>
  </si>
  <si>
    <t>www.iisd.org: http://web.archive.org/web/20250926195337/https://www.iisd.org/itn/2016/08/10/crystallex-international-corporation-v-bolivarian-republic-of-venezuela-icsid-case-no-arb-af-11-2/ [26 September 2025]</t>
  </si>
  <si>
    <t>10 August 2016: In a 273-page award dated April 4, 2016, a tribunal at the Additional Facility (AF) of the International Centre for Settlement of Investment Disputes (ICSID) ordered Venezuela to pay US$1.202 billion plus interest to Canadian company Crystallex International Corporation (Crystallex). The tribunal considered that the denial of Crystallex’s environmental permit and the termination of its mining contract, among other actions by Venezuela, amounted to a high-level political agenda to nationalize a gold mine without compensation. (Investment Treaty News)</t>
  </si>
  <si>
    <t>crystallex, venezuela, permits, venezuelan, bolivarian, corporación, environmental, permit, mining, treaty</t>
  </si>
  <si>
    <t>ConocoPhillips v. Venezuela</t>
  </si>
  <si>
    <t>ConocoPhillips Company</t>
  </si>
  <si>
    <t>Venezuela expropriated two extra-heavy oil projects in the Orinoco Oil Belt region (Faja Petrolífera del Orinoco), known as the Petrozuata and Hamaca upgrading projects, and the Corocoro offshore project for the extraction of light to medium-grade crude oil in 2007, as part of the nationalization drive quest of Hugo Chavez, South American country’s former President. In response, ConocoPhillips’ affiliates, ConocoPhillips Petrozuata, ConocoPhillips Hamaca, and ConocoPhillips Gulf of Paria, filed a dispute with ICSID based on the agreement on encouragement and reciprocal protection of investments between Venezuela and the Netherlands, which entered into force on November 1, 1993 (BIT) and the Convention on the Settlement of Investment Disputes between states and nationals of other states, which entered into force on October 14, 1966 (ICSID Convention).
(source: https://www.offshore-energy.biz/nearly-9-billion-win-for-conocophillips-as-venezuela-loses-arbitration-case-over-three-oil-projects/)</t>
  </si>
  <si>
    <t>Offshore Energy</t>
  </si>
  <si>
    <t>https://www.offshore-energy.biz/nearly-9-billion-win-for-conocophillips-as-venezuela-loses-arbitration-case-over-three-oil-projects/</t>
  </si>
  <si>
    <t>www.offshore-energy.biz: http://web.archive.org/web/20250217110037/https://www.offshore-energy.biz/nearly-9-billion-win-for-conocophillips-as-venezuela-loses-arbitration-case-over-three-oil-projects/ [17 February 2025]</t>
  </si>
  <si>
    <t>24 January 2025: After the Tribunal issued its award on March 8, 2019, ordering Venezuela to pay around $8.7 billion for damages and $20.4 million to defray ConocoPhillips’ arbitration costs, the country applied for annulment of the award, with applications also containing a request for the stay of enforcement until the decision was made on its application. (Offshore Energy)</t>
  </si>
  <si>
    <t>venezuela, chavez, disputes, hugo, petrozuata, offshore, corocoro, tribunal, orinoco, hamaca</t>
  </si>
  <si>
    <t>Document of Reconciliation and Forgiveness Between the Families of the Al Ali bin Ahmad Al Awlaqi Clan in Yemen</t>
  </si>
  <si>
    <t>Sheikh Saleh bin Fareed Al Awlaqi (Yemeni tribal leader)</t>
  </si>
  <si>
    <t>YEM</t>
  </si>
  <si>
    <t>Families of the victims of the killings between Tribes Members in Yemen</t>
  </si>
  <si>
    <t>Document of Reconciliation and Forgiveness Between the Families of the Al Ali bin Ahmad Al Awlaqi Clan: This agreement which addresses an ongoing tribal conflict, commits the parties to reconciling sub-divisions within the same clan, drawing a line under the dispute and recognising the signing as an official pardon of all those involved in the conflict by the wider clan. Societal leaders and dignitaries of the clan addressed issues involved in the tribal conflict including specific incidents of killings during a period between 2014 and 2019. These issues are expressed as unresolved by the previous related agreement, this agreement commits the signatories to ensure that compensations are made to the families of 11 men killed in the tribal feud as well as ensuring general reconciliation across all branches of the tribe.
(source: https://www.peaceagreements.org/agreements/2227/)</t>
  </si>
  <si>
    <t>YER</t>
  </si>
  <si>
    <t>Peace Agreements Database (ID: 2227)</t>
  </si>
  <si>
    <t>Document of Reconciliation and Forgiveness Between the Families of the Al Ali bin Ahmad Al Awlaqi Clan</t>
  </si>
  <si>
    <t>https://reparations.qub.ac.uk/assets/uploads/NSAG-Handbook-100622.pdf</t>
  </si>
  <si>
    <t>reparations.qub.ac.uk: http://web.archive.org/web/20221002005324/https://reparations.qub.ac.uk/assets/uploads/NSAG-Handbook-100622.pdf [02 October 2022]</t>
  </si>
  <si>
    <t>Peace Agreements Database (PA-X):
Page 2, 4. Sheikh Saleh bin Fareed Al Awlaqi shall pay the compensation to the families of the victims, at the rate of 10 million Yemeni riyals to each one of the families of the victims, and we reiterate that these men who were killed are our brothers and our dead.
Reparations, Responsibility &amp; Victimhood in Transitional Societies: There is a strong practice of settling killings through inter-tribal mediation and reconciliation for violence between armed tribes. See Document of Reconciliation and Forgiveness Between the Families of the Al Ali bin Ahmad Al Awlaqi Clan, 7 April 2019 - where compensation was agreed to be paid for the killing of 11 tribe members by the other tribe at an agreed rate of 10 million Yemeni riyals. (P. 57, / ENGAGING NON-STATE ARMED GROUPS ON REPARATIONS /)</t>
  </si>
  <si>
    <t>The payor is classified as an individual (private) payor. While not a state or government authority, the payor is technically a tribal leader, a category of non-state actor that may exercise significant de facto local authority within customary and tribal governance structures.</t>
  </si>
  <si>
    <t>yemen, reparations, yemeni, reconciliation, victims, compensation, tribes, tribal, tribe, killings</t>
  </si>
  <si>
    <t>War Victims Compensation Act in Zimbabwe</t>
  </si>
  <si>
    <t>Government of Zimbabwe</t>
  </si>
  <si>
    <t>Zimbabwe</t>
  </si>
  <si>
    <t>ZWE</t>
  </si>
  <si>
    <t>Victims of war in Zimbabwe</t>
  </si>
  <si>
    <t>The War Victims Compensation Act of Zimbabwe (Chapter 11:16) provides for compensation to individuals who suffered injuries or death as a direct or indirect result of the war, which occurred between January 1, 1962, and February 29, 1980.
(source: https://africacommons.net/artifacts/20822813/zimbabwe-war-victims-compensation-act/21723269/)</t>
  </si>
  <si>
    <t>The compensation scheme was suspended in 1997 amid allegations of corruption, abuse, and mismanagement. It restarted again in 2025.</t>
  </si>
  <si>
    <t>ZWL</t>
  </si>
  <si>
    <t>Transitional Justice Evaluation Tools (ID: 88)</t>
  </si>
  <si>
    <t>War Victims Compensation Act</t>
  </si>
  <si>
    <t>https://mg.co.za/article/1997-08-18-zimbabwe-war-fund-inquiry-starts/,
https://ihl-databases.icrc.org/en/national-practice/war-victims-compensation-act-chapter-1116,
https://bulawayo24.com/index-id-news-sc-national-byo-246082.html,
https://cite.org.zw/war-veterans-demand-overdue-1997-gratuity-payment/</t>
  </si>
  <si>
    <t>mg.co.za: http://web.archive.org/web/20230525190717/https://mg.co.za/article/1997-08-18-zimbabwe-war-fund-inquiry-starts/ [25 May 2023]
ihl-databases.icrc.org:
https://web.archive.org/web/20251003101914/https://ihl-databases.icrc.org/en/national-practice/war-victims-compensation-act-chapter-1116 [03 October 2025]
bulawayo24.com: http://web.archive.org/web/20250716021754/https://bulawayo24.com/index-id-news-sc-national-byo-246082.html [16 July 2025]
cite.org.zw: http://web.archive.org/web/20250804101149/https://cite.org.zw/war-veterans-demand-overdue-1997-gratuity-payment/ [04 August 2025]</t>
  </si>
  <si>
    <t>According to the TJET, the benficiaries count is: 52400.
18 August 1997: The judicial commission of inquiry into the fraudulent disbursement of Z$1,5-billion from Zimbabwe’s War Victims’ Compensation Fund opened on Monday with Public Service, Labour and Social Welfare Minister Florence Chitauro blaming loopholes for the abuse of the fund. [...] About Z$1,5-billion was paid out during the past six years, Z$450-million of it between June last year and March this year under the war victims’ fund, established to compensate Zimbabweans injured during the liberation war. Chitauro said last year her ministry bid for Z$30-million for the War Veterans’ Fund, but was only allocated Z$2-million, mostly for administrative costs. (The Mail &amp; Guardian)
21 May 2022: In 1997, when the government was cornered following months of protests, it paid out unbudgeted lump sums to nearly 50,000 war veterans leading to the collapse of the local currency which has never recovered. […] In 1997, Zimbabwe’s government paid out Z$50,000 (US$4,300 at the time) unbudgeted gratuities to veterans of the 1970s war of independence who also received monthly pensions initially pegged at Z$2,000 (about US$174). (ZimLive.com)
28 September 2024: The Minister of Veterans of the Liberation Struggle Affairs, Monica Mavhunga, has announced the resumption of compensation payments for war victims, marking a major step in supporting Zimbabwe's liberation heroes and heroines. This announcement was made during her ministerial statement delivered in the Senate on Thursday. The compensation scheme, which was suspended in 1997 amid allegations of corruption, abuse, and mismanagement, will now restart over two decades later, following significant efforts to reform and address long-standing grievances. Since Zimbabwe's independence, providing adequate support to war veterans, including compensation for injuries and losses sustained during the liberation struggle, has remained a challenge. The War Victims' Compensation Fund was initially suspended after an investigation by the Chidyausiku Commission of Inquiry in 1998, which sought to address corruption concerns but led to the halting of payments. (Bulawayo24)
23 January 2025: The Zimbabwean government must honour its 1997 commitment to pay war veterans the remaining Z$450 000 of their promised gratuity, calculated at that year’s prevailing USD rate, according to Andrew Ndlovu, former National Secretary for Projects and Planning for the Zimbabwe National Liberation War Veterans Association. [...] “I am calling upon the government of Zimbabwe to honor its obligation left by the late Presidents R.G. Mugabe and Dr Joshua Nkomo to pay war veterans their outstanding gratuity balance of Z$450,000, which was part of the Z$500 000 agreed in principle in a meeting  at State House on the 1st of August 1997,” Ndlovu said. (Centre for Innovation and Technology)</t>
  </si>
  <si>
    <t xml:space="preserve">NOTE ON CONVERSION: The total compensation disbursed (Z$1,5-billion) is reported as an accumulated figure paid as of 1997. We assume this figure represents the total value of all payments over the entire period.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Using IMF exchange rates (ER; LCU per US$), the converted payment values appear anomalously large and constitute a significant outlier in the analysis:
Paid (1997 USD) = 413,860,000,000
Paid (Adjusted to 2024 USD) = 953,580,000,000
A likely explanation is that the ZWL–USD exchange rate reflects conditions during a period of hyperinflation and is therefore not a reliable basis for conversion. To avoid distorting aggregate results, this observation has been temporarily excluded from the analysis but is preserved in the database for archival completeness and transparency.
Read more here:
https://finaeon.com/the-death-of-the-zimbabwe-dollar/
https://en.wikipedia.org/wiki/Hyperinflation_in_Zimbabwe
</t>
  </si>
  <si>
    <t>compensation, pensions, payments, zimbabwe, victims, pay, zimbabwean, veterans, payment, zimlive</t>
  </si>
  <si>
    <t>Zimbabwe Pays Reparations to Farmers Evicted by Grace Mugabe</t>
  </si>
  <si>
    <t>People evicted by Grace Mugabe</t>
  </si>
  <si>
    <t>"Gracelands" was the name Zimbabweans gave to the land that Zimbabwe's former first lady, Grace Mugabe, claimed and cleared. Manzou in Mazowe lies approximately 50 kilometers (31 miles) north of the capital, Harare. In 2015, subsistence farmers in the area were evicted from their homesteads and their houses were demolished to make way for Grace Mugabe's development plans for the area. She took over Mazowe dam and seized land for her personal farm and game park.
(source: https://www.dw.com/en/zimbabwe-court-orders-payment-to-farmers-evicted-by-grace-mugabe/a-42806037)</t>
  </si>
  <si>
    <t>https://www.dw.com/en/zimbabwe-court-orders-payment-to-farmers-evicted-by-grace-mugabe/a-42806037,
https://www.voanews.com/a/zimbabwe-black-farmer-evictions-compensation/4277923.html</t>
  </si>
  <si>
    <t>www.dw.com: http://web.archive.org/web/20241213033959/https://www.dw.com/en/zimbabwe-court-orders-payment-to-farmers-evicted-by-grace-mugabe/a-42806037 [13 December 2024]
www.voanews.com: http://web.archive.org/web/20250405122436/https://www.voanews.com/a/zimbabwe-black-farmer-evictions-compensation/4277923.html [05 April 2025]</t>
  </si>
  <si>
    <t>2 March 2018: A Zimbabwean court has ordered the government and head of police to pay more than $30,000 in reparations to people whose homesteads were demolished to make way for Grace Mugabe's farm and game park. (Deutsche Welle)
2 March 2018: The court in Bindura, some about 100 km north of Harare, ruled Thursday that the evictions were done illegally, and ordered the government and the head of police to pay more than $30,000 in compensation to the 14 farmers. The judge said that police used excessive force and that the residents were not given alternative places to live as required by law. (VOA News)</t>
  </si>
  <si>
    <t>zimbabwe, zimbabweans, zimbabwean, mugabe, evictions, evicted, reparations, harare, mazowe, pays</t>
  </si>
  <si>
    <t>Zimbabwe Pays Compensation to White Farmers</t>
  </si>
  <si>
    <t>White farmers whose land was expropriated by the government to resettle black families</t>
  </si>
  <si>
    <t>Between 2000 and 2001, thousands of white farmers were forcibly removed from their land, often through violent means. While the land seizures aimed to rectify historical injustices from the colonial period, they ultimately contributed to the nation’s economic downturn and strained relations with Western countries.
(source: https://www.africanews.com/2025/04/10/first-payments-made-to-white-farmers-affected-by-land-reforms-in-zimbabwe/)</t>
  </si>
  <si>
    <t>Payments started in 2025.</t>
  </si>
  <si>
    <t>https://www.reuters.com/article/world/zimbabwe-agrees-to-pay-35-billion-compensation-to-white-farmers-idUSKCN24U2SD/,
https://www.aljazeera.com/opinions/2025/4/3/reverse-reparations-zimbabwes-perfect-trap-south-africas-looming-danger,
https://www.bbc.com/news/articles/cq5wwp5eelxo,
https://www.theguardian.com/world/2025/apr/11/zimbabwe-starts-compensating-white-farmers-25-years-after-land-seizures</t>
  </si>
  <si>
    <t>29 July 2020: Zimbabwe agreed on Wednesday to pay $3.5 billion (2.70 billion pounds) in compensation to white farmers whose land was expropriated by the government to resettle black families, moving a step closer to resolving one the most divisive policies of the Robert Mugabe era. (Reuters)
3 April 2025: In July 2020, in the teeth of the COVID-19 pandemic, Zimbabwe agreed to pay $3.5bn in compensation to approximately 4,000 white settler landowners for property redistributed during land reforms. (Al Jazeera)
10 April 2025: Zimbabwe's government has announced an initial pay-out of US$3m (£2.3m) to white farmers whose farms were seized under a controversial government programme more than two decades ago. It is the first payment to be made under the 2020 compensation agreement signed between the state and the local white farmers in which Zimbabwe committed to pay $3.5bn (£2.6bn) for seized farmland. Thousands of white farmers were forced from their land, often violently, between 2000 and 2001.
11 April 2025: The government paid $3.1m (£2.3m) to a “first batch” of 378 farms, the ministry of finance said in a statement on Wednesday, the first payout under a 2020 agreement to pay $3.5bn in compensation. The remainder of the $311m due to this group of farmers will be paid in US dollar-denominated treasury bonds with two- to 10-year maturities and interest of 2%. That is much lower than the current yield on a two-year US treasury bond of about 3.8%. (The Guardian)</t>
  </si>
  <si>
    <t>Update as of 2025: Zimbabwe began actual cash disbursements in April 2025. The government paid $3.1m (£2.3m) to a “first batch” of 378 farms.</t>
  </si>
  <si>
    <t>zimbabwe, compensation, farmland, landowners, farmers, payments, africa, pays, farms, pay</t>
  </si>
  <si>
    <t>Recipient(s)</t>
  </si>
  <si>
    <t>Beginning of the harm (Year)</t>
  </si>
  <si>
    <t>Beginning of the harm (Date)</t>
  </si>
  <si>
    <t>Duration of payments distribution</t>
  </si>
  <si>
    <t>Individual and collective</t>
  </si>
  <si>
    <t>Direct victims</t>
  </si>
  <si>
    <t>Direct victims and families of the victims</t>
  </si>
  <si>
    <t>Families of the victims</t>
  </si>
  <si>
    <t>Bilateral agreement</t>
  </si>
  <si>
    <t>Court agreement</t>
  </si>
  <si>
    <t>Court order</t>
  </si>
  <si>
    <t>Court order (Domestic)</t>
  </si>
  <si>
    <t>Court order (Domestic) &amp; Out-of-court settlement</t>
  </si>
  <si>
    <t>Court settlement</t>
  </si>
  <si>
    <t>State initiative</t>
  </si>
  <si>
    <t>Multilateral agreement</t>
  </si>
  <si>
    <t>Multilateral initiative</t>
  </si>
  <si>
    <t>Negotiated agreement</t>
  </si>
  <si>
    <t>Out-of-court settlement</t>
  </si>
  <si>
    <t>Peace agreement</t>
  </si>
  <si>
    <t>Peace agreement and bilateral agreements</t>
  </si>
  <si>
    <t>Private and public initiative</t>
  </si>
  <si>
    <t>Private initiative</t>
  </si>
  <si>
    <t>Settlement agreement (Court-approved)</t>
  </si>
  <si>
    <t>Settlement agreement</t>
  </si>
  <si>
    <t>Community payments</t>
  </si>
  <si>
    <t>Community payments and individual social benefits</t>
  </si>
  <si>
    <t>Ex-gratia payments</t>
  </si>
  <si>
    <t>Monthly pensions</t>
  </si>
  <si>
    <t>Annual payments in cash</t>
  </si>
  <si>
    <t>One-time payments in cash</t>
  </si>
  <si>
    <t>One-time payments in cash and state bonds</t>
  </si>
  <si>
    <t>One-time payments in cash and community payments</t>
  </si>
  <si>
    <t>One-time payments in cash and annual payments in cash</t>
  </si>
  <si>
    <t>One-time payments in cash, monthly stipends, and social benefits</t>
  </si>
  <si>
    <t>One-time payments in cash and monthly pensions</t>
  </si>
  <si>
    <t>One-time payments in cash, monthly pensions, and community payments</t>
  </si>
  <si>
    <t>Symbolic payments</t>
  </si>
  <si>
    <t>The First Environmental Court (Chile)</t>
  </si>
  <si>
    <t>The Brussels Court of Appeal</t>
  </si>
  <si>
    <t>The municipal court of Rovinj (Croatia)</t>
  </si>
  <si>
    <t>The municipal court of Sisak (Croatia)</t>
  </si>
  <si>
    <t>Political Apologies and Reparations Archive:
Several French banks, including Société Générale, Crédit Lyonnais, Banque Paribas, and Crédit Commercial de France, settled their class action suit with French Holocaust survivors and heirs. Under the agreement, claims brought against French banks will be processed exclusively and independently by the Drai Commission, a panel of independent arbitrators established by the French government to investigate accusations of theft during the Nazi occupation of France.   The French banks agreed to set aside $50 million for claimants able to prove the existence of their families’ stolen assets. The banks also agreed to a “no limit” settlement, which meant that there was no cap on the number of hard claims brought forward.  However, as of April 2004, only $1.7 million or 3.4 percent of the fund was distributed among victims and their families.  The settlement has undergone much criticism because all of the unclaimed money at the end of the compensation period will revert back to the banks. Another fund worth $22.5 million was established to settle any claims for those who lacked documentation. The requirements to receive financial compensation from this fund were much simpler and easier to prove.  Each claimant needed only to sign an affidavit and provide proof of French residency during the war, but payout for such soft claims was a flat sum of $3,000. Any unclaimed money from this fund will go to the Foundation for the Memory of the Shoah, a historical and educational institution about the Holocaust. Many argue that any unclaimed funds used to settle the hard claims should be used in similar fashion.
6 July 2004: The banks set up two funds to compensate victims. Fund A contained $50 million for claimants with proof of their family's bank holdings. That money is to be replenished until all of the claimants are paid their fair share. Fund B contained $22.5 million for those who had no documentation of their losses. Upon signing an affidavit and providing proof of French residency during the war, a Fund B claimant receives $3,000. By the end of April, $15.4 million, or a little more than 68 percent of Fund B, had been distributed. Most people involved predict Fund B will eventually be depleted. If it is not, the remaining money in the fund will go to the Foundation for the Memory of the Shoah, a historical and educational institution headed by Simone Veil, a former president of the European Parliament and a survivor of Auschwitz. The situation with Fund A is different. Only $1.7 million, or 3.4 percent of the fund, had been distributed as of the end of April. All unclaimed money will revert to the banks when the Drai Commission, the government body that processes individual claims, ceases operation. That is likely to happen within the next five years. (The New York Times)
U.S. Department of State:
The United States Government and the Government of France signed an agreement on January 18, 2001 providing for the payment of compensation to Holocaust survivors and their heirs who have claims against French banks for deposits made during the Holocaust era. France requested the negotiations leading to the agreement in order to secure the dismissal of class action suits brought against French banks in U.S. courts.
The agreement provides for the establishment of two separate funds, one of $50 million to cover claims by individuals who are able to document the existence of an account, and a second one of $22.5 million to compensate individuals who are able to establish the probability of an account but are not able find specific documentation to support that claim. The agreement also provides compensation for individuals who were subjected to additional anti-Semitic persecution.</t>
  </si>
  <si>
    <t>U.N. Court</t>
  </si>
  <si>
    <t>Unknown or none</t>
  </si>
  <si>
    <t>Out-of-court settlement (Court-approved)</t>
  </si>
  <si>
    <t>Cash relief, tax payments, and debt relief</t>
  </si>
  <si>
    <t>Community payments in annual installments</t>
  </si>
  <si>
    <t>Community payments and interim payments</t>
  </si>
  <si>
    <t>Community payments and symbolic payments</t>
  </si>
  <si>
    <t>Multiple types</t>
  </si>
  <si>
    <t>State-to-state periodic in-kind payments</t>
  </si>
  <si>
    <t>State-to-state payments</t>
  </si>
  <si>
    <t>State-to-state annual payments in the form of goods and services)</t>
  </si>
  <si>
    <t>State-to-state annual payments</t>
  </si>
  <si>
    <t>Monthly medical allowances</t>
  </si>
  <si>
    <t>One-time payments in cash and periodic payments</t>
  </si>
  <si>
    <t>Frozen assets</t>
  </si>
  <si>
    <t>In-kind payments (non-monetary goods)</t>
  </si>
  <si>
    <t>Multiple (mainly cash and in-kind payments)</t>
  </si>
  <si>
    <t>Fund (community payments)</t>
  </si>
  <si>
    <t>Fund (grants)</t>
  </si>
  <si>
    <t>Fund (ex-gratia payments and community payments)</t>
  </si>
  <si>
    <t>Fund (ex-gratia payments)</t>
  </si>
  <si>
    <t>Fund (loans)</t>
  </si>
  <si>
    <t>Fund (one-time payments in cash and community payments)</t>
  </si>
  <si>
    <t>Fund (one-time payments in cash and in-kind, and community payments)</t>
  </si>
  <si>
    <t>Fund (one-time payments in cash and monthly pensions)</t>
  </si>
  <si>
    <t>Fund (one-time payments in cash)</t>
  </si>
  <si>
    <t>Fund (scolarships)</t>
  </si>
  <si>
    <t>Investment bonds</t>
  </si>
  <si>
    <t>Fund (symbolic payments)</t>
  </si>
  <si>
    <t>Fund (monthly pensions)</t>
  </si>
  <si>
    <t>Existing database(s)</t>
  </si>
  <si>
    <t>International Criminal Court;
Reparations, Responsibility and Victimhood in Transitional Societies</t>
  </si>
  <si>
    <t>Justice Info;
Lieber Institute;
Reparations, Responsibility and Victimhood in Transitional Societies;
"Reparations as Development? Evidence from Victims of the Colombian Armed Conflict" (Guarin et al. 2021)</t>
  </si>
  <si>
    <t>Impunity Watch;
Reparations, Responsibility &amp; Victimhood in Transitional Societies</t>
  </si>
  <si>
    <t>CNBC;
Wikipedia;
Hinrichsen S. When Nations Can’t Default: A History of War Reparations and Sovereign Debt. Cambridge University Press; 2023</t>
  </si>
  <si>
    <t>Al Jazeera;
The Times of Israel</t>
  </si>
  <si>
    <t>Reuters;
The Irish Times;
Wikipedia</t>
  </si>
  <si>
    <t>The Guardian;
Church Times;
The Irish Times</t>
  </si>
  <si>
    <t>The New York Times;
Wikipedia</t>
  </si>
  <si>
    <t>BBC News;
Wikipedia</t>
  </si>
  <si>
    <t>The Times of Israel;
Reuters</t>
  </si>
  <si>
    <t>The Globe and Mail;
Leif E. Peterson, et al. 1998. Effects of Ionizing Radiation: Atomic Bomb Survivors and Their Children (1945-1995). Washington, DC: Joseph Henry Press. https://doi.org/10.17226/5805 [via: https://nap.nationalacademies.org/read/5805/chapter/24]</t>
  </si>
  <si>
    <t>The New York Times;
The Guardian;
Wikipedia</t>
  </si>
  <si>
    <t>The New York Times;
Kyodo News;
Wikipedia</t>
  </si>
  <si>
    <t>AP News;
XINHUANET.com;
Wikipedia</t>
  </si>
  <si>
    <t>CNN World News;
NPR</t>
  </si>
  <si>
    <t>The New York Times;
Cal Matters</t>
  </si>
  <si>
    <t>CE Noticias Financieras;
Wikipedia</t>
  </si>
  <si>
    <t>NewsMN;
Bertelsmann Stiftung</t>
  </si>
  <si>
    <t>The National Human Rights Council of Morocco;
Wikipedia;
Johnston, Barbara Rose (2009). Waging War, Making Peace: The Anthropology of Reparations. In Barbara Rose Johnston &amp; Susan Slyomovics, Waging War, Making Peace: Reparations and Human Rights. Left Coast Press.</t>
  </si>
  <si>
    <t>International Center for Transitional Justice;
United States Institute of Peace (Truth Commission: Morocco);
Amnesty International;
Human Rights Watch;
Johnston, Barbara Rose (2009). Waging War, Making Peace: The Anthropology of Reparations. In Barbara Rose Johnston &amp; Susan Slyomovics, Waging War, Making Peace: Reparations and Human Rights. Left Coast Press.</t>
  </si>
  <si>
    <t>The Economist;
CNN;
Wikipedia</t>
  </si>
  <si>
    <t>The Loss &amp; Damage Collaboration;
The World Bank</t>
  </si>
  <si>
    <t>The Washington Post;
Indonesia at Melbourne;
Wikipedia</t>
  </si>
  <si>
    <t>Indonesia at Melbourne;
Al Jazeera;
Wikipedia;
Reparations, Responsibility &amp; Victimhood in Transitional Societies</t>
  </si>
  <si>
    <t>Reuters;
BBC News;
Wikipedia</t>
  </si>
  <si>
    <t>Center for Constitutional Rights;
Wikipedia</t>
  </si>
  <si>
    <t>Jurist News;
ESCR-Net</t>
  </si>
  <si>
    <t>The Slovak Spectator;
U.S. Department of State</t>
  </si>
  <si>
    <t>Liberties;
The Pathway</t>
  </si>
  <si>
    <t>World Jewish Congress;
Swiss Bank Claims</t>
  </si>
  <si>
    <t>Reuters;
swissinfo.ch;
Wikipedia</t>
  </si>
  <si>
    <t>We Will Remember Them': Report of the Northern Ireland Victims Commissioner, Sir Kenneth Bloomfield, April 1998;
"New Report: Reparations for those Bereaved during the Troubles" By Luke Moffett and Kevin Hearty (Reparations Team), September 2023 [Reparations, Responsibility &amp; Victimhood in Transitional Societies]</t>
  </si>
  <si>
    <t>The Guardian;
BBC News</t>
  </si>
  <si>
    <t>The New York Times;
Stuff;
New Zealand Government</t>
  </si>
  <si>
    <t>Library of Congress;
Wikipedia;
Black Reparations Now! 40 Acres, $50 Dollars, and a Mule, + Interest by Dorothy Benton-Lewis</t>
  </si>
  <si>
    <t>History.com;
U.S. Centers for Disease Control and Prevention;
The New York Times;
Wikipedia</t>
  </si>
  <si>
    <t>Bikini Atoll;
Wikipedia</t>
  </si>
  <si>
    <t>The New York Times;
History.com;
Who Gets What: Fair Compensation After Tragedy and Financial Upheaval, by Kenneth R Feinberg (2012)</t>
  </si>
  <si>
    <t>National Library of Medicine;
Wikipedia</t>
  </si>
  <si>
    <t>Asia News;
BBC News;
Wikipedia</t>
  </si>
  <si>
    <t>Who Gets What: Fair Compensation After Tragedy and Financial Upheaval, by Kenneth R Feinberg (2012)</t>
  </si>
  <si>
    <t>Unseen Japan;
Wikipedia</t>
  </si>
  <si>
    <t>Virginia Law Review;
VirginiaTech Magazine;
Who Gets What: Fair Compensation After Tragedy and Financial Upheaval, by Kenneth R Feinberg (2012)</t>
  </si>
  <si>
    <t>NPR;
Wikipedia</t>
  </si>
  <si>
    <t>BBC News;
CNN World;
Wikipedia</t>
  </si>
  <si>
    <t>Additional comments</t>
  </si>
  <si>
    <t>Transitional Justice Data Base (ID: 27);
Transitional Justice Evaluation Tools (ID: 81)</t>
  </si>
  <si>
    <t>Transitional Justice Data Base (ID: 28);
Transitional Justice Evaluation Tools (ID: 147)</t>
  </si>
  <si>
    <t>Transitional Justice Data Base (ID: 39);
Transitional Justice Evaluation Tools (ID: 65)</t>
  </si>
  <si>
    <t>Transitional Justice Evaluation Tools (ID: 55);
Transitional Justice Evaluation Tools (ID: 56)</t>
  </si>
  <si>
    <t xml:space="preserve">Political Apologies and Reparations Archive (2004.0023.01);
Political Apologies and Reparations Archive (2004.0023.02);
Reparations in the United States
</t>
  </si>
  <si>
    <t>Political Apologies and Reparations Archive (2010.0046.01 - Updated);
Political Apologies and Reparations Archive (2010.0046.02 - Updated)</t>
  </si>
  <si>
    <t>Political Apologies and Reparations Archive (2005.0062.01 - Updated);
Transitional Justice Evaluation Tools (ID: 126)</t>
  </si>
  <si>
    <t>Political Apologies and Reparations Archive (2004.0028.01);
Political Apologies and Reparations Archive (2004.0028.02);
Political Apologies and Reparations Archive (2004.0028.03)</t>
  </si>
  <si>
    <t xml:space="preserve">Political Apologies and Reparations Archive (2005.0014.01);
Political Apologies and Reparations Archive (2005.0014.02)
</t>
  </si>
  <si>
    <t>Political Apologies and Reparations Archive (2004.0085.09 - Updated);
Political Apologies and Reparations Archive (2004.0085.12 - Updated)</t>
  </si>
  <si>
    <t>Political Apologies and Reparations Archive (2006.0118.03);
Political Apologies and Reparations Archive (2006.0118.04)</t>
  </si>
  <si>
    <t>Political Apologies and Reparations Archive (2008.0025.03);
Political Apologies and Reparations Archive (2008.0025.04)</t>
  </si>
  <si>
    <t>Political Apologies and Reparations Archive (2005.0289.01 - Updated);
Transitional Justice Evaluation Tools (ID: 71)</t>
  </si>
  <si>
    <t xml:space="preserve">Peace Agreements Database (ID: 538);
Political Apologies and Reparations Archive (2005.0031.01);
Political Apologies and Reparations Archive (2005.0031.02);
Political Apologies and Reparations Archive (2005.0031.04);
Political Apologies and Reparations Archive (2005.0031.05);
Political Apologies and Reparations Archive (2005.0031.06);
Political Apologies and Reparations Archive (2005.0031.07);
Political Apologies and Reparations Archive (2005.0031.08);
Political Apologies and Reparations Archive (2005.0031.09);
Political Apologies and Reparations Archive (2005.0031.10);
Political Apologies and Reparations Archive (2005.0031.11);
Political Apologies and Reparations Archive (2005.0031.12);
Political Apologies and Reparations Archive (2005.0031.13);
Political Apologies and Reparations Archive (2005.0031.14);
Political Apologies and Reparations Archive (2006.0092.01);
Transitional Justice Database (ID: 505)
</t>
  </si>
  <si>
    <t>Political Apologies and Reparations Archive (2005.0097.01 - Updated);
Transitional Justice Database (ID: 80);
Transitional Justice Evaluation Tools (ID: 124)</t>
  </si>
  <si>
    <t>Political Apologies and Reparations Archive (2005.0063.03 - As background information);
Transitional Justice Evaluation Tools (ID: 123)</t>
  </si>
  <si>
    <t>Political Apologies and Reparations Archive (2005.0063.03 - As background information);
Transitional Justice Evaluation Tools (ID: 122)</t>
  </si>
  <si>
    <t>Reparations in the United States;
Transitional Justice Data Base (ID: 81)</t>
  </si>
  <si>
    <t>Political Apologies and Reparations Archive (2006.0016.01);
Political Apologies and Reparations Archive (2008.0005.02);
Transitional Justice Data Base (ID: 82)</t>
  </si>
  <si>
    <t>Transitional Justice Evaluation Tools (ID: 57)</t>
  </si>
  <si>
    <t>Transitional Justice Data Base (ID: 165)</t>
  </si>
  <si>
    <t>Transitional Justice Data Base (ID: 204);
Transitional Justice Evaluation Tools (ID: 66)</t>
  </si>
  <si>
    <t>Political Apologies and Reparations Archive (2005.0088.01 - Updated);
Transitional Justice Data Base (ID: 207);
Transitional Justice Evaluation Tools (ID: 67)</t>
  </si>
  <si>
    <t>Political Apologies and Reparations Archive (2006.0041.01);
Political Apologies and Reparations Archive (2010.0011.01);
Transitional Justice Database (ID: 353)</t>
  </si>
  <si>
    <t>Transitional Justice Data Base (ID: 354)</t>
  </si>
  <si>
    <t>Political Apologies and Reparations Archive (2005.0137.01);
Transitional Justice Evaluation Tools (ID: 79)</t>
  </si>
  <si>
    <t>Peace Accords Matrix (ID: 1);
Transitional Justice Evaluation Tools (ID: 62)</t>
  </si>
  <si>
    <t xml:space="preserve">Peace Accords Matrix (ID: 32);
Transitional Justice Evaluation Tools (ID: 133)
</t>
  </si>
  <si>
    <t>The Nuhanovic Foundation's Reparations Database;
Transitional Justice Evaluation Tools (ID: 93)</t>
  </si>
  <si>
    <t>Political Apologies and Reparations Archive (2006.0005.01 - Updated);
Political Apologies and Reparations Archive (2010.0034.01)</t>
  </si>
  <si>
    <t>Transitional Justice Data Base (ID: 910);
Transitional Justice Evaluation Tools (ID: 108)</t>
  </si>
  <si>
    <t>Transitional Justice Evaluation Tools (ID: 75)</t>
  </si>
  <si>
    <t>Transitional Justice Data Base (ID: 576)</t>
  </si>
  <si>
    <t>Transitional Justice Data Base (ID: 595);
Transitional Justice Evaluation Tools (ID: 84)</t>
  </si>
  <si>
    <t>Transitional Justice Database (ID: 640);
Transitional Justice Evaluation Tools (ID: 76)</t>
  </si>
  <si>
    <t>Political Apologies and Reparations Archive (2005.0286.01 - Updated);
Political Apologies and Reparations Archive (2010.0023.01 - Updated);
Transitional Justice Evaluation Tools (ID: 77)</t>
  </si>
  <si>
    <t>ICC Legal Tools Database (External ID: ICC-CPI-20170324-PR1288);
The Nuhanovic Foundation's Reparations Database</t>
  </si>
  <si>
    <t>ICC Legal Tools Database (External ID: ICC-01/12-01/15-236);
The Nuhanovic Foundation's Reparations Database</t>
  </si>
  <si>
    <t>ICC Legal Tools Database (External ID: ICC-01/04-01/06-2904);
The Nuhanovic Foundation's Reparations Database</t>
  </si>
  <si>
    <t>ICC Legal Tools Database (External ID: ICC-01/04-02/06-2659);
The Nuhanovic Foundation's Reparations Database</t>
  </si>
  <si>
    <t>ICC Legal Tools Database (External ID: ICC-02/04-01/15-2074);
The Nuhanovic Foundation's Reparations Database</t>
  </si>
  <si>
    <t>Transitional Justice Evaluation Tools (ID: 105)</t>
  </si>
  <si>
    <t>Political Apologies and Reparations Archive (2012.0001.01);
The Nuhanovic Foundation's Reparations Database</t>
  </si>
  <si>
    <t>Political Apologies and Reparations Archive (2013.0023.01 - Updated);
The Nuhanovic Foundation's Reparations Database</t>
  </si>
  <si>
    <t>Transitional Justice Data Base (ID: 749);
Transitional Justice Evaluation Tools (ID: 60 - Updated)</t>
  </si>
  <si>
    <t>Political Apologies and Reparations Archive (2005.0127.01 - Updated);
Transitional Justice Data Base (ID: 765);
Transitional Justice Evaluation Tools (ID: 64)</t>
  </si>
  <si>
    <t>Transitional Justice Evaluation Tools (ID: 89);
Transitional Justice Evaluation Tools (ID: 90)</t>
  </si>
  <si>
    <t>Peace Accords Matrix;
Transitional Justice Evaluation Tools (ID: 86)</t>
  </si>
  <si>
    <t>Peace Accords Matrix;
Transitional Justice Evaluation Tools (ID: 107)</t>
  </si>
  <si>
    <t>Political Apologies and Reparations Archive (2006.0045.01);
Transitional Justice Data Base (ID: 899);
Transitional Justice Evaluation Tools (ID: 87)</t>
  </si>
  <si>
    <t>Political Apologies and Reparations Archive (2005.0200.02 - Updated);
Transitional Justice Evaluation Tools (ID: 70);
Transitional Justice Evaluation Tools (ID: 146)</t>
  </si>
  <si>
    <t>Transitional Justice Data Base (ID: 979);
Transitional Justice Evaluation Tools (ID: 128)</t>
  </si>
  <si>
    <t>Political Apologies and Reparations Archive (2005.0229.01);
Political Apologies and Reparations Archive (2010.0010.01)</t>
  </si>
  <si>
    <t>Political Apologies and Reparations Archive (2005.0049.01);
Political Apologies and Reparations Archive (2005.0049.02);
Political Apologies and Reparations Archive (2005.0049.03)</t>
  </si>
  <si>
    <t>Political Apologies and Reparations Archive (2005.0024.01 - Updated);
Political Apologies and Reparations Archive (2013.0010.02);
The Nuhanovic Foundation's Reparations Database</t>
  </si>
  <si>
    <t>Political Apologies and Reparations Archive (2010.0041.01 - Updated);
Political Apologies and Reparations Archive (2010.0041.03)</t>
  </si>
  <si>
    <t>Political Apologies and Reparations Archive (2004.0052.01 - Updated);
Political Apologies and Reparations Archive (2004.0052.02 - Updated)</t>
  </si>
  <si>
    <t>Political Apologies and Reparations Archive (2004.0002.01 - Updated);
Political Apologies and Reparations Archive (2004.0002.02 - Updated);
Reparations in the United States</t>
  </si>
  <si>
    <t xml:space="preserve">Political Apologies and Reparations Archive (2004.0111.01);
Political Apologies and Reparations Archive (2005.0210.01);
Political Apologies and Reparations Archive (2006.0056.01);
Reparations in the United States
</t>
  </si>
  <si>
    <t>Political Apologies and Reparations Archive (2005.0036.01 - As background information);
Political Apologies and Reparations Archive (2005.0228.01)</t>
  </si>
  <si>
    <t>Political Apologies and Reparations Archive (2004.0020.01);
Political Apologies and Reparations Archive (2004.0020.02)</t>
  </si>
  <si>
    <t>Political Apologies and Reparations Archive (2004.0021.01);
Political Apologies and Reparations Archive (2004.0021.02)</t>
  </si>
  <si>
    <t>Political Apologies and Reparations Archive (2006.0132.01 - Updated);
Political Apologies and Reparations Archive (2006.0132.02 - Updated);
Political Apologies and Reparations Archive (2006.0132.03 - Updated);
Political Apologies and Reparations Archive (2014.0008.01)</t>
  </si>
  <si>
    <t>Political Apologies and Reparations Archive (2010.0031.01);
The Nuhanovic Foundation's Reparations Database</t>
  </si>
  <si>
    <t>Political Apologies and Reparations Archive (2008.0002.02);
Political Apologies and Reparations Archive (2008.0002.03)</t>
  </si>
  <si>
    <t>Political Apologies and Reparations Archive (2013.0019.01 - Updated)</t>
  </si>
  <si>
    <t>Political Apologies and Reparations Archive (2004.0006.01 - Updated);
Political Apologies and Reparations Archive (2004.0006.02 - Updated);
Political Apologies and Reparations Archive (2004.0006.03 - Updated);
Reparations in the United States;
Transitional Justice Evaluation Tools (ID: 101)</t>
  </si>
  <si>
    <t>Transitional Justice Evaluation Tools (ID: 102);
Reparations in the United States</t>
  </si>
  <si>
    <t>Political Apologies and Reparations Archive (2005.0052.01);
Political Apologies and Reparations Archive (2005.0052.07 - Updated);
Political Apologies and Reparations Archive (2005.0324.01 - Updated)</t>
  </si>
  <si>
    <t>Transitional Justice Evaluation Tools (ID: 63)</t>
  </si>
  <si>
    <t>LAW No. 9235, dated 29.07.2004;
Ministry of Foreign Affairs of Romania</t>
  </si>
  <si>
    <t>The Stolen Wages Reparations Taskforce;
The State of Queensland (Department of Aboriginal and Torres Strait Islander Partnerships)</t>
  </si>
  <si>
    <t>Stolen Generations of Aboriginal Children Act 2006 (Tas);
Stolen Generations Reparations Steering Committee</t>
  </si>
  <si>
    <t>Government of Western Australia;
Parliament of Australia</t>
  </si>
  <si>
    <t>New South Wales Government;
The Parliament of New South Wales</t>
  </si>
  <si>
    <t>Australian Government: National Redress Scheme - Providing support for people who have experienced institutional child sexual abuse;
Australian Government's Transparency Portal</t>
  </si>
  <si>
    <t>Victorian Government;
Premier of Victoria (State Government of Victoria)</t>
  </si>
  <si>
    <t>Parliament of Austria;
Claims Conference</t>
  </si>
  <si>
    <t>Government of Canada, National Association of Japanese Canadians;
Embassy of Japan in Canada</t>
  </si>
  <si>
    <t>Government of Canada;
Aboriginal Healing Foundation</t>
  </si>
  <si>
    <t>Law on the Rights of Victims of Sexual Violence during the Armed Aggression against the Republic of Croatia in the Homeland Warm;
Government of the Republic of Croatia</t>
  </si>
  <si>
    <t>National Reparation Program (PNR): Governmental Agreement 258-2003;
20 Years of the PNR: Impact of the National Reparation Program for victims of the armed conflict in Guatemala</t>
  </si>
  <si>
    <t>Claims Conference;
Jewish Telegraphic Agency</t>
  </si>
  <si>
    <t>Memorandum of Understanding (MoU);
Aceh: So Far, So Good,” International Crisis Group Asia Briefing N°44, December 13, 2005</t>
  </si>
  <si>
    <t>The United Nations Compensation Commission;
United Nations Security Council Resolution 687;
Report of the Secretary-General Pursuant to Paragraph 19 of Security Council Resolution 687 (1991);
United Nations Security Council Resolution 692;
Letter Dated 30 May 1991 from the Secretary-General Addressed to the President of the Security Council;
United Nations Security Council Resolution 705;
United Nations Security Council Resolution 706;
United Nations Security Council Resolution 986;
United Nations Security Council Resolution 1330;
United Nations Security Council Resolution 1483;
United Nations Security Council Resolution 1546</t>
  </si>
  <si>
    <t>Government of Ireland (Remembrance Commission);
The Remembrance Commission and Scheme of Acknowledgement, Remembrance, and Assistance for Victims in this Jurisdiction of the Conflict in Northern Ireland</t>
  </si>
  <si>
    <t>International Center for Transitional Justice (Summary of the Final Report of the Equity and Reconciliation Commission);
The Independent Arbitration Commission</t>
  </si>
  <si>
    <t>International Criminal Court (ICC);
Trust Fund for Victims (TFV)</t>
  </si>
  <si>
    <t>International Organization for Migration (IOM): Report on Mapping Exercise and Preliminary Gap Analysis of the Interim Relief and Rehabilitation Programme;
International Center for Transitional Justice (ICTJ): Relief, Reparations, and the Root Causes of Conflict in Nepal</t>
  </si>
  <si>
    <t>Ley No 838/96 que indemniza a víctimas de violaciones de derechos humanos durante la dictadura de 1954 a 1989;
Ministerio de Economia y Finanzas (Paraguay)</t>
  </si>
  <si>
    <t>Human Rights Victims Reparation and Recognition Act of 2013 (Republic Act No. 10368) - (Full Title AN ACT PROVIDING FOR REPARATION AND RECOGNITION OF HUMAN RIGHTS VIOLATIONS DURING THE MARCOS REGIME, DOCUMENTATION OF SAID VIOLATIONS, APPROPRIATING FUNDS THEREFOR AND FOR OTHER PURPOSES.);
Senate of the Philippines</t>
  </si>
  <si>
    <t xml:space="preserve">Law No. 2/1998 of 22 January 1998 Establishing a national Assistance Fund for Needy Victims of Genocide and Massacres Committed in Rwanda Between 1 October 1990 and 31 December 1994. Created the Genocide Survivors Assistance Fund (FARG);
Law N° 69/2008 Of 30/12/2008 Relating To The Establishment Of The Fund For The Support And Assistance To The Survivors Of The Genocide Against The Tutsi And Other Crimes Against Humanity Committed Between 1st October 1990 And 31st December 1994, And Determining Its Organisation, Competence And Functioning. </t>
  </si>
  <si>
    <t>Government of the UK;
Victims' Payments Board</t>
  </si>
  <si>
    <t>U.S. Public Law 94-34;
U.S. Public Law 94-348</t>
  </si>
  <si>
    <t>U.S. Public Law # 97-257;
U.S. Public Law # 100-446</t>
  </si>
  <si>
    <t>Cobell Settlement;
U.S. Department of the Interior</t>
  </si>
  <si>
    <t>September 11th Victim Compensation Fund;
September 11th Victim Compensation Fund (Annual Report 2024)</t>
  </si>
  <si>
    <t>N.C. Department of Administration;
Eugenics Compensation Program</t>
  </si>
  <si>
    <t>12VAC35-240. Eugenics Sterilization Compensation Program;
Stern AM, Novak NL, Lira N, O'Connor K, Harlow S, Kardia S. California's Sterilization Survivors: An Estimate and Call for Redress. Am J Public Health. 2017 Jan;107(1):50-54. doi: 10.2105/AJPH.2016.303489. Epub 2016 Nov 17. PMID: 27854540; PMCID: PMC5308144.</t>
  </si>
  <si>
    <t>California's Victim Compensation Board;
Government of California</t>
  </si>
  <si>
    <t>Associazione Nazionale Venezia Giulia e Dalmazia;
Deutsche Welle (dw.com);
Transitional Justice in Albania (OSCE);
Balkan Transitional Justice</t>
  </si>
  <si>
    <t>Canada: Immigration and Refugee Board of Canada, Algeria: The Charter for Peace and National Reconciliation and the evolution of the violence in Algeria, 24 October 2006, DZA101674.FE, available at: https://www.refworld.org/docid/46fb72f6a.html [accessed 18 May 2023];
United States Institute of Peace;
CENTRE FOR THE STUDY OF VIOLENCE AND RECONCILIATION (CSVR)</t>
  </si>
  <si>
    <t>Report of the Reparation &amp; Rehabilitation Committee -  THE ARGUMENT FOR REPARATION: COMPARAT IVE AND CUSTOMARY LAW (Volum e 6, Section 2, Chapter 3);
infobae.com</t>
  </si>
  <si>
    <t>Oxford Public International Law;
The Guardian;
BBC News;
Wikipedia</t>
  </si>
  <si>
    <t>Australian Human Rights Commission;
The Guardian</t>
  </si>
  <si>
    <t>Care Leavers Australia Network;
Find &amp; Connect</t>
  </si>
  <si>
    <t>BBC News;
Tindall Gask Bentley Lawyers (tgb);
Wikipedia</t>
  </si>
  <si>
    <t>Deutsche Welle (dw.com);
The Washington Post;
Australian Human Rights Commission</t>
  </si>
  <si>
    <t>The New York Times;
JTA Daily News Bulletin</t>
  </si>
  <si>
    <t>Israel Insider;
Jewish Virtual Library</t>
  </si>
  <si>
    <t>PR Newswire;
Al Bawaba (www.albawaba.com)</t>
  </si>
  <si>
    <t>Middle East Monitor;
Iran Front Page;
Press TV</t>
  </si>
  <si>
    <t>BBC News;
Brussels Times</t>
  </si>
  <si>
    <t>World Jewish Congress;
Institute for Jewish Policy Research (JPR)</t>
  </si>
  <si>
    <t>BBC News;
Forbes</t>
  </si>
  <si>
    <t>Center for Justice and Accountability;
Midland Reporter-Telegram;
International Crimes Database</t>
  </si>
  <si>
    <t>Reuters;
CE Noticias Financieras</t>
  </si>
  <si>
    <t>The New York Times;
CNBC;
Euractiv</t>
  </si>
  <si>
    <t>CNBC;
Wikipedia</t>
  </si>
  <si>
    <t>Open Society Foundations;
Justice Info;
Amnesty International</t>
  </si>
  <si>
    <t>West Africa Democracy Radio;
Africa News</t>
  </si>
  <si>
    <t>Infected Blood Inquiry;
The Canadian Encyclopedia</t>
  </si>
  <si>
    <t>Nunatsiaq News;
The Globe and Mail;
CBC News</t>
  </si>
  <si>
    <t>Wikipedia;
The Canadian Encyclopedia</t>
  </si>
  <si>
    <t>The Canadian Encyclopedia;
Canada's Human Rights History</t>
  </si>
  <si>
    <t>The Canadian Encyclopedia;
CBC News</t>
  </si>
  <si>
    <t>CBC News;
Broadview</t>
  </si>
  <si>
    <t>CBC News;
The Canadian Encyclopedia;
Wikipedia</t>
  </si>
  <si>
    <t>Infected Blood Inquiry;
Wikipedia</t>
  </si>
  <si>
    <t>The Canadian Encyclopedia;
Canada's Human Rights History;
CBC News</t>
  </si>
  <si>
    <t>Cnews;
Reuters;
Amnesty International;
The Canadian Encyclopedia</t>
  </si>
  <si>
    <t>CBC News;
Briarpatch Magazine</t>
  </si>
  <si>
    <t>The Canadian Encyclopedia;
kettlepoint.org</t>
  </si>
  <si>
    <t>CBC News;
BBC News;
The Canadian Encyclopedia</t>
  </si>
  <si>
    <t>The New York Times;
The Canadian Encyclopedia</t>
  </si>
  <si>
    <t>CBC News;
Fraser Institute</t>
  </si>
  <si>
    <t>The New York Times;
BBC News</t>
  </si>
  <si>
    <t>Afro impact;
Amnesty International;
ICJ – International Commission of Jurists</t>
  </si>
  <si>
    <t>United States Institute of Peace;
International Center for Transitional Justice;
Naharnet</t>
  </si>
  <si>
    <t>NBC News;
Inter Press Service News Agency (IPS);
International Center for Transitional Justice</t>
  </si>
  <si>
    <t>The Guardian;
REDRESS</t>
  </si>
  <si>
    <t>The New York Times;
EveryCRSReport.com;
Wikipedia</t>
  </si>
  <si>
    <t>International Center for Transitional Justice (ICTJ);
Wikipedia</t>
  </si>
  <si>
    <t>BBC News;
Opinio Juris</t>
  </si>
  <si>
    <t>The New York Times;
U.S. Department of State</t>
  </si>
  <si>
    <t>The Washington Post;
Le Monde;
BBC News;
NPR</t>
  </si>
  <si>
    <t xml:space="preserve">Le Monde;
The Guardian;
The Harkis
</t>
  </si>
  <si>
    <t>White, Eugene (1999) : Making the French Pay: The Costs and Consequences
of the Napoleonic Reparations, Working Paper, No. 1999-24, Rutgers University, Department of
Economics, New Brunswick, NJ;
Greiff, Pablo de (ed.), The Handbook of Reparations (Oxford, 2006; online edn, Oxford Academic, 1 May 2006), https://doi.org/10.1093/0199291926.001.0001;
Hinrichsen S. When Nations Can’t Default: A History of War Reparations and Sovereign Debt. Cambridge University Press; 2023</t>
  </si>
  <si>
    <t>Jewish Telegraphic Agency;
JTA Daily News Bulletin;
Lawfare Media;
The Handbook of Reparations / edited by Pablo De Greiff (2006)</t>
  </si>
  <si>
    <t>JTA Daily News Bulletin;
Lawfare Media;
The Handbook of Reparations / edited by Pablo De Greiff (2006)</t>
  </si>
  <si>
    <t>BBC News;
The Guardian</t>
  </si>
  <si>
    <t>Deutsche Welle (dw.com);
Claims Conference</t>
  </si>
  <si>
    <t>Deutsche Welle (dw.com);
BBC News;
Independent;
them.us</t>
  </si>
  <si>
    <t>BBC News;
RFI</t>
  </si>
  <si>
    <t>The Guardian;
BBC News;
Justice Info</t>
  </si>
  <si>
    <t>The Guardian;
Al Jazeera;
The North Africa Post</t>
  </si>
  <si>
    <t>Ghana Web;
Modern Ghana;
United States Institute of Peace (Truth Commission: Ghana);
The New Humanitarian;
African Transitional Justice Hub</t>
  </si>
  <si>
    <t>Bretton Woods Project;
International Rivers</t>
  </si>
  <si>
    <t>The Washington Post;
Justice Info</t>
  </si>
  <si>
    <t>Amnesty International;
BBC News;
International Center for Transitional Justice;
International Crisis Group;
Conciliation Resources</t>
  </si>
  <si>
    <t>Aljazeera;
NewsBank</t>
  </si>
  <si>
    <t>Politico;
Anadolu Agency</t>
  </si>
  <si>
    <t>The Times of Israel;
i24NEWS;
Ynet Global</t>
  </si>
  <si>
    <t>The New York Times;
China Internet Information Center</t>
  </si>
  <si>
    <t>Japan National Assembly of Disabled Peoples’ International (DPI-Japan);
The Guardian</t>
  </si>
  <si>
    <t xml:space="preserve">CNN World News;
Japan National Assembly of Disabled Peoples’ International (DPI-Japan) </t>
  </si>
  <si>
    <t>Korea JoongAng Daily;
dongA.com</t>
  </si>
  <si>
    <t>PM News;
Freedom House</t>
  </si>
  <si>
    <t>Kreindler &amp; Kreindler LLP;
ABC News</t>
  </si>
  <si>
    <t>NBC News;
BBC News;
ABC News;
The New York Times</t>
  </si>
  <si>
    <t>The Guardian;
Human Rights Watch</t>
  </si>
  <si>
    <t>Business Standard;
Nepal News</t>
  </si>
  <si>
    <t>Anadolu Agency (AA);
Balkan Investigative Reporting Network (BIRN);
TVP World</t>
  </si>
  <si>
    <t>Stanford University;
The Guardian</t>
  </si>
  <si>
    <t>AP News;
Radio New Zealand</t>
  </si>
  <si>
    <t>Vanguard Media Limited;
VOA News;
The Nation Newspaper;
AllAfrica;
Wikipedia</t>
  </si>
  <si>
    <t>IPS News;
International Center for Transitional Justice;
Wikipedia;
Reparations, Responsibility &amp; Victimhood in Transitional Societies</t>
  </si>
  <si>
    <t>VOA News;
PhilStar;
Asia Justice &amp; Rights (AJAR);
Aithor</t>
  </si>
  <si>
    <t>Radio Free Europe/Radio Liberty;
Justice Info</t>
  </si>
  <si>
    <t>ReliefWeb;
Survivors Fund</t>
  </si>
  <si>
    <t>BBC News;
The New York Times;
Vox;
National African-American Reparations Commission (NAARC)</t>
  </si>
  <si>
    <t>BBC News;
elDiario.es</t>
  </si>
  <si>
    <t>The Sunday Times;
The Island</t>
  </si>
  <si>
    <t>U.S. Department of State;
Conciliation Resources</t>
  </si>
  <si>
    <t>Caribbean Net News;
Mail &amp; Guardian</t>
  </si>
  <si>
    <t>The Guardian;
www.loc.gov;
Deseret News;,
Los Angeles Times;
"Compensation to Romani/Taters subjected to coercive sterilization" (Report of working group - Submitted to the Ministry of Local Government and Regional Development, August 2003)</t>
  </si>
  <si>
    <t>VOA News;
The Nation</t>
  </si>
  <si>
    <t>BBC News;
The Guardian;
The Christian Science Monitor</t>
  </si>
  <si>
    <t>Mail &amp; Guardian;
BBC News</t>
  </si>
  <si>
    <t>The Guardian;
Forces News;
ReliefWeb</t>
  </si>
  <si>
    <t>The Guardian;
BBC News;
Deutsche Welle (dw.com);
The New York Times;
Maclean's;
Kenya Human Rights Commission (KHRC);
The Standard</t>
  </si>
  <si>
    <t>Reuters;
BBC News</t>
  </si>
  <si>
    <t>BBC News;
Forces News</t>
  </si>
  <si>
    <t>Harry S. Truman Library and Museum;
EBSCO</t>
  </si>
  <si>
    <t>The U.S. National Archives and Records Administration;
The National WWII Museum - New Orleans;
The Atlantic;
Densho Encyclopedia</t>
  </si>
  <si>
    <t>The Guardian;
Jet</t>
  </si>
  <si>
    <t>EveryCRSReport.com;
Wikipedia</t>
  </si>
  <si>
    <t>EveryCRSReport.com;
Federation of Southern Cooperatives, Press Release;
Investigate Midwest;
Wikipedia</t>
  </si>
  <si>
    <t>The New York Times;
CBS News</t>
  </si>
  <si>
    <t>The Seattle Times;
The Washington Post</t>
  </si>
  <si>
    <t>US Newswire;
The Week</t>
  </si>
  <si>
    <t xml:space="preserve">ABC News;
NPR;
Lozier Institute;
WUNC;
The News &amp; Observer
</t>
  </si>
  <si>
    <t>Encyclopedia Virginia;
Reuters;
The Washington Post</t>
  </si>
  <si>
    <t>The Marshall Project;
WTTW News</t>
  </si>
  <si>
    <t>The Honolulu Star-Advertiser;
The New York Times;
dawn.com;
Guampedia;
Stars and Stripes</t>
  </si>
  <si>
    <t>The Root;
The New York Times</t>
  </si>
  <si>
    <t xml:space="preserve">Patch;
NBC News;
WTTW (Window to the World) </t>
  </si>
  <si>
    <t>CNBC;
BBC News;
The Economic Times</t>
  </si>
  <si>
    <t>GoodAuthority.org;
Mongabay</t>
  </si>
  <si>
    <t>KQED.org;
Engage Palm Springs</t>
  </si>
  <si>
    <t>The Mail &amp; Guardian;
ZimLive.com;
Bulawayo24;
Centre for Innovation and Technology</t>
  </si>
  <si>
    <t>Deutsche Welle;
VOA News</t>
  </si>
  <si>
    <t>Reuters;
Al Jazeera;
BBC News;
The Guardian</t>
  </si>
  <si>
    <t>world_war_ii_reparations, reparations, bulgaria, yugoslavia, yugoslav, treaty, bulgarian, treaties, greece, usd</t>
  </si>
  <si>
    <t>nova_scotia_home_for_colored_children, scotia, halifax, orphanage, discrimination, provincial, lawsuit, lawsuits, victims, racism</t>
  </si>
  <si>
    <t>reparations, holocaust, banks, vichy, jews, bank, nazi, jewish, theft, genocide</t>
  </si>
  <si>
    <t>reparations, payments, 1945, israel, forfeitures, germany, monetary, allied, dollars, pays</t>
  </si>
  <si>
    <t>reparations, hungary, yugoslavia, romania, bulgaria, payments, treaty, czechslovakia, dollars, monetary</t>
  </si>
  <si>
    <t>treaty_of_paris_between_italy_and_the_allied_powers, reparations, reparation, treaty, treaties, italy, usd, yugoslavia, 1947, dollar</t>
  </si>
  <si>
    <t>leprosy, leper, lepers, sterilisation, sterilization, treatment, disease, sterilized, restitution, japanese</t>
  </si>
  <si>
    <t>reparations, romania, bulgaria, hungary, payments, treaty, finland, owes, monetary, soviet</t>
  </si>
  <si>
    <t>compensation, victims, ireland, payments, irish, troubles, victim, bereavement, payment, paid, total</t>
  </si>
  <si>
    <t>afghanistan, reparations, compensation, civilians, iraq, payments, civilian, war, military, thousands</t>
  </si>
  <si>
    <t>maltreatment, ireland, abuse, compensation, suffered, institutions, redress, charity, institutional, payments</t>
  </si>
  <si>
    <t>compensation, ireland, claimants, payments, irish, claims, total, defence, british, paid</t>
  </si>
  <si>
    <t>victimspaymentsboard, payments, ireland, the_troubles, payment, troubles, victims, irish, 2021, troubled</t>
  </si>
  <si>
    <t>gunfire, bloody, violence, ireland, shot, donnell, damages, victim, patsy, Sunday</t>
  </si>
  <si>
    <t>herbicide, herbicides, orange, lawsuit, vietnam, contaminants, pollutant, litigation, dioxin, chemical</t>
  </si>
  <si>
    <t>lawsuit, discrimination, litigation, plaintiffs, pigford, settlement, discriminated, claimant, claims, claimants</t>
  </si>
  <si>
    <t>virginia_tech_shooting, virginiatech, victims, donations, shooting, virginia, hokie, shootings, memorial, USA, United States</t>
  </si>
  <si>
    <t>virginia_tech_shooting, victims, shooting, virginia, shootings, survivors, settlement, wounded, court, harm</t>
  </si>
  <si>
    <t>virginia_tech_shooting, jurors, victims, virginia, shooting, lawsuit, shootings, wounded, campus, harm</t>
  </si>
  <si>
    <t xml:space="preserve">www.nytimes.com: http://web.archive.org/web/20120109073511/http://www.nytimes.com/2008/11/24/us/24braceros.html?scp=1&amp;sq=braceros&amp;st=cse [09 January 2012]
calmatters.org:
https://web.archive.org/web/20250613235622/https://calmatters.org/california-divide/2019/11/time-is-running-out-for-the-braceros/ [13 June 2025]
</t>
  </si>
  <si>
    <t>https://www.gov.uk/government/news/payment-scheme-for-former-british-child-migrants,
https://www.bbc.com/news/uk-46625762,
https://register-of-charities.charitycommission.gov.uk/en/charity-search?p_p_id=uk_gov_ccew_onereg_charitydetails_web_portlet_CharityDetailsPortlet&amp;p_p_lifecycle=2&amp;p_p_state=maximized&amp;p_p_mode=view&amp;p_p_resource_id=%2Faccounts-resource&amp;p_p_cacheability=cacheLevelPage&amp;_uk_gov_ccew_onereg_charitydetails_web_portlet_CharityDetailsPortlet_objectiveId=A15616595&amp;_uk_gov_ccew_onereg_charitydetails_web_portlet_CharityDetailsPortlet_priv_r_p_mvcRenderCommandName=%2Faccounts-and-annual-returns&amp;_uk_gov_ccew_onereg_charitydetails_web_portlet_CharityDetailsPortlet_priv_r_p_organisationNumber=5070038</t>
  </si>
  <si>
    <t>https://www.nytimes.com/1995/11/02/world/world-news-briefs-elizabeth-ii-to-approve-maori-land-settlement.html,
https://www.stuff.co.nz/waikato-times/news/130785206/latest-waikatotainui-treaty-settlement-payment-takes-iwi-total-to-390-million#:~:text=Stuff%20Daily,of%20the%20total%20$390%20million.,
https://nzhistory.govt.nz/page/waikato-tainui-sign-deed-settlement-crown</t>
  </si>
  <si>
    <t>www.nytimes.com:
https://web.archive.org/web/20250411142522/https://www.nytimes.com/1995/11/02/world/world-news-briefs-elizabeth-ii-to-approve-maori-land-settlement.html [11 April 2025]
www.stuff.co.nz:
https://web.archive.org/web/20221221123916/https://www.stuff.co.nz/waikato-times/news/130785206/latest-waikatotainui-treaty-settlement-payment-takes-iwi-total-to-390-million [21 December 2022]
nzhistory.govt.nz:
https://web.archive.org/web/20240719090943/https://nzhistory.govt.nz/page/waikato-tainui-sign-deed-settlement-crown [19 July 2024]</t>
  </si>
  <si>
    <t>sabctrc.saha.org.za:
Not available. The REPAIR team archived a snapshot of the source for reference and documentation.</t>
  </si>
  <si>
    <t>sabctrc.saha.org.za:
Not available. The REPAIR team archived a snapshot of the source for reference and documentation.
www.argentina.gob.ar:
https://web.archive.org/web/20250619200639/https://www.argentina.gob.ar/normativa/nacional/ley-24411-793/actualizacion [19 June 2025]
www.infobae.com:
https://web.archive.org/web/20240807192914/https://www.infobae.com/opinion/2024/05/07/las-indemnizaciones-que-va-a-auditar-el-ministro-cuneo-libarona/ [07 August 2024]</t>
  </si>
  <si>
    <t>www.economist.com: http://web.archive.org/web/20080524213627/http://www.economist.com:80/specialreports/displaystory.cfm?story_id=10128840 [24 May 2008]
academic.oup.com: http://web.archive.org/web/20240227214533/https://academic.oup.com/book/50603/chapter-abstract/421294291?redirectedFrom=fulltext [27 February 2024]
www.parlinkom.gv:
Not available. The REPAIR team archived a snapshot of the source for reference and documentation.
www.nationalfonds.org:
https://web.archive.org/web/20230802213621/https://www.nationalfonds.org/files/content/documents/nf/Medieninformation_EN_10_09_2015_web.pdf [02 August 2023]
www.parlament.gv.at: http://web.archive.org/web/20250603174949/https://www.parlament.gv.at/en/services/national-fund/index.html [03 June 2025]</t>
  </si>
  <si>
    <t>www.reuters.com: http://web.archive.org/web/20250308215118/https://www.reuters.com/business/energy/bhp-reaches-30-bln-settlement-reparation-brazil-dam-failure-2024-10-25/ [08 March 2025]
www.bhp.com: http://web.archive.org/web/20250904071737/https://www.bhp.com/what-we-do/global-locations/brazil/samarco-reparations [04 September 2025]
advance.lexis.com
Not available. The REPAIR team archived a snapshot of the source for reference and documentation.</t>
  </si>
  <si>
    <t>www.nytimes.com:
https://web.archive.org/web/20250816054053/https://www.nytimes.com/1988/09/23/world/ottawa-will-pay-compensation-to-uprooted-japanese-canadians.html [16 August 2025]
www.canadianheritage.gc.ca: http://web.archive.org/web/20071222193212/http://www.canadianheritage.gc.ca/progs/em-cr/eval/archive/2002_18/7_e.cfm [22 December 2007]
www.ca.emb-japan.go.jp:
Not available. The REPAIR team archived a snapshot of the source for reference and documentation.
www.bundesarchiv.de:
https://web.archive.org/web/20240918073947/https://www.bundesarchiv.de/assets/bundesarchiv/de/Downloads/Beitraege/kriegsfolgenarchivgut-nishiguchi.pdf [18 September 2024]</t>
  </si>
  <si>
    <t>www.premier-ministre.gouv.qc.ca:
Not available. The REPAIR team archived a snapshot of the source for reference and documentation.
www.thecanadianencyclopedia.ca:
https://web.archive.org/web/20241202163809/https://www.thecanadianencyclopedia.ca/en/article/duplessis-orphans [02 December 2024]
historyofrights.ca: http://web.archive.org/web/20250807070602/https://historyofrights.ca/encyclopaedia/main-events/duplessis-orphans/ [07 August 2025]</t>
  </si>
  <si>
    <t>www.redcross.ca:
Not available. The REPAIR team archived a snapshot of the source for reference and documentation.
www.thecanadianencyclopedia.ca: http://web.archive.org/web/20241104084830/https://www.thecanadianencyclopedia.ca/en/article/krever-inquiry [04 November 2024]</t>
  </si>
  <si>
    <t>www.redcross.ca:
Not available. The REPAIR team archived a snapshot of the source for reference and documentation.</t>
  </si>
  <si>
    <t>amnesty.ca: http://web.archive.org/web/20250816160346/https://amnesty.ca/legal-brief/case-maher-arar/ [16 August 2025]
amnesty.ca: http://web.archive.org/web/20250713195518/https://amnesty.ca/features/blog-maher-arar-a-timeline-of-amnesty-internationals-campaigning/ [13 July 2025]
www.thecanadianencyclopedia.ca: http://web.archive.org/web/20241115161917/https://www.thecanadianencyclopedia.ca/en/article/maher-arar-case [15 November 2024]
archive.ph: http://web.archive.org/web/20220524183048/https://archive.ph/20070128130429/http://cnews.canoe.ca/CNEWS/War_Terror/2007/01/26/3453332-cp.html [24 May 2022]
www.reuters.com:
Not available. The REPAIR team archived a snapshot of the source for reference and documentation.</t>
  </si>
  <si>
    <t>natlex.ilo.org:
Not available. The REPAIR team archived a snapshot of the source for reference and documentation.</t>
  </si>
  <si>
    <t>www.bbc.com: http://web.archive.org/web/20250702022115/https://www.bbc.com/news/world-latin-america-48318295 [02 July 2025]
www.rfi.fr:
Not available. The REPAIR team archived a snapshot of the source for reference and documentation.</t>
  </si>
  <si>
    <t>www.reuters.com:
Not available. The REPAIR team archived a snapshot of the source for reference and documentation.
www.irishtimes.com:
https://web.archive.org/web/20250924223557/https://www.irishtimes.com/news/social-affairs/religion-and-beliefs/nuns-who-ran-magdalene-laundries-have-not-contributed-to-redress-for-women-1.4816666 [24 September 2025]</t>
  </si>
  <si>
    <t>www.aljazeera.com: http://web.archive.org/web/20250421145505/https://www.aljazeera.com/news/2005/2/16/israel-clears-compensation-for-settlers [21 April 2025]
nl.newsbank.com
Not available. The REPAIR team archived a snapshot of the source for reference and documentation.</t>
  </si>
  <si>
    <t>www.timesofisrael.com: http://web.archive.org/web/20250815090443/https://www.timesofisrael.com/italian-jewish-leader-says-new-67-million-holocaust-reparations-fund-is-a-joke/ [15 August 2025]
www.reuters.com:
Not available. The REPAIR team archived a snapshot of the source for reference and documentation.</t>
  </si>
  <si>
    <t>www.theglobeandmail.com:
Not available. The REPAIR team archived a snapshot of the source for reference and documentation.
nap.nationalacademies.org: http://web.archive.org/web/20250612080805/https://nap.nationalacademies.org/read/5805/chapter/24 [12 June 2025]</t>
  </si>
  <si>
    <t>documents.un.org:
Not available. The REPAIR team archived a snapshot of the source for reference and documentation.</t>
  </si>
  <si>
    <t>advance.lexis.com:
Not available. The REPAIR team archived a snapshot of the source for reference and documentation.
en.wikipedia.org: http://web.archive.org/web/20250913160634/https://en.wikipedia.org/wiki/2010_San_Fernando_massacre [13 September 2025]</t>
  </si>
  <si>
    <t>news.mn:
Not available. The REPAIR team archived a snapshot of the source for reference and documentation.
bti-project.org:
https://web.archive.org/web/20251006032318/https://bti-project.org/en/reports/country-report/MNG [06 October 2025]</t>
  </si>
  <si>
    <t>www.justiceinfo.net: http://web.archive.org/web/20250423085508/https://www.justiceinfo.net/en/118225-central-african-republic-special-court-first-reparations-decision.html [23 April 2025]
www.justiceinfo.net: http://web.archive.org/web/20250902105508/https://www.justiceinfo.net/en/137103-central-african-republic-reparations-what-victims-say-about-first-payments.html [02 September 2025]
advance.lexis.com:
Not available. The REPAIR team archived a snapshot of the source for reference and documentation.</t>
  </si>
  <si>
    <t>www.iom.int:
Not available. The REPAIR team archived a snapshot of the source for reference and documentation.
www.ictj.org:
https://web.archive.org/web/20240223154104/https://www.ictj.org/sites/default/files/ICTJ-Nepal-Reparations-2012-English.pdf [23 February 2024]</t>
  </si>
  <si>
    <t>www.business-standard.com:
Not available. The REPAIR team archived a snapshot of the source for reference and documentation.
nepalnews.com: http://web.archive.org/web/20250327100146/https://nepalnews.com/s/nation/maintenance-and-scholarship-to-the-families-of-martyrs-of-madhesh-pradesh/ [27 March 2025]</t>
  </si>
  <si>
    <t>www.washingtonpost.com:
Not available. The REPAIR team archived a snapshot of the source for reference and documentation.
nuhanovicfoundation.org: http://web.archive.org/web/20250803183818/https://nuhanovicfoundation.org/database/the-netherlands-district-court-of-the-hague-wisah-binti-silan-and-others-vs-the-state-of-the-netherlands/ [03 August 2025]
indonesiaatmelbourne.unimelb.edu.au: http://web.archive.org/web/20240924082452/https://indonesiaatmelbourne.unimelb.edu.au/forced-atonement-dutch-apologies-and-compensation-for-colonial-era-rights-violations/ [24 September 2024]
en.wikipedia.org: http://web.archive.org/web/20250823144250/https://en.wikipedia.org/wiki/Rawagede_massacre [23 August 2025]</t>
  </si>
  <si>
    <t>www.hsfkramer.com:
Not available. The REPAIR team archived a snapshot of the source for reference and documentation.
www.icj-cij.org:
https://web.archive.org/web/20250830181706/https://www.icj-cij.org/case/150 [30 August 2025]</t>
  </si>
  <si>
    <t>www.vanguardngr.com: http://web.archive.org/web/20230406170446/https://www.vanguardngr.com/2013/02/odi-invasion-court-orders-fg-to-pay-n37-6bn-compensation/ [06 April 2023]
www.voanews.com:
https://web.archive.org/web/20250428225618/https://www.voanews.com/a/nigeria-gpverment-ordered-to-pay-for-human-rights-violations/1607340.html [28 April 2025]
thenationonlineng.net:
https://web.archive.org/web/20240420031128/https://thenationonlineng.net/a-peace-mission-and-a-massacre/ [20 April 2024]
allafrica.com:
Not available. The REPAIR team archived a snapshot of the source for reference and documentation.
en.wikipedia.org:
https://web.archive.org/web/20251024210809/https://en.wikipedia.org/wiki/Odi_massacre [24 October 2025]</t>
  </si>
  <si>
    <t>www.voanews.com:
https://web.archive.org/web/20250426163811/https://www.voanews.com/a/philippines-martial-law-victims-to-receive-reparations/1610111.html [26 April 2025]
www.philstar.com:
https://web.archive.org/web/20180918004624/https://www.philstar.com/headlines/2017/05/09/1692186/martial-law-victims-receive-compensation [18 September 2018]
legacy.senate.gov.ph:
Not available. The REPAIR team archived a snapshot of the source for reference and documentation.
asia-ajar.org:
https://web.archive.org/web/20250805202125/https://asia-ajar.org/resources/books-research/transitional-justice-fact-sheet-countries/ [05 August 2025]
aithor.com:
https://web.archive.org/web/20251003085048/https://aithor.com/essay-examples/impact-of-republic-act-no-10368-on-human-rights-in-the-philippines [03 october 2025]</t>
  </si>
  <si>
    <t>www.refworld.org: http://web.archive.org/web/20250317004839/https://www.refworld.org/legal/legislation/natlegbod/1998/en/27352 [17 March 2025]
www.refworld.org: http://web.archive.org/web/20250317011311/https://www.refworld.org/sites/default/files/attachments/52df99854.pdf [17 March 2025]
reliefweb.int:
Not available. The REPAIR team archived a snapshot of the source for reference and documentation.</t>
  </si>
  <si>
    <t>www.sundaytimes.lk:
Not available. The REPAIR team archived a snapshot of the source for reference and documentation.
island.lk:
https://web.archive.org/web/20250529083640/https://island.lk/highest-amount-of-compensation-ever-paid-in-fr-case-those-affected-by-easter-sunday-carnage-receive-rs-310-million/ [29 May 2025]</t>
  </si>
  <si>
    <t>www.caribbeannewsnow.com:
Not available. The REPAIR team archived a snapshot of the source for reference and documentation.
mg.co.za:
Not available. The REPAIR team archived a snapshot of the source for reference and documentation.</t>
  </si>
  <si>
    <t>www.swissbankclaims.com: http://web.archive.org/web/20240806225716/https://swissbankclaims.com/Documents/Doc_9_Settlement.pdf [06 August 2024]
www.worldjewishcongress.org: http://web.archive.org/web/20160525020824/http://www.worldjewishcongress.org:80/en/news/report-swiss-banks-holocaust-fund-paid-out-1-24-billion-dollars [25 May 2016]
www.swissbankclaims.com: http://web.archive.org/web/20250209173017/https://www.swissbankclaims.com/Overview.aspx.html [09 February 2025]
www.swissbankclaims.com: http://web.archive.org/web/20240625003514/https://www.swissbankclaims.com/New%20Docs/Distribution%20Stats.pdf [25 June 2024]
www.iom.int:
Not available. The REPAIR team archived a snapshot of the source for reference and documentation.
www.claimscon.org: http://web.archive.org/web/20250908083822/https://www.claimscon.org/about/history/closed-programs/swiss-banks-settlement/ [08 September 2025]</t>
  </si>
  <si>
    <t>www.reuters.com:
Not available. The REPAIR team archived a snapshot of the source for reference and documentation.
www.swissinfo.ch: http://web.archive.org/web/20250623145101/https://www.swissinfo.ch/eng/society/forced-placements_compensation-paid-to-6-000-slave-children/44976198 [23 June 2025]
en.wikipedia.org:
http://web.archive.org/web/20250522223902/https://en.wikipedia.org/wiki/Swiss_children_coercion_reparation_initiative [22 May 2025]</t>
  </si>
  <si>
    <t xml:space="preserve">www.gov.uk: http://web.archive.org/web/20240612215346/https://www.gov.uk/government/news/payment-scheme-for-former-british-child-migrants [12 June 2024]
www.bbc.com:
https://web.archive.org/web/20221206141112/https://www.bbc.com/news/uk-46625762 [06 December 2022]
register-of-charities.charitycommission.gov.uk:
Not available. The REPAIR team archived a snapshot of the source for reference and documentation.
</t>
  </si>
  <si>
    <t>www.gov.uk: http://web.archive.org/web/20250222000849/https://www.gov.uk/government/news/northern-ireland-troubles-related-incident-victims-payments-scheme [22 February 2025]
www.independent.co.uk:
https://web.archive.org/web/20251003093918/https://www.independent.co.uk/news/uk/northern-ireland-troubles-great-britain-europe-ireland-b2498151.html [03 October 2025]
www.victimspaymentsboard.org.uk:
Not available. The REPAIR team archived a snapshot of the source for reference and documentation.</t>
  </si>
  <si>
    <t>www.justice.gov: http://web.archive.org/web/20250720024539/https://www.justice.gov/civil/common/reca [20 July 2025]
www.justice.gov:
Not available. The REPAIR team archived a snapshot of the source for reference and documentation.</t>
  </si>
  <si>
    <t>www.southcoasttoday.com:
Not available. The REPAIR team archived a snapshot of the source for reference and documentation.
www.nytimes.com: http://web.archive.org/web/20201108114655/http://www.nytimes.com/1996/11/20/us/us-to-settle-for-4.8-million-in-suits-on-radiation-testing.html [08 November 2020]</t>
  </si>
  <si>
    <t>clinton6.nara.gov:
Not available. The REPAIR team archived a snapshot of the source for reference and documentation.</t>
  </si>
  <si>
    <t>www.newyorklife.com:
Not available. The REPAIR team archived a snapshot of the source for reference and documentation.
nuhanovicfoundation.org:
https://web.archive.org/web/20250712061648/https://nuhanovicfoundation.org/database/us-state-of-california-class-action-lawsuit-settlements-by-heirs-of-the-victims-of-the-armenian-genocide-vs-new-your-life-insurance/ [12 July 2025]
www.armenian-genocide.org:
https://web.archive.org/web/20250811200125/https://www.armenian-genocide.org/News.18/current_category.173/press_detail.html [11 August 2025]</t>
  </si>
  <si>
    <t>releases.usnewswire.com:
Not available. The REPAIR team archived a snapshot of the source for reference and documentation.
theweek.com:
https://web.archive.org/web/20241004084428/https://theweek.com/speedreads/442175/nine-years-later-hurricane-katrina-victims-payouts [04 October 2024]
www.cobellsettlement.com:
https://web.archive.org/web/20250925003553/https://www.cobellsettlement.com/ [25 September 2025]</t>
  </si>
  <si>
    <t>www.theguardian.com:
Not available. The REPAIR team archived a snapshot of the source for reference and documentation.</t>
  </si>
  <si>
    <t>law.lis.virginia.gov: http://web.archive.org/web/20250715093430/https://law.lis.virginia.gov/admincodefull/title12/agency35/chapter240/ [15 July 2025]
encyclopediavirginia.org: http://web.archive.org/web/20250910103438/https://encyclopediavirginia.org/entries/eugenic-sterilization-in-virginia/ [10 September 2025]
www.reuters.com:
Not available. The REPAIR team archived a snapshot of the source for reference and documentation.
www.washingtonpost.com:
https://web.archive.org/web/20191218095209/https://www.washingtonpost.com/opinions/victims-of-forced-sterilization-deserve-a-gesture-of-justice-from-virginia/2016/02/18/d426c2a4-d5bd-11e5-be55-2cc3c1e4b76b_story.html [18 December 2019]
pmc.ncbi.nlm.nih.gov:
https://web.archive.org/web/20250831195144/https://pmc.ncbi.nlm.nih.gov/articles/PMC5308144/ [31 August 2025]
dbhds.virginia.gov: http://web.archive.org/web/20250803013029/https://dbhds.virginia.gov/developmental-services/victimsofeugenics/ [03 August 2025]</t>
  </si>
  <si>
    <t>archives.starbulletin.com: http://web.archive.org/web/20100809011154/http://archives.starbulletin.com/2004/06/10/news/story6.html [09 August 2010]
www.nytimes.com: http://web.archive.org/web/20230123125846/https://www.nytimes.com/2005/08/16/world/americas/a-quest-for-compensation-in-guam.html [23 January 2023]
www.dawn.com:
Not available. The REPAIR team archived a snapshot of the source for reference and documentation.
www.guampedia.com:
https://web.archive.org/web/20250514051209/https://www.guampedia.com/guam-world-war-ii-war-claims-legislative-history/ [14 May 2025]
www.stripes.com:
https://web.archive.org/web/20240527073912/https://www.stripes.com/theaters/asia_pacific/2023-08-04/guam-ww2-japanese-occupation-reparations-10941771.html [27 May 2024]</t>
  </si>
  <si>
    <t>www.reuters.com:
Not available. The REPAIR team archived a snapshot of the source for reference and documentation.
www.aljazeera.com: http://web.archive.org/web/20250611213756/https://www.aljazeera.com/opinions/2025/4/3/reverse-reparations-zimbabwes-perfect-trap-south-africas-looming-danger [11 June 2025]
www.bbc.com: http://web.archive.org/web/20250820050326/https://www.bbc.com/news/articles/cq5wwp5eelxo [20 August 2025]
www.theguardian.com:
https://web.archive.org/web/20250715174315/https://www.theguardian.com/world/2025/apr/11/zimbabwe-starts-compensating-white-farmers-25-years-after-land-seizures [15 July 2025]</t>
  </si>
  <si>
    <t>Law No. 23.466 On Pensions For Minors With Missing Parents</t>
  </si>
  <si>
    <t>Venezuela, classified as an upper-middle income country until FY21, has been unclassified since then due to the unavailability of data. (source: https://datahelpdesk.worldbank.org/knowledgebase/articles/906519-world-bank-country-and-lending-groups accessed on January 6, 2026)</t>
  </si>
  <si>
    <t>Regarding its income level, Ethiopia is currently in a temporary status of unclassification for 2024 (FY26).
Source: https://datahelpdesk.worldbank.org/knowledgebase/articles/906519-world-bank-country-and-lending-groups accessed on January 6, 2026</t>
  </si>
  <si>
    <t>The first year of payments was used for conversion.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</si>
  <si>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The total amounts pledged and paid, as well as the number of beneficiaries, are reported as of March 2025 (when the source was first accessed). These figures have since been updated on the official website to reflect increased amounts.
No explicit pledge was formally declared by the payor. The total amount pledged recorded here therefore corresponds to the total funds raised as of March 2025.
The total amount paid reflects cumulative disbursements reported as of 2025. As the database records payments only up to 2024, this amount is treated as a 2024 value for conversion purposes, with the understanding that this constitutes an approximation rather than an exact temporal match.
See officiale website:
https://www.arlingtoncommunitychurchucc.org/bwb
See history of the website:
https://web.archive.org/web/20241207082840/https://www.arlingtoncommunitychurchucc.org/bwb</t>
  </si>
  <si>
    <t>East Asia and Pacific</t>
  </si>
  <si>
    <t>Europe and Central Asia</t>
  </si>
  <si>
    <t>Latin America &amp; the Caribbean</t>
  </si>
  <si>
    <t>Middle East and North Africa</t>
  </si>
  <si>
    <t>European Court of Human Rights (ECtHR)</t>
  </si>
  <si>
    <t>ICC International Court of Arbitration</t>
  </si>
  <si>
    <t>International Criminal Court (ICC) &amp; The
Trust Fund for Victims (TFV)</t>
  </si>
  <si>
    <t>Transitional Justice Evaluation Tools (ID: 78)</t>
  </si>
  <si>
    <t>Political Apologies and Reparations Archive</t>
  </si>
  <si>
    <t>Transitional Justice Evaluation Tools</t>
  </si>
  <si>
    <t>Transitional Justice Data Base</t>
  </si>
  <si>
    <t>ICC Legal Tools Database</t>
  </si>
  <si>
    <t>Peace Accords Matrix</t>
  </si>
  <si>
    <t>Peace Agreements Database</t>
  </si>
  <si>
    <t>Database</t>
  </si>
  <si>
    <t>Nuhanovic Foundation's Reparations Database</t>
  </si>
  <si>
    <t>As the timeline of the agreement and the start of payments is uncertain, the calculation for this case required a specific approach.
In 1991, the United Nations established the United Nations Compensation Commission (UNCC) to process claims and pay compensation for losses and damages resulting directly from Iraq’s invasion and occupation of Kuwait (1990–1991). Although a compensation fund was created that year, no specific total amount of reparations was initially determined. Claims were processed until 2005, and it is likely that payments began around that time, though no reliable source confirms the exact start date or year.
By 2022, when the payment process officially ended, Iraq was reported to have paid a total of USD 52.4 billion. This figure appears to represent the cumulative nominal value of all payments made over approximately three decades. If this total amount were considered as pledged and paid beginning from 1991—the year of agreement—its value in 2024 USD would amount to approximately USD 120,685,048,458.15. However, this inflation-adjusted estimate is extremely high and likely not accurate, as it assumes the entire amount was committed and disbursed in 1991, which does not reflect the actual timeline of payments. For consistency with other entries, and given that the total of USD 52.4 billion (nominal) is the most reliably reported figure, we converted this value from 2022 to 2024 USD for inclusion in the database.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</si>
  <si>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Law No. 9831 for the Compensation of Former Politically Prosecuted by Communist Regime in Albania</t>
  </si>
  <si>
    <t>www.ghanaweb.com:
https://web.archive.org/web/20251002151414/https://www.ghanaweb.com/GhanaHomePage/NewsArchive/Government-to-establish-reparation-fund-79901 [02 October 2025]
www.modernghana.com:
Not available. The REPAIR team archived a snapshot of the source for reference and documentation.
www.thenewhumanitarian.org:
https://web.archive.org/web/20240219133459/https://www.thenewhumanitarian.org/report/61353/ghana-reparations-victims-human-rights-abuses [19 february 2024]
atjhub.csvr.org.za:
https://web.archive.org/web/20240524195326/https://atjhub.csvr.org.za/ghana-national-reconciliation-commission-2002-2004/#Introduction [24 May 2024]</t>
  </si>
  <si>
    <t>RPD entries</t>
  </si>
  <si>
    <t>Unique mentions</t>
  </si>
  <si>
    <t>This case includes payments from the reparations fund established in 2010, reported here: https://www.opensocietyfoundations.org/newsroom/mexican-congress-approves-reparations-fund-human-rights-victims
NOTE ON CONVERSION: The total compensation disbursed (634496755 MX pesos) is reported as an accumulated figure paid as of 2017. We assume this figure represents the total value of all payments over the entire period. For comparison purposes, we treat it as a 2017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t>
  </si>
  <si>
    <t>The Hardship Fund (Administered by the Claims Conference)</t>
  </si>
  <si>
    <t>Jewish victims of Nazi persecution (refugees from Soviet bloc countries)</t>
  </si>
  <si>
    <t>Under the terms of the West German Indemnification Laws (BEG), direct compensation was limited to former German citizens, refugees and stateless persons. Holocaust survivors living in Soviet bloc countries received no indemnification. During the period of détente between the United States and the Soviet Union, many survivors immigrated to the West, thus qualifying as refugees. They were still excluded, however, from German compensation programs, which had a filing deadline of 1969. Beginning in 1975, the Claims Conference negotiated for proper compensation to survivors who were refugees from Soviet bloc countries, including trying to obtain an extension of the BEG filing deadline, but to no avail. Finally, in 1980, the Federal Republic of Germany created a “Hardship Fund” of DM 400 million. It was to be paid to survivors as one-time payments of DM 5,000 (now €2,556) each, with five percent of the amount set aside for institutional grants. The German government created this fund only under the condition that the Claims Conference, rather than Germany, administer applications and payments.
(source: https://www.claimscon.org/our-work/compensation/background/hardship/history/)</t>
  </si>
  <si>
    <t>Payments are still ongoing to date, but the last reliable fugure on payments is dated 2017. Therefore the end year of reparations payments is recorded as 2017.</t>
  </si>
  <si>
    <t>https://www.claimscon.org/about/history/,
https://www.claimscon.org/our-work/compensation/background/hardship/history/</t>
  </si>
  <si>
    <t>Claims Conference (History):
Eighty thousand people were originally expected to benefit from the fund, but as of 2017, over 495,000 survivors have been paid a total of approximately $1.5 billion.
Claims Conference (Hardship Fund: Overview and History):
Beginning in 1975, the Claims Conference negotiated for proper compensation to survivors who were refugees from Soviet bloc countries, including trying to obtain an extension of the BEG filing deadline, but to no avail. Finally, in 1980, the Federal Republic of Germany created a “Hardship Fund” of DM 400 million. It was to be paid to survivors as one-time payments of DM 5,000 (now €2,556) each, with five percent of the amount set aside for institutional grants.
The Claims Conference has approved 495,983 Jewish victims of Nazi persecution for payment from the Hardship Fund, and has paid a total of approximately
$1.5 billion.</t>
  </si>
  <si>
    <t>NOTE ON CONVERSION: The total compensation disbursed ($1.5 billion) is reported as an accumulated figure as of 2017. We assume this figure represents the total value of all payments over the entire period. For comparison purposes, we treat it as a 2017 value and convert it to our year of interest (2024).
The figures recorded as “pledged” may either (a) never have been explicitly pledged, or (b) be lower than the actual amounts paid/disbursed. However, following the assumption that “everything that was paid was also pledged,” we have aligned the pledged figures with the available information on reparations paid.
The original Total Amount Pledged is: DM 400 million.</t>
  </si>
  <si>
    <t>Nazi,Germany, Hitler, Jews, anti-Semitism, fascism, Holocaust, Soviet Union, Hardship Fund</t>
  </si>
  <si>
    <t xml:space="preserve">www.claimscon.org:
https://web.archive.org/web/20251102185057/https://www.claimscon.org/about/history/ [02 November 2025]
www.claimscon.org:
https://web.archive.org/web/20251121190211/https://www.claimscon.org/our-work/compensation/background/hardship/history/ [21 November 2025]
</t>
  </si>
  <si>
    <t>SDGs addressed (HIDDEN)</t>
  </si>
  <si>
    <t>Not applicable</t>
  </si>
  <si>
    <t>ALB-ALB-2004-001</t>
  </si>
  <si>
    <t>ALB-ALB-2007-001</t>
  </si>
  <si>
    <t>ALB-ALB-2012-001</t>
  </si>
  <si>
    <t>ALB-ALB-2015-001</t>
  </si>
  <si>
    <t>DZA-DZA-2006-001</t>
  </si>
  <si>
    <t>ARG-ARG-1986-001</t>
  </si>
  <si>
    <t>ARG-ARG-1991-001</t>
  </si>
  <si>
    <t>AUS-NRU-1993-001</t>
  </si>
  <si>
    <t>AUS-AUS-1997-001</t>
  </si>
  <si>
    <t>AUS-AUS-1999-001</t>
  </si>
  <si>
    <t>AUS-AUS-2002-001</t>
  </si>
  <si>
    <t>AUS-XXX-2003-001</t>
  </si>
  <si>
    <t>AUS-AUS-2006-001</t>
  </si>
  <si>
    <t>AUS-AUS-2006-002</t>
  </si>
  <si>
    <t>AUS-XXX-2007-001</t>
  </si>
  <si>
    <t>AUS-XXX-2007-002</t>
  </si>
  <si>
    <t>AUS-AUS-2011-001</t>
  </si>
  <si>
    <t>AUS-AUS-2015-001</t>
  </si>
  <si>
    <t>AUS-AUS-2017-001</t>
  </si>
  <si>
    <t>AUS-AUS-2018-001</t>
  </si>
  <si>
    <t>AUS-CHL-2021-001</t>
  </si>
  <si>
    <t>AUS-AUS-2021-001</t>
  </si>
  <si>
    <t>AUS-AUS-2022-001</t>
  </si>
  <si>
    <t>AUS-XXX-XXXX-001</t>
  </si>
  <si>
    <t>AUT-XXX-1990-001</t>
  </si>
  <si>
    <t>AUT-AUT-1995-001</t>
  </si>
  <si>
    <t>AUT-AUT-2001-001</t>
  </si>
  <si>
    <t>AUT-AUT-2023-001</t>
  </si>
  <si>
    <t>BHR-BHR-2011-001</t>
  </si>
  <si>
    <t>BHR-IRN-2021-001</t>
  </si>
  <si>
    <t>BEL-COD-2002-001</t>
  </si>
  <si>
    <t>BEL-XXX-2008-001</t>
  </si>
  <si>
    <t>BEL-COD-2024-001</t>
  </si>
  <si>
    <t>BLZ-BLZ-2015-001</t>
  </si>
  <si>
    <t>BLZ-BLZ-2021-001</t>
  </si>
  <si>
    <t>BOL-BOL-2004-001</t>
  </si>
  <si>
    <t>BOL-BOL-2021-001</t>
  </si>
  <si>
    <t>BIH-BIH-2002-001</t>
  </si>
  <si>
    <t>BIH-BIH-2011-001</t>
  </si>
  <si>
    <t>BRA-TWN-1995-001</t>
  </si>
  <si>
    <t>BRA-BRA-2002-001</t>
  </si>
  <si>
    <t>BRA-PAN-2017-001</t>
  </si>
  <si>
    <t>BRA-BRA-2024-001</t>
  </si>
  <si>
    <t>BGR-GRC-1947-001</t>
  </si>
  <si>
    <t>BGR-XXX-1947-001</t>
  </si>
  <si>
    <t>BFA-BFA-2001-001</t>
  </si>
  <si>
    <t>BFA-BFA-2015-001</t>
  </si>
  <si>
    <t>BFA-BFA-2022-001</t>
  </si>
  <si>
    <t>CAN-XXX-1988-001</t>
  </si>
  <si>
    <t>CAN-CAN-1989-001</t>
  </si>
  <si>
    <t>CAN-CAN-1996-001</t>
  </si>
  <si>
    <t>CAN-CAN-1998-001</t>
  </si>
  <si>
    <t>CAN-CAN-1998-002</t>
  </si>
  <si>
    <t>CAN-CAN-1999-001</t>
  </si>
  <si>
    <t>CAN-CAN-2001-001</t>
  </si>
  <si>
    <t>CAN-CAN-2004-001</t>
  </si>
  <si>
    <t>CAN-XXX-2005-001</t>
  </si>
  <si>
    <t>CAN-XXX-2005-002</t>
  </si>
  <si>
    <t>CAN-CAN-2005-001</t>
  </si>
  <si>
    <t>CAN-CAN-2005-002</t>
  </si>
  <si>
    <t>CAN-CAN-2005-003</t>
  </si>
  <si>
    <t>CAN-XXX-2005-003</t>
  </si>
  <si>
    <t>CAN-CAN-2005-004</t>
  </si>
  <si>
    <t>CAN-CAN-2006-001</t>
  </si>
  <si>
    <t>CAN-CAN-2006-002</t>
  </si>
  <si>
    <t>CAN-CAN-2006-003</t>
  </si>
  <si>
    <t>CAN-CAN-2006-004</t>
  </si>
  <si>
    <t>CAN-CAN-2006-005</t>
  </si>
  <si>
    <t>CAN-CAN-2007-001</t>
  </si>
  <si>
    <t>CAN-IND-2008-001</t>
  </si>
  <si>
    <t>CAN-CAN-2013-001</t>
  </si>
  <si>
    <t>CAN-CAN-2013-002</t>
  </si>
  <si>
    <t>CAN-CAN-2014-001</t>
  </si>
  <si>
    <t>CAN-CAN-2016-001</t>
  </si>
  <si>
    <t>CAN-CAN-2017-001</t>
  </si>
  <si>
    <t>CAN-CAN-2017-002</t>
  </si>
  <si>
    <t>CAN-CAN-2021-001</t>
  </si>
  <si>
    <t>CAN-CAN-2023-001</t>
  </si>
  <si>
    <t>CAN-CAN-2023-002</t>
  </si>
  <si>
    <t>CAN-CAN-2024-001</t>
  </si>
  <si>
    <t>CAN-CAN-2021-002</t>
  </si>
  <si>
    <t>TCD-TCD-2022-001</t>
  </si>
  <si>
    <t>CHL-CHL-1992-001</t>
  </si>
  <si>
    <t>CHL-CHL-2004-001</t>
  </si>
  <si>
    <t>CHL-XXX-2013-001</t>
  </si>
  <si>
    <t>CHL-CHL-2013-001</t>
  </si>
  <si>
    <t>CHL-CHL-2015-001</t>
  </si>
  <si>
    <t>CHL-CHL-2023-001</t>
  </si>
  <si>
    <t>CHN-USA-1999-001</t>
  </si>
  <si>
    <t>CHN-CHN-2006-001</t>
  </si>
  <si>
    <t>COL-COL-2005-001</t>
  </si>
  <si>
    <t>COL-COL-2011-001</t>
  </si>
  <si>
    <t>CIV-CIV-2015-001</t>
  </si>
  <si>
    <t>HRV-HRV-2015-001</t>
  </si>
  <si>
    <t>HRV-HRV-2017-001</t>
  </si>
  <si>
    <t>HRV-SRB-2018-001</t>
  </si>
  <si>
    <t>HRV-HRV-2021-001</t>
  </si>
  <si>
    <t>CZE-CZE-1990-001</t>
  </si>
  <si>
    <t>DNK-DNK-1945-001</t>
  </si>
  <si>
    <t>DNK-DNK-2022-001</t>
  </si>
  <si>
    <t>ECU-ECU-2013-001</t>
  </si>
  <si>
    <t>SLV-SLV-2013-001</t>
  </si>
  <si>
    <t>ERI-ETH-2009-001</t>
  </si>
  <si>
    <t>ETH-ERI-2009-001</t>
  </si>
  <si>
    <t>FRA-FRA-2001-001</t>
  </si>
  <si>
    <t>FRA-FRA-2001-002</t>
  </si>
  <si>
    <t>FRA-FRA-2003-001</t>
  </si>
  <si>
    <t>FRA-ARM-2005-001</t>
  </si>
  <si>
    <t>FRA-TWN-2010-001</t>
  </si>
  <si>
    <t>FRA-XXX-2014-001</t>
  </si>
  <si>
    <t>FRA-MAR-2015-001</t>
  </si>
  <si>
    <t>FRA-DZA-2022-001</t>
  </si>
  <si>
    <t>GMB-GMB-2023-001</t>
  </si>
  <si>
    <t>DEU-XXX-1945-001</t>
  </si>
  <si>
    <t>DEU-ISR-1952-001</t>
  </si>
  <si>
    <t>DEU-XXX-1952-001</t>
  </si>
  <si>
    <t>DEU-XXX-1972-001</t>
  </si>
  <si>
    <t>DEU-XXX-1980-001</t>
  </si>
  <si>
    <t>DEU-XXX-1992-001</t>
  </si>
  <si>
    <t>DEU-XXX-1998-001</t>
  </si>
  <si>
    <t>DEU-XXX-2000-001</t>
  </si>
  <si>
    <t>DEU-XXX-2000-002</t>
  </si>
  <si>
    <t>DEU-XXX-2007-001</t>
  </si>
  <si>
    <t>DEU-XXX-2012-001</t>
  </si>
  <si>
    <t>DEU-DEU-2017-001</t>
  </si>
  <si>
    <t>DEU-XXX-2019-001</t>
  </si>
  <si>
    <t>DEU-ROU-2019-001</t>
  </si>
  <si>
    <t>DEU-BRA-2020-001</t>
  </si>
  <si>
    <t>DEU-DEU-2021-001</t>
  </si>
  <si>
    <t>DEU-NAM-2021-001</t>
  </si>
  <si>
    <t>DEU-XXX-2022-001</t>
  </si>
  <si>
    <t>DEU-XXX-2023-001</t>
  </si>
  <si>
    <t>DEU-ISR-2024-001</t>
  </si>
  <si>
    <t>GHA-GHA-2005-001</t>
  </si>
  <si>
    <t>GUM-GUM-2021-001</t>
  </si>
  <si>
    <t>GTM-GTM-2003-001</t>
  </si>
  <si>
    <t>GTM-GTM-2004-001</t>
  </si>
  <si>
    <t>GTM-GTM-2014-001</t>
  </si>
  <si>
    <t>GIN-GIN-2024-001</t>
  </si>
  <si>
    <t>HND-HND-1988-001</t>
  </si>
  <si>
    <t>HND-HND-2021-001</t>
  </si>
  <si>
    <t>HUN-XXX-1947-001</t>
  </si>
  <si>
    <t>HUN-HUN-2007-001</t>
  </si>
  <si>
    <t>IND-IND-2006-001</t>
  </si>
  <si>
    <t>IND-IND-2021-001</t>
  </si>
  <si>
    <t>IDN-IDN-2005-001</t>
  </si>
  <si>
    <t>IDN-TLS-2016-001</t>
  </si>
  <si>
    <t>IRN-XXX-2020-001</t>
  </si>
  <si>
    <t>IRQ-XXX-1991-001</t>
  </si>
  <si>
    <t>IRQ-IRQ-2009-001</t>
  </si>
  <si>
    <t>IRL-IRL-2003-001</t>
  </si>
  <si>
    <t>IRL-IRL-2013-001</t>
  </si>
  <si>
    <t>IRL-IRL-2021-001</t>
  </si>
  <si>
    <t>ISR-XXX-1950-001</t>
  </si>
  <si>
    <t>ISR-ISR-2005-001</t>
  </si>
  <si>
    <t>ISR-PSE-2012-001</t>
  </si>
  <si>
    <t>ISR-PSE-2014-001</t>
  </si>
  <si>
    <t>ISR-TUR-2016-001</t>
  </si>
  <si>
    <t>ISR-JOR-2018-001</t>
  </si>
  <si>
    <t>ISR-XXX-2022-001</t>
  </si>
  <si>
    <t>ITA-XXX-1947-001</t>
  </si>
  <si>
    <t>ITA-DEU-1999-001</t>
  </si>
  <si>
    <t>ITA-XXX-2007-001</t>
  </si>
  <si>
    <t>ITA-LBY-2008-001</t>
  </si>
  <si>
    <t>ITA-XXX-2022-001</t>
  </si>
  <si>
    <t>JPN-XXX-1951-001</t>
  </si>
  <si>
    <t>JPN-JPN-1994-001</t>
  </si>
  <si>
    <t>JPN-XXX-1994-001</t>
  </si>
  <si>
    <t>JPN-CHN-2000-001</t>
  </si>
  <si>
    <t>JPN-JPN-2001-001</t>
  </si>
  <si>
    <t>JPN-KOR-2015-001</t>
  </si>
  <si>
    <t>JPN-JPN-2019-001</t>
  </si>
  <si>
    <t>JPN-JPN-2019-002</t>
  </si>
  <si>
    <t>JPN-KOR-2021-001</t>
  </si>
  <si>
    <t>JPN-KOR-2023-001</t>
  </si>
  <si>
    <t>JPN-JPN-2024-001</t>
  </si>
  <si>
    <t>KEN-KEN-2022-001</t>
  </si>
  <si>
    <t>KOR-KOR-1990-001</t>
  </si>
  <si>
    <t>KOR-KOR-2000-001</t>
  </si>
  <si>
    <t>KOR-VNM-2023-001</t>
  </si>
  <si>
    <t>KOR-KOR-2023-001</t>
  </si>
  <si>
    <t>KOR-KOR-2024-001</t>
  </si>
  <si>
    <t>XKX-XKX-2014-001</t>
  </si>
  <si>
    <t>XKX-XKX-2023-001</t>
  </si>
  <si>
    <t>XKX-ALB-2024-001</t>
  </si>
  <si>
    <t>KGZ-KGZ-2011-001</t>
  </si>
  <si>
    <t>LVA-LVA-2021-001</t>
  </si>
  <si>
    <t>LBN-LBN-2006-001</t>
  </si>
  <si>
    <t>LBN-LBN-2024-001</t>
  </si>
  <si>
    <t>LBN-LBN-2024-002</t>
  </si>
  <si>
    <t>LBR-LBR-2020-001</t>
  </si>
  <si>
    <t>LBY-XXX-2003-001</t>
  </si>
  <si>
    <t>LBY-XXX-2004-001</t>
  </si>
  <si>
    <t>LBY-USA-2008-001</t>
  </si>
  <si>
    <t>LBY-LBY-2016-001</t>
  </si>
  <si>
    <t>LTU-LTU-2022-001</t>
  </si>
  <si>
    <t>MWI-MWI-1994-001</t>
  </si>
  <si>
    <t>MEX-MEX-2008-001</t>
  </si>
  <si>
    <t>MEX-MEX-2010-001</t>
  </si>
  <si>
    <t>MEX-MEX-2012-001</t>
  </si>
  <si>
    <t>MNG-MNG-1998-001</t>
  </si>
  <si>
    <t>MNE-HRV-2014-001</t>
  </si>
  <si>
    <t>MNE-MNE-2017-001</t>
  </si>
  <si>
    <t>MAR-MAR-1999-001</t>
  </si>
  <si>
    <t>MAR-MAR-2004-001</t>
  </si>
  <si>
    <t>XXX-NGA-2009-001</t>
  </si>
  <si>
    <t>XXX-BGD-2014-001</t>
  </si>
  <si>
    <t>XXX-XXX-2022-001</t>
  </si>
  <si>
    <t>XXX-GBR-2009-001</t>
  </si>
  <si>
    <t>XXX-COD-2017-001</t>
  </si>
  <si>
    <t>XXX-MLI-2017-001</t>
  </si>
  <si>
    <t>XXX-COD-2017-002</t>
  </si>
  <si>
    <t>XXX-COD-2021-001</t>
  </si>
  <si>
    <t>XXX-CAF-2023-001</t>
  </si>
  <si>
    <t>XXX-UGA-2024-001</t>
  </si>
  <si>
    <t>XXX-HND-2024-001</t>
  </si>
  <si>
    <t>NPL-XXX-2007-001</t>
  </si>
  <si>
    <t>NPL-NPL-2007-001</t>
  </si>
  <si>
    <t>NPL-NPL-2008-001</t>
  </si>
  <si>
    <t>NPL-NPL-2008-002</t>
  </si>
  <si>
    <t>NPL-NPL-2008-003</t>
  </si>
  <si>
    <t>NPL-NPL-2022-001</t>
  </si>
  <si>
    <t>NLD-IDN-2011-001</t>
  </si>
  <si>
    <t>NLD-IRQ-2014-001</t>
  </si>
  <si>
    <t>NLD-IDN-2018-001</t>
  </si>
  <si>
    <t>NLD-BIH-2019-001</t>
  </si>
  <si>
    <t>NLD-IDN-2020-001</t>
  </si>
  <si>
    <t>NLD-IRQ-2020-001</t>
  </si>
  <si>
    <t>NZL-NZL-1975-001</t>
  </si>
  <si>
    <t>NZL-NZL-2004-001</t>
  </si>
  <si>
    <t>NZL-NZL-2020-001</t>
  </si>
  <si>
    <t>NZL-XXX-2024-001</t>
  </si>
  <si>
    <t>NIC-CRI-2018-001</t>
  </si>
  <si>
    <t>NGA-NGA-2012-001</t>
  </si>
  <si>
    <t>MKD-DEU-2012-001</t>
  </si>
  <si>
    <t>NOR-NOR-1999-001</t>
  </si>
  <si>
    <t>PRY-PRY-1980-001</t>
  </si>
  <si>
    <t>PRY-PRY-1996-001</t>
  </si>
  <si>
    <t>PER-PER-2005-001</t>
  </si>
  <si>
    <t>PER-PER-2024-001</t>
  </si>
  <si>
    <t>PHL-PHL-2004-001</t>
  </si>
  <si>
    <t>PHL-PHL-2013-001</t>
  </si>
  <si>
    <t>POL-POL-2005-001</t>
  </si>
  <si>
    <t>POL-SAU-2014-001</t>
  </si>
  <si>
    <t>PRT-MAC-1967-001</t>
  </si>
  <si>
    <t>ROU-XXX-1947-001</t>
  </si>
  <si>
    <t>RUS-RUS-2011-001</t>
  </si>
  <si>
    <t>RUS-GEO-2023-001</t>
  </si>
  <si>
    <t>RWA-RWA-1998-001</t>
  </si>
  <si>
    <t>SRB-XKX-2012-001</t>
  </si>
  <si>
    <t>SLE-SLE-2008-001</t>
  </si>
  <si>
    <t>SVK-SVK-2002-001</t>
  </si>
  <si>
    <t>SLB-SLB-2000-001</t>
  </si>
  <si>
    <t>ZAF-ZAF-2003-001</t>
  </si>
  <si>
    <t>ESP-ESP-1977-001</t>
  </si>
  <si>
    <t>LKA-LKA-2004-001</t>
  </si>
  <si>
    <t>LKA-LKA-2018-001</t>
  </si>
  <si>
    <t>LKA-LKA-2023-001</t>
  </si>
  <si>
    <t>SDN-SDN-2006-001</t>
  </si>
  <si>
    <t>SDN-SDN-2011-001</t>
  </si>
  <si>
    <t>SDN-USA-2020-001</t>
  </si>
  <si>
    <t>SUR-SUR-2005-001</t>
  </si>
  <si>
    <t>SWE-SWE-1999-001</t>
  </si>
  <si>
    <t>SWE-SWE-2018-001</t>
  </si>
  <si>
    <t>CHE-XXX-1998-001</t>
  </si>
  <si>
    <t>CHE-CHE-2016-001</t>
  </si>
  <si>
    <t>SYR-SYR-2018-001</t>
  </si>
  <si>
    <t>TWN-TWN-1995-001</t>
  </si>
  <si>
    <t>TWN-TWN-1998-001</t>
  </si>
  <si>
    <t>THA-THA-2012-001</t>
  </si>
  <si>
    <t>THA-THA-2012-002</t>
  </si>
  <si>
    <t>TUN-XXX-2023-001</t>
  </si>
  <si>
    <t>TUN-XXX-2023-002</t>
  </si>
  <si>
    <t>TUR-TUR-2004-001</t>
  </si>
  <si>
    <t>TUR-XXX-2005-001</t>
  </si>
  <si>
    <t>TUR-CYP-2014-001</t>
  </si>
  <si>
    <t>UGA-COD-2022-001</t>
  </si>
  <si>
    <t>GBR-GBR-1969-001</t>
  </si>
  <si>
    <t>GBR-GBR-1989-001</t>
  </si>
  <si>
    <t>GBR-GBR-1989-002</t>
  </si>
  <si>
    <t>GBR-NZL-1995-001</t>
  </si>
  <si>
    <t>GBR-FRA-1998-001</t>
  </si>
  <si>
    <t>GBR-AFG-2001-001</t>
  </si>
  <si>
    <t>GBR-BEL-2001-001</t>
  </si>
  <si>
    <t>GBR-KEN-2002-001</t>
  </si>
  <si>
    <t>GBR-IRQ-2003-001</t>
  </si>
  <si>
    <t>GBR-GBR-2010-001</t>
  </si>
  <si>
    <t>GBR-IRQ-2011-001</t>
  </si>
  <si>
    <t>GBR-IRQ-2011-002</t>
  </si>
  <si>
    <t>GBR-KEN-2013-001</t>
  </si>
  <si>
    <t>GBR-XXX-2018-001</t>
  </si>
  <si>
    <t>GBR-GBR-2018-002</t>
  </si>
  <si>
    <t>GBR-XXX-2019-001</t>
  </si>
  <si>
    <t>GBR-XXX-2019-002</t>
  </si>
  <si>
    <t>GBR-GBR-2019-001</t>
  </si>
  <si>
    <t>GBR-GBR-2019-002</t>
  </si>
  <si>
    <t>GBR-XXX-2020-001</t>
  </si>
  <si>
    <t>GBR-GRD-2023-001</t>
  </si>
  <si>
    <t>GBR-GBR-2023-001</t>
  </si>
  <si>
    <t>GBR-XXX-2023-001</t>
  </si>
  <si>
    <t>GBR-GBR-2024-001</t>
  </si>
  <si>
    <t>USA-USA-1946-001</t>
  </si>
  <si>
    <t>USA-USA-1950-001</t>
  </si>
  <si>
    <t>USA-USA-1968-001</t>
  </si>
  <si>
    <t>USA-USA-1969-001</t>
  </si>
  <si>
    <t>USA-FSM-1971-001</t>
  </si>
  <si>
    <t>USA-USA-1971-001</t>
  </si>
  <si>
    <t>USA-USA-1974-001</t>
  </si>
  <si>
    <t>USA-MHL-1975-001</t>
  </si>
  <si>
    <t>USA-USA-1979-001</t>
  </si>
  <si>
    <t>USA-USA-1980-001</t>
  </si>
  <si>
    <t>USA-USA-1980-002</t>
  </si>
  <si>
    <t>USA-MHL-1982-001</t>
  </si>
  <si>
    <t>USA-USA-1984-001</t>
  </si>
  <si>
    <t>USA-USA-1985-001</t>
  </si>
  <si>
    <t>USA-USA-1985-002</t>
  </si>
  <si>
    <t>USA-MHL-1986-001</t>
  </si>
  <si>
    <t>USA-USA-1986-001</t>
  </si>
  <si>
    <t>USA-XXX-1988-001</t>
  </si>
  <si>
    <t>USA-USA-1988-001</t>
  </si>
  <si>
    <t>USA-IND-1989-001</t>
  </si>
  <si>
    <t>USA-XXX-1990-001</t>
  </si>
  <si>
    <t>USA-USA-1994-001</t>
  </si>
  <si>
    <t>USA-USA-1996-001</t>
  </si>
  <si>
    <t>USA-IRN-1996-001</t>
  </si>
  <si>
    <t>USA-USA-1997-001</t>
  </si>
  <si>
    <t>USA-RWA-1998-001</t>
  </si>
  <si>
    <t>USA-XXX-1998-001</t>
  </si>
  <si>
    <t>USA-USA-1998-001</t>
  </si>
  <si>
    <t>USA-USA-1998-002</t>
  </si>
  <si>
    <t>USA-USA-1999-001</t>
  </si>
  <si>
    <t>USA-USA-2010-001</t>
  </si>
  <si>
    <t>USA-GTM-1999-001</t>
  </si>
  <si>
    <t>USA-CHN-1999-001</t>
  </si>
  <si>
    <t>USA-CHN-1999-002</t>
  </si>
  <si>
    <t>USA-MHL-2001-001</t>
  </si>
  <si>
    <t>USA-USA-2001-001</t>
  </si>
  <si>
    <t>USA-USA-2002-001</t>
  </si>
  <si>
    <t>USA-JPN-2002-001</t>
  </si>
  <si>
    <t>USA-JPN-2002-002</t>
  </si>
  <si>
    <t>USA-USA-2003-001</t>
  </si>
  <si>
    <t>USA-ARM-2004-001</t>
  </si>
  <si>
    <t>USA-USA-2005-001</t>
  </si>
  <si>
    <t>USA-USA-2005-002</t>
  </si>
  <si>
    <t>USA-USA-2005-003</t>
  </si>
  <si>
    <t>USA-USA-2006-001</t>
  </si>
  <si>
    <t>USA-USA-2007-001</t>
  </si>
  <si>
    <t>USA-USA-2007-002</t>
  </si>
  <si>
    <t>USA-USA-2007-003</t>
  </si>
  <si>
    <t>USA-USA-2008-001</t>
  </si>
  <si>
    <t>USA-USA-2009-001</t>
  </si>
  <si>
    <t>USA-USA-2009-002</t>
  </si>
  <si>
    <t>USA-USA-2011-001</t>
  </si>
  <si>
    <t>USA-AFG-2012-001</t>
  </si>
  <si>
    <t>USA-USA-2013-001</t>
  </si>
  <si>
    <t>USA-USA-2015-001</t>
  </si>
  <si>
    <t>USA-USA-2015-002</t>
  </si>
  <si>
    <t>USA-USA-2016-001</t>
  </si>
  <si>
    <t>USA-GUM-2016-001</t>
  </si>
  <si>
    <t>USA-USA-2019-001</t>
  </si>
  <si>
    <t>USA-USA-2019-002</t>
  </si>
  <si>
    <t>USA-USA-2019-003</t>
  </si>
  <si>
    <t>USA-USA-2019-004</t>
  </si>
  <si>
    <t>USA-USA-2019-005</t>
  </si>
  <si>
    <t>USA-USA-2019-006</t>
  </si>
  <si>
    <t>USA-USA-2020-001</t>
  </si>
  <si>
    <t>USA-USA-2020-002</t>
  </si>
  <si>
    <t>USA-MYS-2020-001</t>
  </si>
  <si>
    <t>USA-USA-2021-001</t>
  </si>
  <si>
    <t>USA-USA-2021-002</t>
  </si>
  <si>
    <t>USA-USA-2021-003</t>
  </si>
  <si>
    <t>USA-USA-2021-004</t>
  </si>
  <si>
    <t>USA-USA-2021-005</t>
  </si>
  <si>
    <t>USA-USA-2021-006</t>
  </si>
  <si>
    <t>USA-USA-2022-001</t>
  </si>
  <si>
    <t>USA-USA-2022-002</t>
  </si>
  <si>
    <t>USA-USA-2022-003</t>
  </si>
  <si>
    <t>USA-USA-2023-001</t>
  </si>
  <si>
    <t>USA-COL-2024-001</t>
  </si>
  <si>
    <t>USA-USA-2024-001</t>
  </si>
  <si>
    <t>USA-USA-2024-002</t>
  </si>
  <si>
    <t>USA-XXX-2024-001</t>
  </si>
  <si>
    <t>URY-URY-2009-001</t>
  </si>
  <si>
    <t>VEN-CAN-2016-001</t>
  </si>
  <si>
    <t>VEN-USA-2019-001</t>
  </si>
  <si>
    <t>YEM-YEM-2019-001</t>
  </si>
  <si>
    <t>ZWE-ZWE-1980-001</t>
  </si>
  <si>
    <t>ZWE-ZWE-2018-001</t>
  </si>
  <si>
    <t>ZWE-XXX-2020-001</t>
  </si>
  <si>
    <t>Czechia</t>
  </si>
  <si>
    <t>Gambia</t>
  </si>
  <si>
    <t>Iran</t>
  </si>
  <si>
    <t>South Korea</t>
  </si>
  <si>
    <t>Kyrgyzstan</t>
  </si>
  <si>
    <t>Russia</t>
  </si>
  <si>
    <t>Slovakia</t>
  </si>
  <si>
    <t>Syria</t>
  </si>
  <si>
    <t>Taiwan</t>
  </si>
  <si>
    <t>Turkey</t>
  </si>
  <si>
    <t>Venezuela</t>
  </si>
  <si>
    <t>Yemen</t>
  </si>
  <si>
    <t>Cote d'Ivoire</t>
  </si>
  <si>
    <t>East Timor</t>
  </si>
  <si>
    <t>Palestine</t>
  </si>
  <si>
    <t>Macao</t>
  </si>
  <si>
    <t>Micronesia</t>
  </si>
  <si>
    <t>Latin America and the Caribbean</t>
  </si>
  <si>
    <t>Recipient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</si>
</sst>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11" x14ac:knownFonts="1">
    <font>
      <sz val="12"/>
      <color theme="1"/>
      <name val="Aptos Narrow"/>
      <family val="2"/>
      <scheme val="minor"/>
    </font>
    <font>
      <sz val="12"/>
      <color theme="1"/>
      <name val="Aptos Narrow"/>
      <family val="2"/>
      <scheme val="minor"/>
    </font>
    <font>
      <b/>
      <sz val="12"/>
      <color theme="1"/>
      <name val="Times New Roman"/>
      <family val="1"/>
    </font>
    <font>
      <sz val="11"/>
      <color theme="1"/>
      <name val="Times New Roman"/>
      <family val="1"/>
    </font>
    <font>
      <sz val="11"/>
      <color theme="1"/>
      <name val="Aptos Narrow"/>
      <family val="2"/>
      <scheme val="minor"/>
    </font>
    <font>
      <b/>
      <sz val="11"/>
      <color theme="1"/>
      <name val="Times New Roman"/>
      <family val="1"/>
    </font>
    <font>
      <u/>
      <sz val="12"/>
      <color theme="10"/>
      <name val="Aptos Narrow"/>
      <family val="2"/>
      <scheme val="minor"/>
    </font>
    <font>
      <b/>
      <sz val="11"/>
      <color rgb="FF000000"/>
      <name val="Times New Roman"/>
      <family val="1"/>
    </font>
    <font>
      <sz val="11"/>
      <color rgb="FF000000"/>
      <name val="Times New Roman"/>
      <family val="1"/>
    </font>
    <font>
      <sz val="10"/>
      <color indexed="8"/>
      <name val="Helvetica Neue"/>
      <family val="2"/>
    </font>
    <font>
      <sz val="12"/>
      <color theme="1"/>
      <name val="Times New Roman"/>
      <family val="1"/>
    </font>
  </fonts>
  <fills count="3">
    <fill>
      <patternFill patternType="none"/>
    </fill>
    <fill>
      <patternFill patternType="gray125"/>
    </fill>
    <fill>
      <patternFill patternType="solid">
        <fgColor theme="2"/>
        <bgColor indexed="64"/>
      </patternFill>
    </fill>
  </fills>
  <borders count="8">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rgb="FF145F82"/>
      </left>
      <right/>
      <top style="thin">
        <color rgb="FF145F82"/>
      </top>
      <bottom/>
      <diagonal/>
    </border>
    <border>
      <left/>
      <right/>
      <top style="thin">
        <color rgb="FF145F82"/>
      </top>
      <bottom/>
      <diagonal/>
    </border>
    <border>
      <left style="thin">
        <color theme="4"/>
      </left>
      <right/>
      <top/>
      <bottom/>
      <diagonal/>
    </border>
    <border>
      <left/>
      <right/>
      <top style="thin">
        <color rgb="FF156082"/>
      </top>
      <bottom/>
      <diagonal/>
    </border>
  </borders>
  <cellStyleXfs count="5">
    <xf numFmtId="0" fontId="0" fillId="0" borderId="0"/>
    <xf numFmtId="0" fontId="1" fillId="0" borderId="0"/>
    <xf numFmtId="0" fontId="4" fillId="0" borderId="0"/>
    <xf numFmtId="0" fontId="6" fillId="0" borderId="0"/>
    <xf numFmtId="0" fontId="9" fillId="0" borderId="0">
      <alignment vertical="top" wrapText="1"/>
    </xf>
  </cellStyleXfs>
  <cellXfs count="100">
    <xf numFmtId="0" fontId="0" fillId="0" borderId="0" xfId="0"/>
    <xf numFmtId="0" fontId="2" fillId="0" borderId="0" xfId="1" applyFont="1" applyAlignment="1">
      <alignment horizontal="center" vertical="top"/>
    </xf>
    <xf numFmtId="0" fontId="2" fillId="0" borderId="0" xfId="1" applyFont="1" applyAlignment="1">
      <alignment horizontal="center" vertical="top" wrapText="1"/>
    </xf>
    <xf numFmtId="164" fontId="2" fillId="0" borderId="0" xfId="1" applyNumberFormat="1" applyFont="1" applyAlignment="1">
      <alignment horizontal="center" vertical="top"/>
    </xf>
    <xf numFmtId="4" fontId="2" fillId="0" borderId="0" xfId="1" applyNumberFormat="1" applyFont="1" applyAlignment="1">
      <alignment horizontal="center" vertical="top"/>
    </xf>
    <xf numFmtId="0" fontId="0" fillId="0" borderId="0" xfId="0" applyAlignment="1">
      <alignment vertical="top"/>
    </xf>
    <xf numFmtId="49" fontId="5" fillId="0" borderId="2" xfId="2" applyNumberFormat="1" applyFont="1" applyBorder="1" applyAlignment="1">
      <alignment vertical="top" wrapText="1"/>
    </xf>
    <xf numFmtId="49" fontId="3" fillId="0" borderId="2" xfId="2" applyNumberFormat="1" applyFont="1" applyBorder="1" applyAlignment="1">
      <alignment vertical="top" wrapText="1"/>
    </xf>
    <xf numFmtId="0" fontId="3" fillId="0" borderId="2" xfId="1" applyFont="1" applyBorder="1" applyAlignment="1">
      <alignment vertical="top"/>
    </xf>
    <xf numFmtId="49" fontId="5" fillId="0" borderId="2" xfId="2" applyNumberFormat="1" applyFont="1" applyBorder="1" applyAlignment="1">
      <alignment vertical="top"/>
    </xf>
    <xf numFmtId="0" fontId="3" fillId="0" borderId="2" xfId="1" applyFont="1" applyBorder="1" applyAlignment="1">
      <alignment vertical="top" wrapText="1"/>
    </xf>
    <xf numFmtId="165" fontId="3" fillId="0" borderId="2" xfId="2" applyNumberFormat="1" applyFont="1" applyBorder="1" applyAlignment="1">
      <alignment horizontal="left" vertical="top"/>
    </xf>
    <xf numFmtId="1" fontId="3" fillId="0" borderId="2" xfId="2" applyNumberFormat="1" applyFont="1" applyBorder="1" applyAlignment="1">
      <alignment horizontal="left" vertical="top"/>
    </xf>
    <xf numFmtId="165" fontId="3" fillId="0" borderId="2" xfId="1" applyNumberFormat="1" applyFont="1" applyBorder="1" applyAlignment="1">
      <alignment horizontal="left" vertical="top"/>
    </xf>
    <xf numFmtId="1" fontId="3" fillId="0" borderId="2" xfId="1" applyNumberFormat="1" applyFont="1" applyBorder="1" applyAlignment="1">
      <alignment horizontal="left" vertical="top"/>
    </xf>
    <xf numFmtId="0" fontId="3" fillId="0" borderId="2" xfId="1" applyFont="1" applyBorder="1" applyAlignment="1">
      <alignment horizontal="left" vertical="top"/>
    </xf>
    <xf numFmtId="4" fontId="3" fillId="0" borderId="2" xfId="1" applyNumberFormat="1" applyFont="1" applyBorder="1" applyAlignment="1">
      <alignment horizontal="left" vertical="top"/>
    </xf>
    <xf numFmtId="49" fontId="5" fillId="0" borderId="2" xfId="2" applyNumberFormat="1" applyFont="1" applyBorder="1" applyAlignment="1">
      <alignment horizontal="left" vertical="top" wrapText="1"/>
    </xf>
    <xf numFmtId="0" fontId="3" fillId="0" borderId="0" xfId="1" applyFont="1" applyAlignment="1">
      <alignment vertical="top" wrapText="1"/>
    </xf>
    <xf numFmtId="49" fontId="3" fillId="0" borderId="0" xfId="2" applyNumberFormat="1" applyFont="1" applyAlignment="1">
      <alignment vertical="top" wrapText="1"/>
    </xf>
    <xf numFmtId="49" fontId="5" fillId="0" borderId="0" xfId="2" applyNumberFormat="1" applyFont="1" applyAlignment="1">
      <alignment horizontal="left" vertical="top" wrapText="1"/>
    </xf>
    <xf numFmtId="0" fontId="0" fillId="0" borderId="0" xfId="0" applyAlignment="1">
      <alignment horizontal="left"/>
    </xf>
    <xf numFmtId="165" fontId="3" fillId="0" borderId="2" xfId="2" applyNumberFormat="1" applyFont="1" applyBorder="1" applyAlignment="1">
      <alignment horizontal="left" vertical="top" wrapText="1"/>
    </xf>
    <xf numFmtId="1" fontId="3" fillId="0" borderId="2" xfId="2" applyNumberFormat="1" applyFont="1" applyBorder="1" applyAlignment="1">
      <alignment horizontal="left" vertical="top" wrapText="1"/>
    </xf>
    <xf numFmtId="165" fontId="3" fillId="0" borderId="2" xfId="1" applyNumberFormat="1" applyFont="1" applyBorder="1" applyAlignment="1">
      <alignment horizontal="left" vertical="top" wrapText="1"/>
    </xf>
    <xf numFmtId="1" fontId="3" fillId="0" borderId="2" xfId="1" applyNumberFormat="1" applyFont="1" applyBorder="1" applyAlignment="1">
      <alignment horizontal="left" vertical="top" wrapText="1"/>
    </xf>
    <xf numFmtId="0" fontId="3" fillId="0" borderId="2" xfId="1" applyFont="1" applyBorder="1" applyAlignment="1">
      <alignment horizontal="left" vertical="top" wrapText="1"/>
    </xf>
    <xf numFmtId="15" fontId="3" fillId="0" borderId="2" xfId="1" applyNumberFormat="1" applyFont="1" applyBorder="1" applyAlignment="1">
      <alignment vertical="top" wrapText="1"/>
    </xf>
    <xf numFmtId="4" fontId="3" fillId="0" borderId="2" xfId="1" applyNumberFormat="1" applyFont="1" applyBorder="1" applyAlignment="1">
      <alignment horizontal="left" vertical="top" wrapText="1"/>
    </xf>
    <xf numFmtId="0" fontId="0" fillId="0" borderId="0" xfId="0" applyAlignment="1">
      <alignment wrapText="1"/>
    </xf>
    <xf numFmtId="49" fontId="3" fillId="0" borderId="2" xfId="2" applyNumberFormat="1" applyFont="1" applyBorder="1" applyAlignment="1">
      <alignment vertical="top"/>
    </xf>
    <xf numFmtId="0" fontId="3" fillId="0" borderId="0" xfId="1" applyFont="1" applyAlignment="1">
      <alignment vertical="top"/>
    </xf>
    <xf numFmtId="49" fontId="5" fillId="0" borderId="0" xfId="2" applyNumberFormat="1" applyFont="1" applyAlignment="1">
      <alignment vertical="top"/>
    </xf>
    <xf numFmtId="165" fontId="3" fillId="0" borderId="0" xfId="2" applyNumberFormat="1" applyFont="1" applyAlignment="1">
      <alignment horizontal="left" vertical="top"/>
    </xf>
    <xf numFmtId="1" fontId="3" fillId="0" borderId="0" xfId="2" applyNumberFormat="1" applyFont="1" applyAlignment="1">
      <alignment horizontal="left" vertical="top"/>
    </xf>
    <xf numFmtId="165" fontId="3" fillId="0" borderId="0" xfId="1" applyNumberFormat="1" applyFont="1" applyAlignment="1">
      <alignment horizontal="left" vertical="top"/>
    </xf>
    <xf numFmtId="1" fontId="3" fillId="0" borderId="0" xfId="1" applyNumberFormat="1" applyFont="1" applyAlignment="1">
      <alignment horizontal="left" vertical="top"/>
    </xf>
    <xf numFmtId="4" fontId="3" fillId="0" borderId="0" xfId="1" applyNumberFormat="1" applyFont="1" applyAlignment="1">
      <alignment horizontal="left" vertical="top"/>
    </xf>
    <xf numFmtId="4" fontId="3" fillId="0" borderId="0" xfId="1" applyNumberFormat="1" applyFont="1" applyAlignment="1">
      <alignment horizontal="left" vertical="top" wrapText="1"/>
    </xf>
    <xf numFmtId="15" fontId="3" fillId="0" borderId="0" xfId="1" applyNumberFormat="1" applyFont="1" applyAlignment="1">
      <alignment vertical="top" wrapText="1"/>
    </xf>
    <xf numFmtId="0" fontId="3" fillId="0" borderId="0" xfId="1" applyFont="1" applyAlignment="1">
      <alignment horizontal="left" vertical="top"/>
    </xf>
    <xf numFmtId="0" fontId="3" fillId="0" borderId="0" xfId="0" applyFont="1" applyAlignment="1">
      <alignment horizontal="left" vertical="top" wrapText="1"/>
    </xf>
    <xf numFmtId="1" fontId="8" fillId="0" borderId="7" xfId="0" applyNumberFormat="1" applyFont="1" applyBorder="1" applyAlignment="1">
      <alignment horizontal="left" vertical="top"/>
    </xf>
    <xf numFmtId="3" fontId="3" fillId="0" borderId="2" xfId="1" applyNumberFormat="1" applyFont="1" applyBorder="1" applyAlignment="1">
      <alignment horizontal="left" vertical="top"/>
    </xf>
    <xf numFmtId="0" fontId="3" fillId="0" borderId="2" xfId="2" applyFont="1" applyBorder="1" applyAlignment="1">
      <alignment horizontal="left" vertical="top"/>
    </xf>
    <xf numFmtId="49" fontId="3" fillId="0" borderId="2" xfId="2" quotePrefix="1" applyNumberFormat="1" applyFont="1" applyBorder="1" applyAlignment="1">
      <alignment vertical="top" wrapText="1"/>
    </xf>
    <xf numFmtId="49" fontId="7" fillId="0" borderId="2" xfId="0" applyNumberFormat="1" applyFont="1" applyBorder="1" applyAlignment="1">
      <alignment vertical="top" wrapText="1"/>
    </xf>
    <xf numFmtId="49" fontId="8" fillId="0" borderId="2" xfId="0" applyNumberFormat="1" applyFont="1" applyBorder="1" applyAlignment="1">
      <alignment vertical="top"/>
    </xf>
    <xf numFmtId="49" fontId="3" fillId="0" borderId="5" xfId="2" applyNumberFormat="1" applyFont="1" applyBorder="1" applyAlignment="1">
      <alignment vertical="top" wrapText="1"/>
    </xf>
    <xf numFmtId="0" fontId="8" fillId="0" borderId="2" xfId="0" applyFont="1" applyBorder="1" applyAlignment="1">
      <alignment vertical="top"/>
    </xf>
    <xf numFmtId="0" fontId="3" fillId="0" borderId="5" xfId="1" applyFont="1" applyBorder="1" applyAlignment="1">
      <alignment vertical="top"/>
    </xf>
    <xf numFmtId="49" fontId="7" fillId="0" borderId="2" xfId="0" applyNumberFormat="1" applyFont="1" applyBorder="1" applyAlignment="1">
      <alignment vertical="top"/>
    </xf>
    <xf numFmtId="49" fontId="5" fillId="0" borderId="5" xfId="2" applyNumberFormat="1" applyFont="1" applyBorder="1" applyAlignment="1">
      <alignment vertical="top"/>
    </xf>
    <xf numFmtId="0" fontId="8" fillId="0" borderId="2" xfId="0" applyFont="1" applyBorder="1" applyAlignment="1">
      <alignment vertical="top" wrapText="1"/>
    </xf>
    <xf numFmtId="0" fontId="3" fillId="0" borderId="5" xfId="1" applyFont="1" applyBorder="1" applyAlignment="1">
      <alignment vertical="top" wrapText="1"/>
    </xf>
    <xf numFmtId="49" fontId="8" fillId="0" borderId="2" xfId="0" applyNumberFormat="1" applyFont="1" applyBorder="1" applyAlignment="1">
      <alignment vertical="top" wrapText="1"/>
    </xf>
    <xf numFmtId="0" fontId="5" fillId="0" borderId="2" xfId="1" applyFont="1" applyBorder="1" applyAlignment="1">
      <alignment vertical="top" wrapText="1"/>
    </xf>
    <xf numFmtId="0" fontId="3" fillId="0" borderId="0" xfId="2" applyFont="1" applyAlignment="1">
      <alignment horizontal="left" vertical="top"/>
    </xf>
    <xf numFmtId="165" fontId="8" fillId="0" borderId="2" xfId="0" applyNumberFormat="1" applyFont="1" applyBorder="1" applyAlignment="1">
      <alignment horizontal="left" vertical="top"/>
    </xf>
    <xf numFmtId="165" fontId="3" fillId="0" borderId="5" xfId="2" applyNumberFormat="1" applyFont="1" applyBorder="1" applyAlignment="1">
      <alignment horizontal="left" vertical="top"/>
    </xf>
    <xf numFmtId="1" fontId="8" fillId="0" borderId="2" xfId="0" applyNumberFormat="1" applyFont="1" applyBorder="1" applyAlignment="1">
      <alignment horizontal="left" vertical="top"/>
    </xf>
    <xf numFmtId="1" fontId="3" fillId="0" borderId="5" xfId="2" applyNumberFormat="1" applyFont="1" applyBorder="1" applyAlignment="1">
      <alignment horizontal="left" vertical="top"/>
    </xf>
    <xf numFmtId="1" fontId="3" fillId="0" borderId="5" xfId="1" applyNumberFormat="1" applyFont="1" applyBorder="1" applyAlignment="1">
      <alignment horizontal="left" vertical="top"/>
    </xf>
    <xf numFmtId="0" fontId="8" fillId="0" borderId="2" xfId="0" applyFont="1" applyBorder="1" applyAlignment="1">
      <alignment horizontal="left" vertical="top"/>
    </xf>
    <xf numFmtId="4" fontId="8" fillId="0" borderId="2" xfId="0" applyNumberFormat="1" applyFont="1" applyBorder="1" applyAlignment="1">
      <alignment horizontal="left" vertical="top"/>
    </xf>
    <xf numFmtId="4" fontId="3" fillId="0" borderId="5" xfId="1" applyNumberFormat="1" applyFont="1" applyBorder="1" applyAlignment="1">
      <alignment horizontal="left" vertical="top"/>
    </xf>
    <xf numFmtId="4" fontId="3" fillId="0" borderId="5" xfId="1" applyNumberFormat="1" applyFont="1" applyBorder="1" applyAlignment="1">
      <alignment horizontal="left" vertical="top" wrapText="1"/>
    </xf>
    <xf numFmtId="3" fontId="8" fillId="0" borderId="2" xfId="0" applyNumberFormat="1" applyFont="1" applyBorder="1" applyAlignment="1">
      <alignment horizontal="left" vertical="top"/>
    </xf>
    <xf numFmtId="0" fontId="8" fillId="0" borderId="0" xfId="0" applyFont="1" applyAlignment="1">
      <alignment vertical="top" wrapText="1"/>
    </xf>
    <xf numFmtId="0" fontId="3" fillId="0" borderId="7" xfId="1" applyFont="1" applyBorder="1" applyAlignment="1">
      <alignment vertical="top" wrapText="1"/>
    </xf>
    <xf numFmtId="49" fontId="7" fillId="0" borderId="2" xfId="0" applyNumberFormat="1" applyFont="1" applyBorder="1" applyAlignment="1">
      <alignment horizontal="left" vertical="top" wrapText="1"/>
    </xf>
    <xf numFmtId="49" fontId="5" fillId="0" borderId="5" xfId="2" applyNumberFormat="1" applyFont="1" applyBorder="1" applyAlignment="1">
      <alignment horizontal="left" vertical="top" wrapText="1"/>
    </xf>
    <xf numFmtId="0" fontId="7" fillId="0" borderId="2" xfId="0" applyFont="1" applyBorder="1" applyAlignment="1">
      <alignment vertical="top" wrapText="1"/>
    </xf>
    <xf numFmtId="0" fontId="1" fillId="0" borderId="2" xfId="1" applyBorder="1" applyAlignment="1">
      <alignment wrapText="1"/>
    </xf>
    <xf numFmtId="0" fontId="3" fillId="0" borderId="3" xfId="0" applyFont="1" applyBorder="1" applyAlignment="1">
      <alignment horizontal="left" vertical="top" wrapText="1"/>
    </xf>
    <xf numFmtId="49" fontId="5" fillId="0" borderId="5" xfId="2" applyNumberFormat="1" applyFont="1" applyBorder="1" applyAlignment="1">
      <alignment vertical="top" wrapText="1"/>
    </xf>
    <xf numFmtId="49" fontId="5" fillId="0" borderId="0" xfId="2" applyNumberFormat="1" applyFont="1" applyAlignment="1">
      <alignment vertical="top" wrapText="1"/>
    </xf>
    <xf numFmtId="0" fontId="5" fillId="0" borderId="0" xfId="1" applyFont="1" applyAlignment="1">
      <alignment vertical="top" wrapText="1"/>
    </xf>
    <xf numFmtId="165" fontId="3" fillId="0" borderId="0" xfId="2" applyNumberFormat="1" applyFont="1" applyAlignment="1">
      <alignment horizontal="left" vertical="top" wrapText="1"/>
    </xf>
    <xf numFmtId="1" fontId="3" fillId="0" borderId="0" xfId="2" applyNumberFormat="1" applyFont="1" applyAlignment="1">
      <alignment horizontal="left" vertical="top" wrapText="1"/>
    </xf>
    <xf numFmtId="165" fontId="3" fillId="0" borderId="0" xfId="1" applyNumberFormat="1" applyFont="1" applyAlignment="1">
      <alignment horizontal="left" vertical="top" wrapText="1"/>
    </xf>
    <xf numFmtId="1" fontId="3" fillId="0" borderId="0" xfId="1" applyNumberFormat="1" applyFont="1" applyAlignment="1">
      <alignment horizontal="left" vertical="top" wrapText="1"/>
    </xf>
    <xf numFmtId="0" fontId="3" fillId="0" borderId="0" xfId="1" applyFont="1" applyAlignment="1">
      <alignment horizontal="left" vertical="top" wrapText="1"/>
    </xf>
    <xf numFmtId="4" fontId="3" fillId="0" borderId="0" xfId="2" applyNumberFormat="1" applyFont="1" applyAlignment="1">
      <alignment horizontal="left" vertical="top" wrapText="1"/>
    </xf>
    <xf numFmtId="1" fontId="8" fillId="0" borderId="0" xfId="0" applyNumberFormat="1" applyFont="1" applyAlignment="1">
      <alignment horizontal="left" vertical="top"/>
    </xf>
    <xf numFmtId="15" fontId="3" fillId="0" borderId="5" xfId="1" applyNumberFormat="1" applyFont="1" applyBorder="1" applyAlignment="1">
      <alignment vertical="top" wrapText="1"/>
    </xf>
    <xf numFmtId="3" fontId="3" fillId="0" borderId="5" xfId="1" applyNumberFormat="1" applyFont="1" applyBorder="1" applyAlignment="1">
      <alignment horizontal="left" vertical="top"/>
    </xf>
    <xf numFmtId="3" fontId="3" fillId="0" borderId="2" xfId="1" applyNumberFormat="1" applyFont="1" applyBorder="1" applyAlignment="1">
      <alignment horizontal="left" vertical="top" wrapText="1"/>
    </xf>
    <xf numFmtId="0" fontId="3" fillId="0" borderId="1" xfId="1" applyFont="1" applyBorder="1" applyAlignment="1">
      <alignment vertical="top"/>
    </xf>
    <xf numFmtId="0" fontId="3" fillId="0" borderId="4" xfId="1" applyFont="1" applyBorder="1" applyAlignment="1">
      <alignment vertical="top"/>
    </xf>
    <xf numFmtId="0" fontId="8" fillId="0" borderId="1" xfId="0" applyFont="1" applyBorder="1" applyAlignment="1">
      <alignment vertical="top"/>
    </xf>
    <xf numFmtId="0" fontId="3" fillId="0" borderId="6" xfId="1" applyFont="1" applyBorder="1" applyAlignment="1">
      <alignment vertical="top"/>
    </xf>
    <xf numFmtId="0" fontId="3" fillId="0" borderId="1" xfId="1" applyFont="1" applyBorder="1" applyAlignment="1">
      <alignment vertical="top" wrapText="1"/>
    </xf>
    <xf numFmtId="0" fontId="3" fillId="0" borderId="6" xfId="1" applyFont="1" applyBorder="1" applyAlignment="1">
      <alignment vertical="top" wrapText="1"/>
    </xf>
    <xf numFmtId="0" fontId="10" fillId="0" borderId="0" xfId="0" applyFont="1"/>
    <xf numFmtId="0" fontId="10" fillId="0" borderId="0" xfId="0" applyFont="1" applyAlignment="1">
      <alignment horizontal="center"/>
    </xf>
    <xf numFmtId="0" fontId="3" fillId="2" borderId="2" xfId="1" applyFont="1" applyFill="1" applyBorder="1" applyAlignment="1">
      <alignment vertical="top" wrapText="1"/>
    </xf>
    <xf numFmtId="0" fontId="3" fillId="2" borderId="5" xfId="1" applyFont="1" applyFill="1" applyBorder="1" applyAlignment="1">
      <alignment vertical="top" wrapText="1"/>
    </xf>
    <xf numFmtId="0" fontId="3" fillId="2" borderId="0" xfId="1" applyFont="1" applyFill="1" applyAlignment="1">
      <alignment vertical="top" wrapText="1"/>
    </xf>
    <xf numFmtId="0" fontId="8" fillId="2" borderId="2" xfId="0" applyFont="1" applyFill="1" applyBorder="1" applyAlignment="1">
      <alignment vertical="top" wrapText="1"/>
    </xf>
  </cellXfs>
  <cellStyles count="5">
    <cellStyle name="Hyperlink 2" xfId="3" xr:uid="{00000000-0005-0000-0000-000003000000}"/>
    <cellStyle name="Normal" xfId="0" builtinId="0"/>
    <cellStyle name="Normal 2" xfId="1" xr:uid="{00000000-0005-0000-0000-000001000000}"/>
    <cellStyle name="Normal 2 2" xfId="2" xr:uid="{00000000-0005-0000-0000-000002000000}"/>
    <cellStyle name="Normal 3" xfId="4" xr:uid="{00000000-0005-0000-0000-000004000000}"/>
  </cellStyles>
  <dxfs count="116">
    <dxf>
      <font>
        <strike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solid">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fill>
        <patternFill>
          <fgColor indexed="64"/>
          <bgColor auto="1"/>
        </patternFill>
      </fill>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30" formatCode="@"/>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left"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fill>
        <patternFill patternType="solid">
          <fgColor indexed="64"/>
          <bgColor theme="2"/>
        </patternFill>
      </fill>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solid">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fill>
        <patternFill>
          <fgColor indexed="64"/>
          <bgColor auto="1"/>
        </patternFill>
      </fill>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solid">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fill>
        <patternFill>
          <fgColor indexed="64"/>
          <bgColor auto="1"/>
        </patternFill>
      </fill>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none">
          <fgColor indexed="64"/>
          <bgColor indexed="65"/>
        </patternFill>
      </fill>
      <alignment horizontal="left"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alignment horizontal="left"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4" formatCode="#,##0.0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4" formatCode="#,##0.00"/>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20" formatCode="d\-mmm\-yy"/>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20" formatCode="d\-mmm\-yy"/>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0" formatCode="General"/>
      <fill>
        <patternFill patternType="none">
          <fgColor indexed="64"/>
          <bgColor indexed="65"/>
        </patternFill>
      </fill>
      <alignment horizontal="left" vertical="top" textRotation="0" wrapText="0" indent="0" justifyLastLine="0" shrinkToFit="0" readingOrder="0"/>
    </dxf>
    <dxf>
      <font>
        <strike val="0"/>
        <condense val="0"/>
        <extend val="0"/>
        <outline val="0"/>
        <shadow val="0"/>
        <vertAlign val="baseline"/>
        <sz val="11"/>
        <color theme="1"/>
        <name val="Times New Roman"/>
        <family val="1"/>
      </font>
      <numFmt numFmtId="0" formatCode="General"/>
      <alignment horizontal="left" vertical="top"/>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dxf>
    <dxf>
      <font>
        <strike val="0"/>
        <condense val="0"/>
        <extend val="0"/>
        <outline val="0"/>
        <shadow val="0"/>
        <vertAlign val="baseline"/>
        <sz val="11"/>
        <color theme="1"/>
        <name val="Times New Roman"/>
        <family val="1"/>
      </font>
      <numFmt numFmtId="165" formatCode="[$-409]d\-mmm\-yyyy;@"/>
      <alignment horizontal="left" vertical="top"/>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65" formatCode="[$-409]d\-mmm\-yyyy;@"/>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dxf>
    <dxf>
      <font>
        <strike val="0"/>
        <condense val="0"/>
        <extend val="0"/>
        <outline val="0"/>
        <shadow val="0"/>
        <vertAlign val="baseline"/>
        <sz val="11"/>
        <color theme="1"/>
        <name val="Times New Roman"/>
        <family val="1"/>
      </font>
      <numFmt numFmtId="165" formatCode="[$-409]d\-mmm\-yyyy;@"/>
      <alignment horizontal="left" vertical="top"/>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65" formatCode="[$-409]d\-mmm\-yyyy;@"/>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numFmt numFmtId="1" formatCode="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 formatCode="0"/>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65" formatCode="[$-409]d\-mmm\-yyyy;@"/>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1" formatCode="0"/>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 formatCode="0"/>
      <alignment horizontal="left"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165" formatCode="[$-409]d\-mmm\-yyyy;@"/>
      <fill>
        <patternFill patternType="none">
          <fgColor indexed="64"/>
          <bgColor indexed="65"/>
        </patternFill>
      </fill>
      <alignment horizontal="left"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165" formatCode="[$-409]d\-mmm\-yyyy;@"/>
      <alignment horizontal="left"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dxf>
    <dxf>
      <font>
        <strike val="0"/>
        <condense val="0"/>
        <extend val="0"/>
        <outline val="0"/>
        <shadow val="0"/>
        <vertAlign val="baseline"/>
        <sz val="11"/>
        <color theme="1"/>
        <name val="Times New Roman"/>
        <family val="1"/>
      </font>
      <alignment horizontal="general" vertical="top" wrapText="1"/>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general" vertical="top"/>
      <border>
        <left/>
        <right/>
        <top style="thin">
          <color theme="4"/>
        </top>
        <bottom/>
        <vertical/>
        <horizontal/>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general" vertical="top"/>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30" formatCode="@"/>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wrapText="1"/>
      <border>
        <left/>
        <right/>
        <top style="thin">
          <color theme="4"/>
        </top>
        <bottom/>
        <vertical/>
        <horizontal/>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general" vertical="top"/>
      <border>
        <left/>
        <right/>
        <top style="thin">
          <color theme="4"/>
        </top>
        <bottom/>
        <vertical/>
        <horizontal/>
      </border>
    </dxf>
    <dxf>
      <font>
        <b/>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alignment horizontal="general"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dxf>
    <dxf>
      <font>
        <strike val="0"/>
        <condense val="0"/>
        <extend val="0"/>
        <outline val="0"/>
        <shadow val="0"/>
        <vertAlign val="baseline"/>
        <sz val="11"/>
        <color theme="1"/>
        <name val="Times New Roman"/>
        <family val="1"/>
      </font>
      <alignment horizontal="general" vertical="top"/>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alignment horizontal="general" vertical="top"/>
      <border>
        <left/>
        <right/>
        <top style="thin">
          <color theme="4"/>
        </top>
        <bottom/>
        <vertical/>
        <horizontal/>
      </border>
    </dxf>
    <dxf>
      <font>
        <b val="0"/>
        <i val="0"/>
        <strike val="0"/>
        <condense val="0"/>
        <extend val="0"/>
        <outline val="0"/>
        <shadow val="0"/>
        <u val="none"/>
        <vertAlign val="baseline"/>
        <sz val="11"/>
        <color theme="1"/>
        <name val="Times New Roman"/>
        <family val="1"/>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strike val="0"/>
        <condense val="0"/>
        <extend val="0"/>
        <outline val="0"/>
        <shadow val="0"/>
        <vertAlign val="baseline"/>
        <sz val="11"/>
        <color theme="1"/>
        <name val="Times New Roman"/>
        <family val="1"/>
      </font>
      <numFmt numFmtId="30" formatCode="@"/>
      <alignment horizontal="general" vertical="top" wrapText="1"/>
      <border outline="0">
        <left/>
        <right/>
        <top style="thin">
          <color theme="4"/>
        </top>
        <bottom/>
      </border>
    </dxf>
    <dxf>
      <font>
        <b/>
        <i val="0"/>
        <strike val="0"/>
        <condense val="0"/>
        <extend val="0"/>
        <outline val="0"/>
        <shadow val="0"/>
        <u val="none"/>
        <vertAlign val="baseline"/>
        <sz val="11"/>
        <color theme="1"/>
        <name val="Times New Roman"/>
        <family val="1"/>
        <scheme val="none"/>
      </font>
      <numFmt numFmtId="30" formatCode="@"/>
      <fill>
        <patternFill patternType="solid">
          <fgColor indexed="64"/>
          <bgColor indexed="65"/>
        </patternFill>
      </fill>
      <alignment horizontal="general" vertical="top" textRotation="0" wrapText="1" indent="0" justifyLastLine="0" shrinkToFit="0" readingOrder="0"/>
      <border diagonalUp="0" diagonalDown="0" outline="0">
        <left/>
        <right/>
        <top style="thin">
          <color theme="4"/>
        </top>
        <bottom/>
      </border>
    </dxf>
    <dxf>
      <font>
        <b/>
        <strike val="0"/>
        <condense val="0"/>
        <extend val="0"/>
        <outline val="0"/>
        <shadow val="0"/>
        <vertAlign val="baseline"/>
        <sz val="11"/>
        <color theme="1"/>
        <name val="Times New Roman"/>
        <family val="1"/>
      </font>
      <numFmt numFmtId="30" formatCode="@"/>
      <fill>
        <patternFill>
          <fgColor indexed="64"/>
          <bgColor auto="1"/>
        </patternFill>
      </fill>
      <alignment horizontal="general" vertical="top" wrapText="1"/>
      <border outline="0">
        <left/>
        <right/>
        <top style="thin">
          <color theme="4"/>
        </top>
        <bottom/>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general" vertical="top" textRotation="0" wrapText="0" indent="0" justifyLastLine="0" shrinkToFit="0" readingOrder="0"/>
      <border diagonalUp="0" diagonalDown="0" outline="0">
        <left style="thin">
          <color theme="4"/>
        </left>
        <right/>
        <top style="thin">
          <color theme="4"/>
        </top>
        <bottom/>
      </border>
    </dxf>
    <dxf>
      <font>
        <strike val="0"/>
        <condense val="0"/>
        <extend val="0"/>
        <outline val="0"/>
        <shadow val="0"/>
        <vertAlign val="baseline"/>
        <sz val="11"/>
        <color theme="1"/>
        <name val="Times New Roman"/>
        <family val="1"/>
        <scheme val="none"/>
      </font>
      <fill>
        <patternFill patternType="none">
          <fgColor indexed="64"/>
          <bgColor auto="1"/>
        </patternFill>
      </fill>
      <alignment horizontal="general" vertical="top" textRotation="0" wrapText="0" indent="0" justifyLastLine="0" shrinkToFit="0" readingOrder="0"/>
      <border diagonalUp="0" diagonalDown="0">
        <left style="thin">
          <color theme="4"/>
        </left>
        <right/>
        <top style="thin">
          <color theme="4"/>
        </top>
        <bottom/>
        <vertical/>
        <horizontal/>
      </border>
    </dxf>
    <dxf>
      <font>
        <b/>
        <strike val="0"/>
        <condense val="0"/>
        <extend val="0"/>
        <outline val="0"/>
        <shadow val="0"/>
        <vertAlign val="baseline"/>
        <sz val="12"/>
        <color theme="1"/>
        <name val="Times New Roman"/>
        <family val="1"/>
      </font>
      <fill>
        <patternFill>
          <fgColor indexed="64"/>
          <bgColor indexed="65"/>
        </patternFill>
      </fill>
      <alignment horizontal="center"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PAIR" displayName="REPAIR" ref="A1:BC391" totalsRowShown="0" headerRowDxfId="115" headerRowCellStyle="Normal 2">
  <autoFilter ref="A1:BC391" xr:uid="{00000000-0009-0000-0100-000001000000}"/>
  <sortState xmlns:xlrd2="http://schemas.microsoft.com/office/spreadsheetml/2017/richdata2" ref="A2:BC391">
    <sortCondition ref="F2:F391"/>
    <sortCondition ref="X2:X391"/>
    <sortCondition ref="W2:W391"/>
  </sortState>
  <tableColumns count="55">
    <tableColumn id="1" xr3:uid="{00000000-0010-0000-0000-000001000000}" name="ID" dataDxfId="114" totalsRowDxfId="113" dataCellStyle="Normal 2" totalsRowCellStyle="Normal 2"/>
    <tableColumn id="2" xr3:uid="{00000000-0010-0000-0000-000002000000}" name="Programme name" dataDxfId="112" totalsRowDxfId="111" dataCellStyle="Normal 2 2" totalsRowCellStyle="Normal 2 2"/>
    <tableColumn id="4" xr3:uid="{00000000-0010-0000-0000-000004000000}" name="Payor" dataDxfId="110" totalsRowDxfId="109" dataCellStyle="Normal 2 2" totalsRowCellStyle="Normal 2 2"/>
    <tableColumn id="5" xr3:uid="{00000000-0010-0000-0000-000005000000}" name="Payor type" dataDxfId="108" totalsRowDxfId="107" dataCellStyle="Normal 2" totalsRowCellStyle="Normal 2"/>
    <tableColumn id="51" xr3:uid="{00000000-0010-0000-0000-000033000000}" name="Payor private or public" dataDxfId="106" totalsRowDxfId="105" dataCellStyle="Normal 2" totalsRowCellStyle="Normal 2"/>
    <tableColumn id="6" xr3:uid="{00000000-0010-0000-0000-000006000000}" name="Payor country or economy" dataDxfId="104" totalsRowDxfId="103" dataCellStyle="Normal 2 2" totalsRowCellStyle="Normal 2 2"/>
    <tableColumn id="56" xr3:uid="{00000000-0010-0000-0000-000038000000}" name="Payor country or economy (ISO)" dataDxfId="102" totalsRowDxfId="101" dataCellStyle="Normal 2 2" totalsRowCellStyle="Normal 2 2"/>
    <tableColumn id="7" xr3:uid="{00000000-0010-0000-0000-000007000000}" name="Payor region" dataDxfId="100" totalsRowDxfId="99" dataCellStyle="Normal 2" totalsRowCellStyle="Normal 2"/>
    <tableColumn id="8" xr3:uid="{00000000-0010-0000-0000-000008000000}" name="Payor income level" dataDxfId="98" totalsRowDxfId="97" dataCellStyle="Normal 2" totalsRowCellStyle="Normal 2"/>
    <tableColumn id="9" xr3:uid="{00000000-0010-0000-0000-000009000000}" name="Recipient(s)" dataDxfId="96" totalsRowDxfId="95" dataCellStyle="Normal 2 2" totalsRowCellStyle="Normal 2 2"/>
    <tableColumn id="10" xr3:uid="{00000000-0010-0000-0000-00000A000000}" name="Recipient type" dataDxfId="94" totalsRowDxfId="93" dataCellStyle="Normal 2" totalsRowCellStyle="Normal 2"/>
    <tableColumn id="11" xr3:uid="{00000000-0010-0000-0000-00000B000000}" name="Recipient country or economy" dataDxfId="92" totalsRowDxfId="91" dataCellStyle="Normal 2 2" totalsRowCellStyle="Normal 2 2"/>
    <tableColumn id="57" xr3:uid="{00000000-0010-0000-0000-000039000000}" name="Recipient country or economy (ISO)" dataDxfId="90" totalsRowDxfId="89" dataCellStyle="Normal 2 2" totalsRowCellStyle="Normal 2 2"/>
    <tableColumn id="12" xr3:uid="{00000000-0010-0000-0000-00000C000000}" name="Recipient region" dataDxfId="88" totalsRowDxfId="87" dataCellStyle="Normal 2" totalsRowCellStyle="Normal 2"/>
    <tableColumn id="13" xr3:uid="{00000000-0010-0000-0000-00000D000000}" name="Recipient income level" dataDxfId="86" totalsRowDxfId="85" dataCellStyle="Normal 2" totalsRowCellStyle="Normal 2"/>
    <tableColumn id="14" xr3:uid="{00000000-0010-0000-0000-00000E000000}" name="Reparations type" dataDxfId="84" totalsRowDxfId="83" dataCellStyle="Normal 2" totalsRowCellStyle="Normal 2"/>
    <tableColumn id="15" xr3:uid="{00000000-0010-0000-0000-00000F000000}" name="Context or reason for reparations" dataDxfId="82" totalsRowDxfId="81" dataCellStyle="Normal 2" totalsRowCellStyle="Normal 2"/>
    <tableColumn id="16" xr3:uid="{00000000-0010-0000-0000-000010000000}" name="Main harm" dataDxfId="80" totalsRowDxfId="79" dataCellStyle="Normal 2" totalsRowCellStyle="Normal 2"/>
    <tableColumn id="59" xr3:uid="{00000000-0010-0000-0000-00003B000000}" name="Secondary harm" dataDxfId="78" totalsRowDxfId="77" dataCellStyle="Normal 2" totalsRowCellStyle="Normal 2"/>
    <tableColumn id="17" xr3:uid="{00000000-0010-0000-0000-000011000000}" name="Harm death impact" dataDxfId="76" totalsRowDxfId="75" dataCellStyle="Normal 2" totalsRowCellStyle="Normal 2"/>
    <tableColumn id="18" xr3:uid="{00000000-0010-0000-0000-000012000000}" name="Beginning of the harm (Date)" dataDxfId="74" totalsRowDxfId="73" dataCellStyle="Normal 2 2" totalsRowCellStyle="Normal 2 2"/>
    <tableColumn id="19" xr3:uid="{00000000-0010-0000-0000-000013000000}" name="Beginning of the harm (Year)" dataDxfId="72" totalsRowDxfId="71" dataCellStyle="Normal 2 2" totalsRowCellStyle="Normal 2 2"/>
    <tableColumn id="24" xr3:uid="{00000000-0010-0000-0000-000018000000}" name="Date of reparations agreement " dataDxfId="70" totalsRowDxfId="69" dataCellStyle="Normal 2" totalsRowCellStyle="Normal 2"/>
    <tableColumn id="25" xr3:uid="{00000000-0010-0000-0000-000019000000}" name="Year of reparations agreement" dataDxfId="68" totalsRowDxfId="67" dataCellStyle="Normal 2" totalsRowCellStyle="Normal 2"/>
    <tableColumn id="26" xr3:uid="{00000000-0010-0000-0000-00001A000000}" name="Start date of reparations payment" dataDxfId="66" totalsRowDxfId="65" dataCellStyle="Normal 2" totalsRowCellStyle="Normal 2"/>
    <tableColumn id="52" xr3:uid="{00000000-0010-0000-0000-000034000000}" name="Start year of reparations payment" dataDxfId="64" totalsRowDxfId="63" dataCellStyle="Normal 2" totalsRowCellStyle="Normal 2"/>
    <tableColumn id="27" xr3:uid="{00000000-0010-0000-0000-00001B000000}" name="End date of reparations payment" dataDxfId="62" totalsRowDxfId="61" dataCellStyle="Normal 2" totalsRowCellStyle="Normal 2"/>
    <tableColumn id="50" xr3:uid="{00000000-0010-0000-0000-000032000000}" name="End year of reparations payment" dataDxfId="60" totalsRowDxfId="59" dataCellStyle="Normal 2" totalsRowCellStyle="Normal 2"/>
    <tableColumn id="53" xr3:uid="{00000000-0010-0000-0000-000035000000}" name="Duration of payments distribution" dataDxfId="58" totalsRowDxfId="57" dataCellStyle="Normal 2" totalsRowCellStyle="Normal 2"/>
    <tableColumn id="62" xr3:uid="{00000000-0010-0000-0000-00003E000000}" name="Payments conversion year" dataDxfId="56" totalsRowDxfId="55" dataCellStyle="Normal 2" totalsRowCellStyle="Normal 2"/>
    <tableColumn id="28" xr3:uid="{00000000-0010-0000-0000-00001C000000}" name="Additional notes on timeline" dataDxfId="54" totalsRowDxfId="53" dataCellStyle="Normal 2" totalsRowCellStyle="Normal 2"/>
    <tableColumn id="29" xr3:uid="{00000000-0010-0000-0000-00001D000000}" name="Currency" dataDxfId="52" totalsRowDxfId="51" dataCellStyle="Normal 2" totalsRowCellStyle="Normal 2"/>
    <tableColumn id="30" xr3:uid="{00000000-0010-0000-0000-00001E000000}" name="Pledged (Total)" dataDxfId="50" totalsRowDxfId="49" dataCellStyle="Normal 2" totalsRowCellStyle="Normal 2"/>
    <tableColumn id="31" xr3:uid="{00000000-0010-0000-0000-00001F000000}" name="Pledged (Total USD)" dataDxfId="48" totalsRowDxfId="47" dataCellStyle="Normal 2" totalsRowCellStyle="Normal 2"/>
    <tableColumn id="32" xr3:uid="{00000000-0010-0000-0000-000020000000}" name="Pledged (Total USD 2024)" dataDxfId="46" totalsRowDxfId="45" dataCellStyle="Normal 2" totalsRowCellStyle="Normal 2"/>
    <tableColumn id="61" xr3:uid="{00000000-0010-0000-0000-00003D000000}" name="Pledge type" dataDxfId="44" totalsRowDxfId="43" dataCellStyle="Normal 2" totalsRowCellStyle="Normal 2"/>
    <tableColumn id="33" xr3:uid="{00000000-0010-0000-0000-000021000000}" name="Paid (Total)" dataDxfId="42" totalsRowDxfId="41" dataCellStyle="Normal 2" totalsRowCellStyle="Normal 2"/>
    <tableColumn id="34" xr3:uid="{00000000-0010-0000-0000-000022000000}" name="Paid (Total USD)" dataDxfId="40" totalsRowDxfId="39" dataCellStyle="Normal 2" totalsRowCellStyle="Normal 2"/>
    <tableColumn id="35" xr3:uid="{00000000-0010-0000-0000-000023000000}" name="Paid (Total USD 2024)" dataDxfId="38" totalsRowDxfId="37" dataCellStyle="Normal 2" totalsRowCellStyle="Normal 2"/>
    <tableColumn id="36" xr3:uid="{00000000-0010-0000-0000-000024000000}" name="Type of payment" dataDxfId="36" totalsRowDxfId="35" dataCellStyle="Normal 2" totalsRowCellStyle="Normal 2"/>
    <tableColumn id="37" xr3:uid="{00000000-0010-0000-0000-000025000000}" name="Type of beneficiaries" dataDxfId="34" totalsRowDxfId="33" dataCellStyle="Normal 2" totalsRowCellStyle="Normal 2"/>
    <tableColumn id="38" xr3:uid="{00000000-0010-0000-0000-000026000000}" name="Estimated number of beneficiaries" dataDxfId="32" totalsRowDxfId="31" dataCellStyle="Normal 2" totalsRowCellStyle="Normal 2"/>
    <tableColumn id="60" xr3:uid="{00000000-0010-0000-0000-00003C000000}" name="Reported number of beneficiaries paid" dataDxfId="30" totalsRowDxfId="29" dataCellStyle="Normal 2" totalsRowCellStyle="Normal 2"/>
    <tableColumn id="39" xr3:uid="{00000000-0010-0000-0000-000027000000}" name="Agreement mechanism" dataDxfId="28" totalsRowDxfId="27" dataCellStyle="Normal 2" totalsRowCellStyle="Normal 2"/>
    <tableColumn id="54" xr3:uid="{00000000-0010-0000-0000-000036000000}" name="Disbursement mechanism" dataDxfId="26" totalsRowDxfId="25" dataCellStyle="Normal 2" totalsRowCellStyle="Normal 2"/>
    <tableColumn id="40" xr3:uid="{00000000-0010-0000-0000-000028000000}" name="Intermediary " dataDxfId="24" totalsRowDxfId="23" dataCellStyle="Normal 2" totalsRowCellStyle="Normal 2"/>
    <tableColumn id="55" xr3:uid="{00000000-0010-0000-0000-000037000000}" name="SDGs addressed (HIDDEN)" dataDxfId="22" totalsRowDxfId="21" dataCellStyle="Normal 2" totalsRowCellStyle="Normal 2"/>
    <tableColumn id="41" xr3:uid="{00000000-0010-0000-0000-000029000000}" name="Existing database(s)" dataDxfId="20" totalsRowDxfId="19" dataCellStyle="Normal 2 2" totalsRowCellStyle="Normal 2 2"/>
    <tableColumn id="43" xr3:uid="{00000000-0010-0000-0000-00002B000000}" name="Primary source(s)" dataDxfId="18" totalsRowDxfId="17" dataCellStyle="Normal 2" totalsRowCellStyle="Normal 2"/>
    <tableColumn id="44" xr3:uid="{00000000-0010-0000-0000-00002C000000}" name="Secondary source(s)" dataDxfId="16" totalsRowDxfId="15" dataCellStyle="Normal 2 2" totalsRowCellStyle="Normal 2 2"/>
    <tableColumn id="46" xr3:uid="{00000000-0010-0000-0000-00002E000000}" name="Source URL(s)" dataDxfId="14" totalsRowDxfId="13" dataCellStyle="Normal 2" totalsRowCellStyle="Normal 2"/>
    <tableColumn id="47" xr3:uid="{00000000-0010-0000-0000-00002F000000}" name="Archived URL(s) via Wayback Machine" dataDxfId="12" totalsRowDxfId="11" dataCellStyle="Normal 2" totalsRowCellStyle="Normal 2"/>
    <tableColumn id="49" xr3:uid="{00000000-0010-0000-0000-000031000000}" name="Source extracts" dataDxfId="10" totalsRowDxfId="9" dataCellStyle="Normal 2" totalsRowCellStyle="Normal 2"/>
    <tableColumn id="58" xr3:uid="{00000000-0010-0000-0000-00003A000000}" name="Additional comments" dataDxfId="8" totalsRowDxfId="7" dataCellStyle="Normal 2" totalsRowCellStyle="Normal 2"/>
    <tableColumn id="3" xr3:uid="{00000000-0010-0000-0000-000003000000}" name="Keywords" dataDxfId="6" totalsRowDxfId="5" dataCellStyle="Normal 2" totalsRowCellStyle="Normal 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55C681-343D-0E40-8E64-ECC163D347C3}" name="Table2" displayName="Table2" ref="A1:C9" totalsRowShown="0" headerRowDxfId="4" dataDxfId="3">
  <autoFilter ref="A1:C9" xr:uid="{B455C681-343D-0E40-8E64-ECC163D347C3}"/>
  <sortState xmlns:xlrd2="http://schemas.microsoft.com/office/spreadsheetml/2017/richdata2" ref="A2:C9">
    <sortCondition descending="1" ref="C5:C9"/>
  </sortState>
  <tableColumns count="3">
    <tableColumn id="1" xr3:uid="{08CDA314-A146-E647-9AF9-D4B23FE1AC02}" name="Database" dataDxfId="2"/>
    <tableColumn id="4" xr3:uid="{D428760E-AE6C-BC4F-B3A7-F4CB4C1CA3A3}" name="Unique mentions" dataDxfId="1"/>
    <tableColumn id="2" xr3:uid="{4844237F-D285-3F4A-AF0B-0BE576BBF480}" name="RPD entri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reparations.qub.ac.uk/assets/uploads/1998-Compensation-Act-for-Wrongful-Trials-on-Charges-of-Sedition-and-Espionage-during-the-Martial-Law-Period.pdf" TargetMode="External"/><Relationship Id="rId1" Type="http://schemas.openxmlformats.org/officeDocument/2006/relationships/hyperlink" Target="https://natlex.ilo.org/dyn/natlex2/r/natlex/fe/details?p3_isn=22457&amp;cs=1bYWwYk1F0JWoCwqXcwuXsUEvhtB04i5Z-eaOwNO0n5Qss0oRQ74MLt-4wLwzAgCR4B7veHb46lv419GxPXe2t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391"/>
  <sheetViews>
    <sheetView tabSelected="1" topLeftCell="BA1" zoomScale="109" zoomScaleNormal="120" workbookViewId="0">
      <pane ySplit="1" topLeftCell="A9" activePane="bottomLeft" state="frozen"/>
      <selection activeCell="B1" sqref="B1"/>
      <selection pane="bottomLeft" activeCell="AR17" sqref="AR17"/>
    </sheetView>
  </sheetViews>
  <sheetFormatPr baseColWidth="10" defaultRowHeight="16" x14ac:dyDescent="0.2"/>
  <cols>
    <col min="1" max="1" width="19.33203125" bestFit="1" customWidth="1"/>
    <col min="2" max="2" width="60.83203125" customWidth="1"/>
    <col min="3" max="3" width="37.83203125" customWidth="1"/>
    <col min="4" max="4" width="23.83203125" customWidth="1"/>
    <col min="5" max="5" width="28.5" bestFit="1" customWidth="1"/>
    <col min="6" max="6" width="27.1640625" customWidth="1"/>
    <col min="7" max="7" width="39.6640625" bestFit="1" customWidth="1"/>
    <col min="8" max="8" width="38.83203125" customWidth="1"/>
    <col min="9" max="9" width="23.5" bestFit="1" customWidth="1"/>
    <col min="10" max="10" width="49.6640625" customWidth="1"/>
    <col min="11" max="11" width="26.1640625" style="29" customWidth="1"/>
    <col min="12" max="12" width="37" customWidth="1"/>
    <col min="13" max="13" width="42.5" bestFit="1" customWidth="1"/>
    <col min="14" max="14" width="24.1640625" style="29" customWidth="1"/>
    <col min="15" max="15" width="26.1640625" bestFit="1" customWidth="1"/>
    <col min="16" max="16" width="21.6640625" bestFit="1" customWidth="1"/>
    <col min="17" max="17" width="75.6640625" customWidth="1"/>
    <col min="18" max="18" width="41.1640625" customWidth="1"/>
    <col min="19" max="19" width="29.1640625" customWidth="1"/>
    <col min="20" max="20" width="23.6640625" bestFit="1" customWidth="1"/>
    <col min="21" max="21" width="31.6640625" bestFit="1" customWidth="1"/>
    <col min="22" max="22" width="33.5" bestFit="1" customWidth="1"/>
    <col min="23" max="23" width="31" customWidth="1"/>
    <col min="24" max="24" width="33.83203125" bestFit="1" customWidth="1"/>
    <col min="25" max="25" width="38.5" bestFit="1" customWidth="1"/>
    <col min="26" max="26" width="38.6640625" bestFit="1" customWidth="1"/>
    <col min="27" max="27" width="37.33203125" bestFit="1" customWidth="1"/>
    <col min="28" max="28" width="37.5" customWidth="1"/>
    <col min="29" max="29" width="38.33203125" style="21" bestFit="1" customWidth="1"/>
    <col min="30" max="30" width="38.33203125" style="21" customWidth="1"/>
    <col min="31" max="31" width="30.83203125" style="29" customWidth="1"/>
    <col min="32" max="32" width="14.33203125" bestFit="1" customWidth="1"/>
    <col min="33" max="33" width="22.1640625" customWidth="1"/>
    <col min="34" max="34" width="25.1640625" customWidth="1"/>
    <col min="35" max="35" width="39" bestFit="1" customWidth="1"/>
    <col min="36" max="36" width="15.83203125" bestFit="1" customWidth="1"/>
    <col min="37" max="37" width="20.33203125" customWidth="1"/>
    <col min="38" max="38" width="22.5" customWidth="1"/>
    <col min="39" max="39" width="36" bestFit="1" customWidth="1"/>
    <col min="40" max="40" width="22.83203125" bestFit="1" customWidth="1"/>
    <col min="41" max="41" width="36.33203125" customWidth="1"/>
    <col min="42" max="42" width="35.83203125" style="21" bestFit="1" customWidth="1"/>
    <col min="43" max="43" width="39.6640625" style="21" bestFit="1" customWidth="1"/>
    <col min="44" max="44" width="26" bestFit="1" customWidth="1"/>
    <col min="45" max="45" width="32" bestFit="1" customWidth="1"/>
    <col min="46" max="46" width="35" bestFit="1" customWidth="1"/>
    <col min="47" max="47" width="34.1640625" bestFit="1" customWidth="1"/>
    <col min="48" max="48" width="59.6640625" bestFit="1" customWidth="1"/>
    <col min="49" max="49" width="78.83203125" customWidth="1"/>
    <col min="50" max="50" width="97.33203125" customWidth="1"/>
    <col min="51" max="51" width="59.83203125" style="29" customWidth="1"/>
    <col min="52" max="52" width="40.6640625" style="29" bestFit="1" customWidth="1"/>
    <col min="53" max="53" width="72" customWidth="1"/>
    <col min="54" max="54" width="94" customWidth="1"/>
    <col min="55" max="55" width="49.5" customWidth="1"/>
  </cols>
  <sheetData>
    <row r="1" spans="1:55" s="5" customFormat="1" ht="17" customHeight="1" x14ac:dyDescent="0.2">
      <c r="A1" s="1" t="s">
        <v>0</v>
      </c>
      <c r="B1" s="1" t="s">
        <v>1</v>
      </c>
      <c r="C1" s="2" t="s">
        <v>2</v>
      </c>
      <c r="D1" s="1" t="s">
        <v>3</v>
      </c>
      <c r="E1" s="1" t="s">
        <v>4</v>
      </c>
      <c r="F1" s="1" t="s">
        <v>5</v>
      </c>
      <c r="G1" s="1" t="s">
        <v>6</v>
      </c>
      <c r="H1" s="2" t="s">
        <v>7</v>
      </c>
      <c r="I1" s="2" t="s">
        <v>8</v>
      </c>
      <c r="J1" s="2" t="s">
        <v>3751</v>
      </c>
      <c r="K1" s="2" t="s">
        <v>9</v>
      </c>
      <c r="L1" s="1" t="s">
        <v>10</v>
      </c>
      <c r="M1" s="1" t="s">
        <v>11</v>
      </c>
      <c r="N1" s="2" t="s">
        <v>4593</v>
      </c>
      <c r="O1" s="1" t="s">
        <v>12</v>
      </c>
      <c r="P1" s="1" t="s">
        <v>13</v>
      </c>
      <c r="Q1" s="1" t="s">
        <v>14</v>
      </c>
      <c r="R1" s="1" t="s">
        <v>15</v>
      </c>
      <c r="S1" s="1" t="s">
        <v>16</v>
      </c>
      <c r="T1" s="1" t="s">
        <v>17</v>
      </c>
      <c r="U1" s="3" t="s">
        <v>3753</v>
      </c>
      <c r="V1" s="1" t="s">
        <v>3752</v>
      </c>
      <c r="W1" s="1" t="s">
        <v>18</v>
      </c>
      <c r="X1" s="1" t="s">
        <v>19</v>
      </c>
      <c r="Y1" s="1" t="s">
        <v>20</v>
      </c>
      <c r="Z1" s="1" t="s">
        <v>21</v>
      </c>
      <c r="AA1" s="1" t="s">
        <v>22</v>
      </c>
      <c r="AB1" s="1" t="s">
        <v>23</v>
      </c>
      <c r="AC1" s="1" t="s">
        <v>3754</v>
      </c>
      <c r="AD1" s="1" t="s">
        <v>24</v>
      </c>
      <c r="AE1" s="2" t="s">
        <v>25</v>
      </c>
      <c r="AF1" s="1" t="s">
        <v>26</v>
      </c>
      <c r="AG1" s="4" t="s">
        <v>27</v>
      </c>
      <c r="AH1" s="1" t="s">
        <v>28</v>
      </c>
      <c r="AI1" s="1" t="s">
        <v>29</v>
      </c>
      <c r="AJ1" s="1" t="s">
        <v>30</v>
      </c>
      <c r="AK1" s="4" t="s">
        <v>31</v>
      </c>
      <c r="AL1" s="1" t="s">
        <v>32</v>
      </c>
      <c r="AM1" s="1" t="s">
        <v>33</v>
      </c>
      <c r="AN1" s="1" t="s">
        <v>34</v>
      </c>
      <c r="AO1" s="1" t="s">
        <v>35</v>
      </c>
      <c r="AP1" s="1" t="s">
        <v>36</v>
      </c>
      <c r="AQ1" s="1" t="s">
        <v>37</v>
      </c>
      <c r="AR1" s="1" t="s">
        <v>38</v>
      </c>
      <c r="AS1" s="1" t="s">
        <v>39</v>
      </c>
      <c r="AT1" s="2" t="s">
        <v>40</v>
      </c>
      <c r="AU1" s="2" t="s">
        <v>4184</v>
      </c>
      <c r="AV1" s="1" t="s">
        <v>3824</v>
      </c>
      <c r="AW1" s="1" t="s">
        <v>41</v>
      </c>
      <c r="AX1" s="1" t="s">
        <v>42</v>
      </c>
      <c r="AY1" s="2" t="s">
        <v>43</v>
      </c>
      <c r="AZ1" s="2" t="s">
        <v>44</v>
      </c>
      <c r="BA1" s="1" t="s">
        <v>45</v>
      </c>
      <c r="BB1" s="1" t="s">
        <v>3870</v>
      </c>
      <c r="BC1" s="1" t="s">
        <v>46</v>
      </c>
    </row>
    <row r="2" spans="1:55" ht="70" customHeight="1" x14ac:dyDescent="0.2">
      <c r="A2" s="88" t="s">
        <v>4186</v>
      </c>
      <c r="B2" s="6" t="s">
        <v>47</v>
      </c>
      <c r="C2" s="7" t="s">
        <v>48</v>
      </c>
      <c r="D2" s="8" t="s">
        <v>49</v>
      </c>
      <c r="E2" s="8" t="s">
        <v>50</v>
      </c>
      <c r="F2" s="9" t="s">
        <v>51</v>
      </c>
      <c r="G2" s="9" t="s">
        <v>52</v>
      </c>
      <c r="H2" s="10" t="s">
        <v>4154</v>
      </c>
      <c r="I2" s="10" t="s">
        <v>53</v>
      </c>
      <c r="J2" s="7" t="s">
        <v>54</v>
      </c>
      <c r="K2" s="10" t="s">
        <v>55</v>
      </c>
      <c r="L2" s="9" t="s">
        <v>51</v>
      </c>
      <c r="M2" s="9" t="s">
        <v>52</v>
      </c>
      <c r="N2" s="10" t="s">
        <v>4154</v>
      </c>
      <c r="O2" s="8" t="s">
        <v>53</v>
      </c>
      <c r="P2" s="8" t="s">
        <v>56</v>
      </c>
      <c r="Q2" s="10" t="s">
        <v>57</v>
      </c>
      <c r="R2" s="10" t="s">
        <v>58</v>
      </c>
      <c r="S2" s="10" t="s">
        <v>59</v>
      </c>
      <c r="T2" s="8" t="s">
        <v>60</v>
      </c>
      <c r="U2" s="11">
        <v>16405</v>
      </c>
      <c r="V2" s="12">
        <v>1944</v>
      </c>
      <c r="W2" s="13">
        <v>38197</v>
      </c>
      <c r="X2" s="14">
        <v>2004</v>
      </c>
      <c r="Y2" s="13">
        <v>38353</v>
      </c>
      <c r="Z2" s="14">
        <v>2005</v>
      </c>
      <c r="AA2" s="13">
        <v>40179</v>
      </c>
      <c r="AB2" s="14">
        <v>2010</v>
      </c>
      <c r="AC2" s="14">
        <v>5</v>
      </c>
      <c r="AD2" s="14">
        <v>2011</v>
      </c>
      <c r="AE2" s="27" t="s">
        <v>61</v>
      </c>
      <c r="AF2" s="8" t="s">
        <v>62</v>
      </c>
      <c r="AG2" s="28">
        <v>2754526414</v>
      </c>
      <c r="AH2" s="16">
        <v>27300695.41</v>
      </c>
      <c r="AI2" s="16">
        <v>38072223.32</v>
      </c>
      <c r="AJ2" s="16" t="s">
        <v>63</v>
      </c>
      <c r="AK2" s="28">
        <v>2754526414</v>
      </c>
      <c r="AL2" s="16">
        <v>27300695.41</v>
      </c>
      <c r="AM2" s="16">
        <v>38072223.32</v>
      </c>
      <c r="AN2" s="10" t="s">
        <v>64</v>
      </c>
      <c r="AO2" s="8" t="s">
        <v>3756</v>
      </c>
      <c r="AP2" s="43">
        <v>56000</v>
      </c>
      <c r="AQ2" s="15">
        <v>577</v>
      </c>
      <c r="AR2" s="8" t="s">
        <v>3765</v>
      </c>
      <c r="AS2" s="69" t="s">
        <v>3819</v>
      </c>
      <c r="AT2" s="10" t="s">
        <v>3795</v>
      </c>
      <c r="AU2" s="96"/>
      <c r="AV2" s="17" t="s">
        <v>3871</v>
      </c>
      <c r="AW2" s="10" t="s">
        <v>3941</v>
      </c>
      <c r="AX2" s="7"/>
      <c r="AY2" s="10" t="s">
        <v>65</v>
      </c>
      <c r="AZ2" s="10" t="s">
        <v>66</v>
      </c>
      <c r="BA2" s="10" t="s">
        <v>67</v>
      </c>
      <c r="BB2" s="10" t="s">
        <v>68</v>
      </c>
      <c r="BC2" s="74" t="s">
        <v>69</v>
      </c>
    </row>
    <row r="3" spans="1:55" ht="70" customHeight="1" x14ac:dyDescent="0.2">
      <c r="A3" s="88" t="s">
        <v>4187</v>
      </c>
      <c r="B3" s="6" t="s">
        <v>4170</v>
      </c>
      <c r="C3" s="7" t="s">
        <v>48</v>
      </c>
      <c r="D3" s="8" t="s">
        <v>49</v>
      </c>
      <c r="E3" s="8" t="s">
        <v>50</v>
      </c>
      <c r="F3" s="9" t="s">
        <v>51</v>
      </c>
      <c r="G3" s="9" t="s">
        <v>52</v>
      </c>
      <c r="H3" s="10" t="s">
        <v>4154</v>
      </c>
      <c r="I3" s="10" t="s">
        <v>53</v>
      </c>
      <c r="J3" s="7" t="s">
        <v>70</v>
      </c>
      <c r="K3" s="10" t="s">
        <v>55</v>
      </c>
      <c r="L3" s="9" t="s">
        <v>51</v>
      </c>
      <c r="M3" s="9" t="s">
        <v>52</v>
      </c>
      <c r="N3" s="10" t="s">
        <v>4154</v>
      </c>
      <c r="O3" s="8" t="s">
        <v>53</v>
      </c>
      <c r="P3" s="8" t="s">
        <v>56</v>
      </c>
      <c r="Q3" s="10" t="s">
        <v>71</v>
      </c>
      <c r="R3" s="10" t="s">
        <v>72</v>
      </c>
      <c r="S3" s="10"/>
      <c r="T3" s="8" t="s">
        <v>73</v>
      </c>
      <c r="U3" s="11">
        <v>16072</v>
      </c>
      <c r="V3" s="12">
        <v>1944</v>
      </c>
      <c r="W3" s="13">
        <v>39428</v>
      </c>
      <c r="X3" s="14">
        <v>2007</v>
      </c>
      <c r="Y3" s="13">
        <v>39814</v>
      </c>
      <c r="Z3" s="15">
        <v>2009</v>
      </c>
      <c r="AA3" s="13">
        <v>45292</v>
      </c>
      <c r="AB3" s="14">
        <v>2024</v>
      </c>
      <c r="AC3" s="14">
        <v>15</v>
      </c>
      <c r="AD3" s="14">
        <v>2024</v>
      </c>
      <c r="AE3" s="27" t="s">
        <v>74</v>
      </c>
      <c r="AF3" s="8" t="s">
        <v>75</v>
      </c>
      <c r="AG3" s="16">
        <v>539000000</v>
      </c>
      <c r="AH3" s="16">
        <v>738687663.13999999</v>
      </c>
      <c r="AI3" s="16">
        <v>1117565154.97</v>
      </c>
      <c r="AJ3" s="16" t="s">
        <v>76</v>
      </c>
      <c r="AK3" s="28">
        <v>269500000</v>
      </c>
      <c r="AL3" s="16">
        <v>291550725.63</v>
      </c>
      <c r="AM3" s="16">
        <v>291550725.63</v>
      </c>
      <c r="AN3" s="10" t="s">
        <v>64</v>
      </c>
      <c r="AO3" s="8" t="s">
        <v>3757</v>
      </c>
      <c r="AP3" s="43">
        <v>42000</v>
      </c>
      <c r="AQ3" s="43">
        <v>2520</v>
      </c>
      <c r="AR3" s="8" t="s">
        <v>3765</v>
      </c>
      <c r="AS3" s="10" t="s">
        <v>3781</v>
      </c>
      <c r="AT3" s="10" t="s">
        <v>3795</v>
      </c>
      <c r="AU3" s="96"/>
      <c r="AV3" s="17" t="s">
        <v>3872</v>
      </c>
      <c r="AW3" s="10"/>
      <c r="AX3" s="7" t="s">
        <v>3971</v>
      </c>
      <c r="AY3" s="10" t="s">
        <v>77</v>
      </c>
      <c r="AZ3" s="10" t="s">
        <v>78</v>
      </c>
      <c r="BA3" s="10" t="s">
        <v>79</v>
      </c>
      <c r="BB3" s="18" t="s">
        <v>80</v>
      </c>
      <c r="BC3" s="41" t="s">
        <v>81</v>
      </c>
    </row>
    <row r="4" spans="1:55" ht="70" customHeight="1" x14ac:dyDescent="0.2">
      <c r="A4" s="88" t="s">
        <v>4188</v>
      </c>
      <c r="B4" s="6" t="s">
        <v>82</v>
      </c>
      <c r="C4" s="7" t="s">
        <v>48</v>
      </c>
      <c r="D4" s="8" t="s">
        <v>49</v>
      </c>
      <c r="E4" s="8" t="s">
        <v>50</v>
      </c>
      <c r="F4" s="9" t="s">
        <v>51</v>
      </c>
      <c r="G4" s="9" t="s">
        <v>52</v>
      </c>
      <c r="H4" s="10" t="s">
        <v>4154</v>
      </c>
      <c r="I4" s="10" t="s">
        <v>53</v>
      </c>
      <c r="J4" s="7" t="s">
        <v>83</v>
      </c>
      <c r="K4" s="10" t="s">
        <v>55</v>
      </c>
      <c r="L4" s="9" t="s">
        <v>51</v>
      </c>
      <c r="M4" s="9" t="s">
        <v>52</v>
      </c>
      <c r="N4" s="10" t="s">
        <v>4154</v>
      </c>
      <c r="O4" s="8" t="s">
        <v>53</v>
      </c>
      <c r="P4" s="8" t="s">
        <v>56</v>
      </c>
      <c r="Q4" s="10" t="s">
        <v>84</v>
      </c>
      <c r="R4" s="10" t="s">
        <v>58</v>
      </c>
      <c r="S4" s="10" t="s">
        <v>59</v>
      </c>
      <c r="T4" s="8" t="s">
        <v>60</v>
      </c>
      <c r="U4" s="11">
        <v>16405</v>
      </c>
      <c r="V4" s="12">
        <v>1944</v>
      </c>
      <c r="W4" s="13">
        <v>41121</v>
      </c>
      <c r="X4" s="14">
        <v>2012</v>
      </c>
      <c r="Y4" s="13">
        <v>40909</v>
      </c>
      <c r="Z4" s="14">
        <v>2012</v>
      </c>
      <c r="AA4" s="13">
        <v>40909</v>
      </c>
      <c r="AB4" s="14">
        <v>2012</v>
      </c>
      <c r="AC4" s="15">
        <v>0</v>
      </c>
      <c r="AD4" s="14">
        <v>2012</v>
      </c>
      <c r="AE4" s="27"/>
      <c r="AF4" s="8" t="s">
        <v>75</v>
      </c>
      <c r="AG4" s="16">
        <v>3000000</v>
      </c>
      <c r="AH4" s="16">
        <v>3854366.02</v>
      </c>
      <c r="AI4" s="16">
        <v>5266131.62</v>
      </c>
      <c r="AJ4" s="16" t="s">
        <v>76</v>
      </c>
      <c r="AK4" s="16">
        <v>3000000</v>
      </c>
      <c r="AL4" s="16">
        <v>3854366.02</v>
      </c>
      <c r="AM4" s="16">
        <v>5266131.62</v>
      </c>
      <c r="AN4" s="10" t="s">
        <v>64</v>
      </c>
      <c r="AO4" s="8" t="s">
        <v>3757</v>
      </c>
      <c r="AP4" s="15">
        <v>20</v>
      </c>
      <c r="AQ4" s="15">
        <v>20</v>
      </c>
      <c r="AR4" s="8" t="s">
        <v>3761</v>
      </c>
      <c r="AS4" s="10" t="s">
        <v>3781</v>
      </c>
      <c r="AT4" s="10" t="s">
        <v>4157</v>
      </c>
      <c r="AU4" s="96"/>
      <c r="AV4" s="17"/>
      <c r="AW4" s="10"/>
      <c r="AX4" s="7" t="s">
        <v>86</v>
      </c>
      <c r="AY4" s="10" t="s">
        <v>87</v>
      </c>
      <c r="AZ4" s="10" t="s">
        <v>88</v>
      </c>
      <c r="BA4" s="10" t="s">
        <v>89</v>
      </c>
      <c r="BB4" s="18"/>
      <c r="BC4" s="41" t="s">
        <v>90</v>
      </c>
    </row>
    <row r="5" spans="1:55" s="29" customFormat="1" ht="70" customHeight="1" x14ac:dyDescent="0.2">
      <c r="A5" s="88" t="s">
        <v>4189</v>
      </c>
      <c r="B5" s="6" t="s">
        <v>91</v>
      </c>
      <c r="C5" s="7" t="s">
        <v>48</v>
      </c>
      <c r="D5" s="8" t="s">
        <v>49</v>
      </c>
      <c r="E5" s="8" t="s">
        <v>50</v>
      </c>
      <c r="F5" s="9" t="s">
        <v>51</v>
      </c>
      <c r="G5" s="9" t="s">
        <v>52</v>
      </c>
      <c r="H5" s="10" t="s">
        <v>4154</v>
      </c>
      <c r="I5" s="10" t="s">
        <v>53</v>
      </c>
      <c r="J5" s="7" t="s">
        <v>92</v>
      </c>
      <c r="K5" s="10" t="s">
        <v>55</v>
      </c>
      <c r="L5" s="9" t="s">
        <v>51</v>
      </c>
      <c r="M5" s="9" t="s">
        <v>52</v>
      </c>
      <c r="N5" s="10" t="s">
        <v>4154</v>
      </c>
      <c r="O5" s="8" t="s">
        <v>53</v>
      </c>
      <c r="P5" s="8" t="s">
        <v>56</v>
      </c>
      <c r="Q5" s="10" t="s">
        <v>93</v>
      </c>
      <c r="R5" s="10" t="s">
        <v>58</v>
      </c>
      <c r="S5" s="10" t="s">
        <v>59</v>
      </c>
      <c r="T5" s="8" t="s">
        <v>60</v>
      </c>
      <c r="U5" s="11">
        <v>16405</v>
      </c>
      <c r="V5" s="12">
        <v>1944</v>
      </c>
      <c r="W5" s="13">
        <v>42343</v>
      </c>
      <c r="X5" s="14">
        <v>2015</v>
      </c>
      <c r="Y5" s="13">
        <v>42370</v>
      </c>
      <c r="Z5" s="14">
        <v>2016</v>
      </c>
      <c r="AA5" s="13" t="s">
        <v>94</v>
      </c>
      <c r="AB5" s="13" t="s">
        <v>94</v>
      </c>
      <c r="AC5" s="15" t="s">
        <v>94</v>
      </c>
      <c r="AD5" s="15"/>
      <c r="AE5" s="27"/>
      <c r="AF5" s="8" t="s">
        <v>75</v>
      </c>
      <c r="AG5" s="16">
        <v>1200000000</v>
      </c>
      <c r="AH5" s="16">
        <v>1331415468.75</v>
      </c>
      <c r="AI5" s="16">
        <v>1762111523.55</v>
      </c>
      <c r="AJ5" s="16" t="s">
        <v>76</v>
      </c>
      <c r="AK5" s="28" t="s">
        <v>94</v>
      </c>
      <c r="AL5" s="16" t="s">
        <v>94</v>
      </c>
      <c r="AM5" s="16" t="s">
        <v>94</v>
      </c>
      <c r="AN5" s="10" t="s">
        <v>64</v>
      </c>
      <c r="AO5" s="8" t="s">
        <v>3757</v>
      </c>
      <c r="AP5" s="15" t="s">
        <v>94</v>
      </c>
      <c r="AQ5" s="15">
        <v>400</v>
      </c>
      <c r="AR5" s="8" t="s">
        <v>3765</v>
      </c>
      <c r="AS5" s="10" t="s">
        <v>3817</v>
      </c>
      <c r="AT5" s="10" t="s">
        <v>3795</v>
      </c>
      <c r="AU5" s="96"/>
      <c r="AV5" s="17"/>
      <c r="AW5" s="10"/>
      <c r="AX5" s="7" t="s">
        <v>86</v>
      </c>
      <c r="AY5" s="10" t="s">
        <v>95</v>
      </c>
      <c r="AZ5" s="10" t="s">
        <v>96</v>
      </c>
      <c r="BA5" s="10" t="s">
        <v>97</v>
      </c>
      <c r="BB5" s="18"/>
      <c r="BC5" s="41" t="s">
        <v>98</v>
      </c>
    </row>
    <row r="6" spans="1:55" ht="70" customHeight="1" x14ac:dyDescent="0.2">
      <c r="A6" s="88" t="s">
        <v>4190</v>
      </c>
      <c r="B6" s="6" t="s">
        <v>99</v>
      </c>
      <c r="C6" s="7" t="s">
        <v>100</v>
      </c>
      <c r="D6" s="8" t="s">
        <v>49</v>
      </c>
      <c r="E6" s="8" t="s">
        <v>50</v>
      </c>
      <c r="F6" s="9" t="s">
        <v>101</v>
      </c>
      <c r="G6" s="9" t="s">
        <v>102</v>
      </c>
      <c r="H6" s="10" t="s">
        <v>4156</v>
      </c>
      <c r="I6" s="10" t="s">
        <v>53</v>
      </c>
      <c r="J6" s="7" t="s">
        <v>104</v>
      </c>
      <c r="K6" s="10" t="s">
        <v>55</v>
      </c>
      <c r="L6" s="9" t="s">
        <v>101</v>
      </c>
      <c r="M6" s="9" t="s">
        <v>102</v>
      </c>
      <c r="N6" s="10" t="s">
        <v>4156</v>
      </c>
      <c r="O6" s="10" t="s">
        <v>53</v>
      </c>
      <c r="P6" s="8" t="s">
        <v>56</v>
      </c>
      <c r="Q6" s="10" t="s">
        <v>105</v>
      </c>
      <c r="R6" s="10" t="s">
        <v>72</v>
      </c>
      <c r="S6" s="10"/>
      <c r="T6" s="8" t="s">
        <v>73</v>
      </c>
      <c r="U6" s="11">
        <v>33614</v>
      </c>
      <c r="V6" s="12">
        <v>1992</v>
      </c>
      <c r="W6" s="13">
        <v>38775</v>
      </c>
      <c r="X6" s="14">
        <v>2006</v>
      </c>
      <c r="Y6" s="13">
        <v>38718</v>
      </c>
      <c r="Z6" s="14">
        <v>2006</v>
      </c>
      <c r="AA6" s="13">
        <v>45292</v>
      </c>
      <c r="AB6" s="14">
        <v>2024</v>
      </c>
      <c r="AC6" s="14">
        <v>18</v>
      </c>
      <c r="AD6" s="15">
        <v>2024</v>
      </c>
      <c r="AE6" s="27"/>
      <c r="AF6" s="8" t="s">
        <v>106</v>
      </c>
      <c r="AG6" s="16">
        <v>37000000</v>
      </c>
      <c r="AH6" s="16">
        <v>37000000</v>
      </c>
      <c r="AI6" s="16">
        <v>37000000</v>
      </c>
      <c r="AJ6" s="16" t="s">
        <v>63</v>
      </c>
      <c r="AK6" s="16">
        <v>37000000</v>
      </c>
      <c r="AL6" s="16">
        <v>37000000</v>
      </c>
      <c r="AM6" s="16">
        <v>37000000</v>
      </c>
      <c r="AN6" s="10" t="s">
        <v>64</v>
      </c>
      <c r="AO6" s="8" t="s">
        <v>3757</v>
      </c>
      <c r="AP6" s="15" t="s">
        <v>94</v>
      </c>
      <c r="AQ6" s="43">
        <v>2640</v>
      </c>
      <c r="AR6" s="8" t="s">
        <v>3765</v>
      </c>
      <c r="AS6" s="10" t="s">
        <v>3781</v>
      </c>
      <c r="AT6" s="10" t="s">
        <v>3795</v>
      </c>
      <c r="AU6" s="96" t="s">
        <v>107</v>
      </c>
      <c r="AV6" s="17" t="s">
        <v>3873</v>
      </c>
      <c r="AW6" s="10" t="s">
        <v>108</v>
      </c>
      <c r="AX6" s="7" t="s">
        <v>3972</v>
      </c>
      <c r="AY6" s="10" t="s">
        <v>109</v>
      </c>
      <c r="AZ6" s="10" t="s">
        <v>110</v>
      </c>
      <c r="BA6" s="10" t="s">
        <v>111</v>
      </c>
      <c r="BB6" s="18" t="s">
        <v>112</v>
      </c>
      <c r="BC6" s="41" t="s">
        <v>113</v>
      </c>
    </row>
    <row r="7" spans="1:55" ht="70" customHeight="1" x14ac:dyDescent="0.2">
      <c r="A7" s="88" t="s">
        <v>4191</v>
      </c>
      <c r="B7" s="6" t="s">
        <v>4148</v>
      </c>
      <c r="C7" s="7" t="s">
        <v>114</v>
      </c>
      <c r="D7" s="8" t="s">
        <v>49</v>
      </c>
      <c r="E7" s="8" t="s">
        <v>50</v>
      </c>
      <c r="F7" s="9" t="s">
        <v>115</v>
      </c>
      <c r="G7" s="9" t="s">
        <v>116</v>
      </c>
      <c r="H7" s="10" t="s">
        <v>4155</v>
      </c>
      <c r="I7" s="10" t="s">
        <v>53</v>
      </c>
      <c r="J7" s="7" t="s">
        <v>117</v>
      </c>
      <c r="K7" s="10" t="s">
        <v>55</v>
      </c>
      <c r="L7" s="9" t="s">
        <v>115</v>
      </c>
      <c r="M7" s="9" t="s">
        <v>116</v>
      </c>
      <c r="N7" s="10" t="s">
        <v>4592</v>
      </c>
      <c r="O7" s="8" t="s">
        <v>53</v>
      </c>
      <c r="P7" s="8" t="s">
        <v>56</v>
      </c>
      <c r="Q7" s="10" t="s">
        <v>118</v>
      </c>
      <c r="R7" s="10" t="s">
        <v>72</v>
      </c>
      <c r="S7" s="10"/>
      <c r="T7" s="8" t="s">
        <v>73</v>
      </c>
      <c r="U7" s="11">
        <v>27760</v>
      </c>
      <c r="V7" s="12">
        <v>1976</v>
      </c>
      <c r="W7" s="13">
        <v>31715</v>
      </c>
      <c r="X7" s="14">
        <v>1986</v>
      </c>
      <c r="Y7" s="13">
        <v>31756</v>
      </c>
      <c r="Z7" s="15">
        <v>1986</v>
      </c>
      <c r="AA7" s="13" t="s">
        <v>94</v>
      </c>
      <c r="AB7" s="13" t="s">
        <v>94</v>
      </c>
      <c r="AC7" s="15" t="s">
        <v>94</v>
      </c>
      <c r="AD7" s="15"/>
      <c r="AE7" s="27" t="s">
        <v>119</v>
      </c>
      <c r="AF7" s="8" t="s">
        <v>106</v>
      </c>
      <c r="AG7" s="28">
        <v>1900000000</v>
      </c>
      <c r="AH7" s="16">
        <v>1900000000</v>
      </c>
      <c r="AI7" s="16">
        <v>5438039233.5799999</v>
      </c>
      <c r="AJ7" s="16" t="s">
        <v>76</v>
      </c>
      <c r="AK7" s="28" t="s">
        <v>94</v>
      </c>
      <c r="AL7" s="16" t="s">
        <v>94</v>
      </c>
      <c r="AM7" s="16" t="s">
        <v>94</v>
      </c>
      <c r="AN7" s="10" t="s">
        <v>64</v>
      </c>
      <c r="AO7" s="8" t="s">
        <v>3758</v>
      </c>
      <c r="AP7" s="43">
        <v>23358</v>
      </c>
      <c r="AQ7" s="15" t="s">
        <v>94</v>
      </c>
      <c r="AR7" s="8" t="s">
        <v>3765</v>
      </c>
      <c r="AS7" s="10" t="s">
        <v>3779</v>
      </c>
      <c r="AT7" s="10" t="s">
        <v>3795</v>
      </c>
      <c r="AU7" s="96"/>
      <c r="AV7" s="17" t="s">
        <v>120</v>
      </c>
      <c r="AW7" s="10" t="s">
        <v>121</v>
      </c>
      <c r="AX7" s="7" t="s">
        <v>122</v>
      </c>
      <c r="AY7" s="10" t="s">
        <v>123</v>
      </c>
      <c r="AZ7" s="10" t="s">
        <v>4107</v>
      </c>
      <c r="BA7" s="10" t="s">
        <v>124</v>
      </c>
      <c r="BB7" s="18" t="s">
        <v>125</v>
      </c>
      <c r="BC7" s="41" t="s">
        <v>126</v>
      </c>
    </row>
    <row r="8" spans="1:55" ht="70" customHeight="1" x14ac:dyDescent="0.2">
      <c r="A8" s="88" t="s">
        <v>4192</v>
      </c>
      <c r="B8" s="6" t="s">
        <v>127</v>
      </c>
      <c r="C8" s="7" t="s">
        <v>114</v>
      </c>
      <c r="D8" s="8" t="s">
        <v>49</v>
      </c>
      <c r="E8" s="8" t="s">
        <v>50</v>
      </c>
      <c r="F8" s="9" t="s">
        <v>115</v>
      </c>
      <c r="G8" s="9" t="s">
        <v>116</v>
      </c>
      <c r="H8" s="10" t="s">
        <v>4155</v>
      </c>
      <c r="I8" s="10" t="s">
        <v>53</v>
      </c>
      <c r="J8" s="7" t="s">
        <v>128</v>
      </c>
      <c r="K8" s="10" t="s">
        <v>55</v>
      </c>
      <c r="L8" s="9" t="s">
        <v>115</v>
      </c>
      <c r="M8" s="9" t="s">
        <v>116</v>
      </c>
      <c r="N8" s="10" t="s">
        <v>4592</v>
      </c>
      <c r="O8" s="8" t="s">
        <v>53</v>
      </c>
      <c r="P8" s="8" t="s">
        <v>56</v>
      </c>
      <c r="Q8" s="10" t="s">
        <v>129</v>
      </c>
      <c r="R8" s="10" t="s">
        <v>72</v>
      </c>
      <c r="S8" s="10"/>
      <c r="T8" s="8" t="s">
        <v>60</v>
      </c>
      <c r="U8" s="11">
        <v>27760</v>
      </c>
      <c r="V8" s="12">
        <v>1976</v>
      </c>
      <c r="W8" s="13">
        <v>33543</v>
      </c>
      <c r="X8" s="14">
        <v>1991</v>
      </c>
      <c r="Y8" s="13">
        <v>33595</v>
      </c>
      <c r="Z8" s="15">
        <v>1991</v>
      </c>
      <c r="AA8" s="13">
        <v>45292</v>
      </c>
      <c r="AB8" s="15">
        <v>2024</v>
      </c>
      <c r="AC8" s="15">
        <v>33</v>
      </c>
      <c r="AD8" s="15">
        <v>2024</v>
      </c>
      <c r="AE8" s="27" t="s">
        <v>130</v>
      </c>
      <c r="AF8" s="8" t="s">
        <v>106</v>
      </c>
      <c r="AG8" s="28">
        <v>3000000000</v>
      </c>
      <c r="AH8" s="28">
        <v>3000000000</v>
      </c>
      <c r="AI8" s="28">
        <v>3000000000</v>
      </c>
      <c r="AJ8" s="16" t="s">
        <v>63</v>
      </c>
      <c r="AK8" s="28">
        <v>3000000000</v>
      </c>
      <c r="AL8" s="28">
        <v>3000000000</v>
      </c>
      <c r="AM8" s="28">
        <v>3000000000</v>
      </c>
      <c r="AN8" s="10" t="s">
        <v>64</v>
      </c>
      <c r="AO8" s="8" t="s">
        <v>3757</v>
      </c>
      <c r="AP8" s="43">
        <v>23358</v>
      </c>
      <c r="AQ8" s="15" t="s">
        <v>94</v>
      </c>
      <c r="AR8" s="8" t="s">
        <v>3765</v>
      </c>
      <c r="AS8" s="10" t="s">
        <v>3782</v>
      </c>
      <c r="AT8" s="10" t="s">
        <v>3795</v>
      </c>
      <c r="AU8" s="96"/>
      <c r="AV8" s="17" t="s">
        <v>3874</v>
      </c>
      <c r="AW8" s="10" t="s">
        <v>131</v>
      </c>
      <c r="AX8" s="7" t="s">
        <v>3973</v>
      </c>
      <c r="AY8" s="10" t="s">
        <v>132</v>
      </c>
      <c r="AZ8" s="10" t="s">
        <v>4108</v>
      </c>
      <c r="BA8" s="10" t="s">
        <v>133</v>
      </c>
      <c r="BB8" s="18" t="s">
        <v>134</v>
      </c>
      <c r="BC8" s="41" t="s">
        <v>135</v>
      </c>
    </row>
    <row r="9" spans="1:55" ht="70" customHeight="1" x14ac:dyDescent="0.2">
      <c r="A9" s="88" t="s">
        <v>4193</v>
      </c>
      <c r="B9" s="6" t="s">
        <v>136</v>
      </c>
      <c r="C9" s="7" t="s">
        <v>137</v>
      </c>
      <c r="D9" s="8" t="s">
        <v>49</v>
      </c>
      <c r="E9" s="8" t="s">
        <v>50</v>
      </c>
      <c r="F9" s="9" t="s">
        <v>138</v>
      </c>
      <c r="G9" s="9" t="s">
        <v>139</v>
      </c>
      <c r="H9" s="10" t="s">
        <v>4153</v>
      </c>
      <c r="I9" s="10" t="s">
        <v>140</v>
      </c>
      <c r="J9" s="7" t="s">
        <v>141</v>
      </c>
      <c r="K9" s="10" t="s">
        <v>49</v>
      </c>
      <c r="L9" s="9" t="s">
        <v>142</v>
      </c>
      <c r="M9" s="9" t="s">
        <v>143</v>
      </c>
      <c r="N9" s="10" t="s">
        <v>4153</v>
      </c>
      <c r="O9" s="8" t="s">
        <v>140</v>
      </c>
      <c r="P9" s="8" t="s">
        <v>144</v>
      </c>
      <c r="Q9" s="10" t="s">
        <v>145</v>
      </c>
      <c r="R9" s="10" t="s">
        <v>146</v>
      </c>
      <c r="S9" s="10" t="s">
        <v>59</v>
      </c>
      <c r="T9" s="8" t="s">
        <v>60</v>
      </c>
      <c r="U9" s="11">
        <v>2193</v>
      </c>
      <c r="V9" s="12">
        <v>1906</v>
      </c>
      <c r="W9" s="13">
        <v>34191</v>
      </c>
      <c r="X9" s="14">
        <v>1993</v>
      </c>
      <c r="Y9" s="13">
        <v>33970</v>
      </c>
      <c r="Z9" s="15">
        <v>1993</v>
      </c>
      <c r="AA9" s="13">
        <v>41275</v>
      </c>
      <c r="AB9" s="14">
        <v>2013</v>
      </c>
      <c r="AC9" s="15">
        <v>20</v>
      </c>
      <c r="AD9" s="15">
        <v>1993</v>
      </c>
      <c r="AE9" s="27" t="s">
        <v>147</v>
      </c>
      <c r="AF9" s="8" t="s">
        <v>148</v>
      </c>
      <c r="AG9" s="16">
        <v>107000000</v>
      </c>
      <c r="AH9" s="16">
        <v>73000000</v>
      </c>
      <c r="AI9" s="16">
        <v>158470000</v>
      </c>
      <c r="AJ9" s="16" t="s">
        <v>76</v>
      </c>
      <c r="AK9" s="16">
        <v>107000000</v>
      </c>
      <c r="AL9" s="16">
        <v>73000000</v>
      </c>
      <c r="AM9" s="16">
        <v>158472643.59999999</v>
      </c>
      <c r="AN9" s="10" t="s">
        <v>149</v>
      </c>
      <c r="AO9" s="8" t="s">
        <v>150</v>
      </c>
      <c r="AP9" s="15" t="s">
        <v>151</v>
      </c>
      <c r="AQ9" s="15" t="s">
        <v>151</v>
      </c>
      <c r="AR9" s="8" t="s">
        <v>3769</v>
      </c>
      <c r="AS9" s="10" t="s">
        <v>3780</v>
      </c>
      <c r="AT9" s="10" t="s">
        <v>3795</v>
      </c>
      <c r="AU9" s="96" t="s">
        <v>152</v>
      </c>
      <c r="AV9" s="17"/>
      <c r="AW9" s="10"/>
      <c r="AX9" s="7" t="s">
        <v>3974</v>
      </c>
      <c r="AY9" s="10" t="s">
        <v>154</v>
      </c>
      <c r="AZ9" s="10" t="s">
        <v>155</v>
      </c>
      <c r="BA9" s="10" t="s">
        <v>156</v>
      </c>
      <c r="BB9" s="18" t="s">
        <v>157</v>
      </c>
      <c r="BC9" s="41" t="s">
        <v>158</v>
      </c>
    </row>
    <row r="10" spans="1:55" ht="70" customHeight="1" x14ac:dyDescent="0.2">
      <c r="A10" s="88" t="s">
        <v>4194</v>
      </c>
      <c r="B10" s="6" t="s">
        <v>159</v>
      </c>
      <c r="C10" s="7" t="s">
        <v>137</v>
      </c>
      <c r="D10" s="8" t="s">
        <v>49</v>
      </c>
      <c r="E10" s="8" t="s">
        <v>50</v>
      </c>
      <c r="F10" s="9" t="s">
        <v>138</v>
      </c>
      <c r="G10" s="9" t="s">
        <v>139</v>
      </c>
      <c r="H10" s="10" t="s">
        <v>4153</v>
      </c>
      <c r="I10" s="10" t="s">
        <v>140</v>
      </c>
      <c r="J10" s="7" t="s">
        <v>160</v>
      </c>
      <c r="K10" s="10" t="s">
        <v>55</v>
      </c>
      <c r="L10" s="9" t="s">
        <v>138</v>
      </c>
      <c r="M10" s="9" t="s">
        <v>139</v>
      </c>
      <c r="N10" s="10" t="s">
        <v>4153</v>
      </c>
      <c r="O10" s="8" t="s">
        <v>140</v>
      </c>
      <c r="P10" s="8" t="s">
        <v>56</v>
      </c>
      <c r="Q10" s="10" t="s">
        <v>161</v>
      </c>
      <c r="R10" s="10" t="s">
        <v>162</v>
      </c>
      <c r="S10" s="10" t="s">
        <v>163</v>
      </c>
      <c r="T10" s="8" t="s">
        <v>60</v>
      </c>
      <c r="U10" s="11" t="s">
        <v>164</v>
      </c>
      <c r="V10" s="12">
        <v>1770</v>
      </c>
      <c r="W10" s="13">
        <v>35780</v>
      </c>
      <c r="X10" s="14">
        <v>1997</v>
      </c>
      <c r="Y10" s="13">
        <v>35796</v>
      </c>
      <c r="Z10" s="14">
        <v>1998</v>
      </c>
      <c r="AA10" s="13" t="s">
        <v>94</v>
      </c>
      <c r="AB10" s="13" t="s">
        <v>94</v>
      </c>
      <c r="AC10" s="13" t="s">
        <v>94</v>
      </c>
      <c r="AD10" s="13"/>
      <c r="AE10" s="27" t="s">
        <v>165</v>
      </c>
      <c r="AF10" s="8" t="s">
        <v>148</v>
      </c>
      <c r="AG10" s="16">
        <v>63000000</v>
      </c>
      <c r="AH10" s="16">
        <v>46757410.68</v>
      </c>
      <c r="AI10" s="16">
        <v>91384955.760000005</v>
      </c>
      <c r="AJ10" s="16" t="s">
        <v>76</v>
      </c>
      <c r="AK10" s="28" t="s">
        <v>94</v>
      </c>
      <c r="AL10" s="16" t="s">
        <v>94</v>
      </c>
      <c r="AM10" s="16" t="s">
        <v>94</v>
      </c>
      <c r="AN10" s="10" t="s">
        <v>149</v>
      </c>
      <c r="AO10" s="8" t="s">
        <v>150</v>
      </c>
      <c r="AP10" s="15" t="s">
        <v>151</v>
      </c>
      <c r="AQ10" s="15" t="s">
        <v>151</v>
      </c>
      <c r="AR10" s="8" t="s">
        <v>3765</v>
      </c>
      <c r="AS10" s="10" t="s">
        <v>166</v>
      </c>
      <c r="AT10" s="10" t="s">
        <v>3795</v>
      </c>
      <c r="AU10" s="96"/>
      <c r="AV10" s="17" t="s">
        <v>167</v>
      </c>
      <c r="AW10" s="10" t="s">
        <v>168</v>
      </c>
      <c r="AX10" s="7"/>
      <c r="AY10" s="10"/>
      <c r="AZ10" s="10" t="s">
        <v>169</v>
      </c>
      <c r="BA10" s="10" t="s">
        <v>170</v>
      </c>
      <c r="BB10" s="18" t="s">
        <v>171</v>
      </c>
      <c r="BC10" s="41" t="s">
        <v>172</v>
      </c>
    </row>
    <row r="11" spans="1:55" ht="70" customHeight="1" x14ac:dyDescent="0.2">
      <c r="A11" s="88" t="s">
        <v>4195</v>
      </c>
      <c r="B11" s="6" t="s">
        <v>173</v>
      </c>
      <c r="C11" s="7" t="s">
        <v>174</v>
      </c>
      <c r="D11" s="8" t="s">
        <v>49</v>
      </c>
      <c r="E11" s="8" t="s">
        <v>50</v>
      </c>
      <c r="F11" s="9" t="s">
        <v>138</v>
      </c>
      <c r="G11" s="9" t="s">
        <v>139</v>
      </c>
      <c r="H11" s="10" t="s">
        <v>4153</v>
      </c>
      <c r="I11" s="10" t="s">
        <v>140</v>
      </c>
      <c r="J11" s="7" t="s">
        <v>175</v>
      </c>
      <c r="K11" s="10" t="s">
        <v>55</v>
      </c>
      <c r="L11" s="9" t="s">
        <v>138</v>
      </c>
      <c r="M11" s="9" t="s">
        <v>139</v>
      </c>
      <c r="N11" s="10" t="s">
        <v>4153</v>
      </c>
      <c r="O11" s="8" t="s">
        <v>140</v>
      </c>
      <c r="P11" s="8" t="s">
        <v>56</v>
      </c>
      <c r="Q11" s="10" t="s">
        <v>176</v>
      </c>
      <c r="R11" s="54" t="s">
        <v>177</v>
      </c>
      <c r="S11" s="18" t="s">
        <v>59</v>
      </c>
      <c r="T11" s="8" t="s">
        <v>60</v>
      </c>
      <c r="U11" s="11">
        <v>27698</v>
      </c>
      <c r="V11" s="14">
        <v>1975</v>
      </c>
      <c r="W11" s="14" t="s">
        <v>94</v>
      </c>
      <c r="X11" s="14">
        <v>1999</v>
      </c>
      <c r="Y11" s="13">
        <v>36161</v>
      </c>
      <c r="Z11" s="14">
        <v>1999</v>
      </c>
      <c r="AA11" s="13">
        <v>37622</v>
      </c>
      <c r="AB11" s="14">
        <v>2003</v>
      </c>
      <c r="AC11" s="14">
        <v>4</v>
      </c>
      <c r="AD11" s="14">
        <v>1999</v>
      </c>
      <c r="AE11" s="27"/>
      <c r="AF11" s="8" t="s">
        <v>148</v>
      </c>
      <c r="AG11" s="16">
        <v>40100000</v>
      </c>
      <c r="AH11" s="16">
        <v>25871802.32</v>
      </c>
      <c r="AI11" s="16">
        <v>48713684.259999998</v>
      </c>
      <c r="AJ11" s="16" t="s">
        <v>63</v>
      </c>
      <c r="AK11" s="28">
        <v>40100000</v>
      </c>
      <c r="AL11" s="16">
        <v>25871802.32</v>
      </c>
      <c r="AM11" s="16">
        <v>48713684.259999998</v>
      </c>
      <c r="AN11" s="10" t="s">
        <v>64</v>
      </c>
      <c r="AO11" s="8" t="s">
        <v>3756</v>
      </c>
      <c r="AP11" s="43">
        <v>5279</v>
      </c>
      <c r="AQ11" s="43">
        <v>5279</v>
      </c>
      <c r="AR11" s="8" t="s">
        <v>3765</v>
      </c>
      <c r="AS11" s="10" t="s">
        <v>3781</v>
      </c>
      <c r="AT11" s="10" t="s">
        <v>3795</v>
      </c>
      <c r="AU11" s="96"/>
      <c r="AV11" s="17"/>
      <c r="AW11" s="10" t="s">
        <v>3942</v>
      </c>
      <c r="AX11" s="7"/>
      <c r="AY11" s="10" t="s">
        <v>178</v>
      </c>
      <c r="AZ11" s="10" t="s">
        <v>179</v>
      </c>
      <c r="BA11" s="10" t="s">
        <v>180</v>
      </c>
      <c r="BB11" s="18" t="s">
        <v>181</v>
      </c>
      <c r="BC11" s="41" t="s">
        <v>182</v>
      </c>
    </row>
    <row r="12" spans="1:55" ht="70" customHeight="1" x14ac:dyDescent="0.2">
      <c r="A12" s="89" t="s">
        <v>4196</v>
      </c>
      <c r="B12" s="75" t="s">
        <v>183</v>
      </c>
      <c r="C12" s="7" t="s">
        <v>174</v>
      </c>
      <c r="D12" s="8" t="s">
        <v>49</v>
      </c>
      <c r="E12" s="8" t="s">
        <v>50</v>
      </c>
      <c r="F12" s="52" t="s">
        <v>138</v>
      </c>
      <c r="G12" s="9" t="s">
        <v>139</v>
      </c>
      <c r="H12" s="10" t="s">
        <v>4153</v>
      </c>
      <c r="I12" s="54" t="s">
        <v>140</v>
      </c>
      <c r="J12" s="7" t="s">
        <v>175</v>
      </c>
      <c r="K12" s="10" t="s">
        <v>55</v>
      </c>
      <c r="L12" s="52" t="s">
        <v>138</v>
      </c>
      <c r="M12" s="9" t="s">
        <v>139</v>
      </c>
      <c r="N12" s="10" t="s">
        <v>4153</v>
      </c>
      <c r="O12" s="50" t="s">
        <v>140</v>
      </c>
      <c r="P12" s="50" t="s">
        <v>56</v>
      </c>
      <c r="Q12" s="54" t="s">
        <v>184</v>
      </c>
      <c r="R12" s="54" t="s">
        <v>177</v>
      </c>
      <c r="S12" s="18" t="s">
        <v>59</v>
      </c>
      <c r="T12" s="50" t="s">
        <v>60</v>
      </c>
      <c r="U12" s="59" t="s">
        <v>164</v>
      </c>
      <c r="V12" s="61">
        <v>1770</v>
      </c>
      <c r="W12" s="14" t="s">
        <v>94</v>
      </c>
      <c r="X12" s="62">
        <v>2002</v>
      </c>
      <c r="Y12" s="13">
        <v>37257</v>
      </c>
      <c r="Z12" s="62">
        <v>2002</v>
      </c>
      <c r="AA12" s="13">
        <v>40179</v>
      </c>
      <c r="AB12" s="62">
        <v>2010</v>
      </c>
      <c r="AC12" s="62">
        <v>8</v>
      </c>
      <c r="AD12" s="62">
        <v>2002</v>
      </c>
      <c r="AE12" s="85"/>
      <c r="AF12" s="50" t="s">
        <v>148</v>
      </c>
      <c r="AG12" s="65">
        <v>55400000</v>
      </c>
      <c r="AH12" s="65">
        <v>30099494.039999999</v>
      </c>
      <c r="AI12" s="65">
        <v>52484047.729999997</v>
      </c>
      <c r="AJ12" s="16" t="s">
        <v>76</v>
      </c>
      <c r="AK12" s="66">
        <v>55400000</v>
      </c>
      <c r="AL12" s="65">
        <v>30099494.039999999</v>
      </c>
      <c r="AM12" s="65">
        <v>52484047.729999997</v>
      </c>
      <c r="AN12" s="54" t="s">
        <v>3755</v>
      </c>
      <c r="AO12" s="8" t="s">
        <v>3756</v>
      </c>
      <c r="AP12" s="86">
        <v>5779</v>
      </c>
      <c r="AQ12" s="86">
        <v>5779</v>
      </c>
      <c r="AR12" s="8" t="s">
        <v>3765</v>
      </c>
      <c r="AS12" s="10" t="s">
        <v>3816</v>
      </c>
      <c r="AT12" s="10" t="s">
        <v>3795</v>
      </c>
      <c r="AU12" s="97"/>
      <c r="AV12" s="71" t="s">
        <v>185</v>
      </c>
      <c r="AW12" s="54" t="s">
        <v>3942</v>
      </c>
      <c r="AX12" s="48"/>
      <c r="AY12" s="10" t="s">
        <v>178</v>
      </c>
      <c r="AZ12" s="10" t="s">
        <v>179</v>
      </c>
      <c r="BA12" s="54" t="s">
        <v>186</v>
      </c>
      <c r="BB12" s="18" t="s">
        <v>187</v>
      </c>
      <c r="BC12" s="41" t="s">
        <v>188</v>
      </c>
    </row>
    <row r="13" spans="1:55" ht="70" customHeight="1" x14ac:dyDescent="0.2">
      <c r="A13" s="88" t="s">
        <v>4197</v>
      </c>
      <c r="B13" s="6" t="s">
        <v>189</v>
      </c>
      <c r="C13" s="7" t="s">
        <v>190</v>
      </c>
      <c r="D13" s="8" t="s">
        <v>49</v>
      </c>
      <c r="E13" s="8" t="s">
        <v>50</v>
      </c>
      <c r="F13" s="9" t="s">
        <v>138</v>
      </c>
      <c r="G13" s="9" t="s">
        <v>139</v>
      </c>
      <c r="H13" s="10" t="s">
        <v>4153</v>
      </c>
      <c r="I13" s="10" t="s">
        <v>140</v>
      </c>
      <c r="J13" s="7" t="s">
        <v>191</v>
      </c>
      <c r="K13" s="10" t="s">
        <v>55</v>
      </c>
      <c r="L13" s="30" t="s">
        <v>2042</v>
      </c>
      <c r="M13" s="30" t="s">
        <v>537</v>
      </c>
      <c r="N13" s="30" t="s">
        <v>4185</v>
      </c>
      <c r="O13" s="30" t="s">
        <v>4185</v>
      </c>
      <c r="P13" s="8" t="s">
        <v>144</v>
      </c>
      <c r="Q13" s="10" t="s">
        <v>193</v>
      </c>
      <c r="R13" s="10" t="s">
        <v>163</v>
      </c>
      <c r="S13" s="18"/>
      <c r="T13" s="8" t="s">
        <v>60</v>
      </c>
      <c r="U13" s="11">
        <v>1</v>
      </c>
      <c r="V13" s="12">
        <v>1900</v>
      </c>
      <c r="W13" s="13">
        <v>37773</v>
      </c>
      <c r="X13" s="14">
        <v>2003</v>
      </c>
      <c r="Y13" s="13">
        <v>38718</v>
      </c>
      <c r="Z13" s="15">
        <v>2006</v>
      </c>
      <c r="AA13" s="13">
        <v>39814</v>
      </c>
      <c r="AB13" s="62">
        <v>2009</v>
      </c>
      <c r="AC13" s="62">
        <v>3</v>
      </c>
      <c r="AD13" s="62">
        <v>2009</v>
      </c>
      <c r="AE13" s="27"/>
      <c r="AF13" s="8" t="s">
        <v>148</v>
      </c>
      <c r="AG13" s="28">
        <v>37000000</v>
      </c>
      <c r="AH13" s="16">
        <v>28856904.469999999</v>
      </c>
      <c r="AI13" s="16">
        <v>42193623.969999999</v>
      </c>
      <c r="AJ13" s="16" t="s">
        <v>63</v>
      </c>
      <c r="AK13" s="28">
        <v>37000000</v>
      </c>
      <c r="AL13" s="16">
        <v>28856904.469999999</v>
      </c>
      <c r="AM13" s="16">
        <v>42193623.969999999</v>
      </c>
      <c r="AN13" s="10" t="s">
        <v>64</v>
      </c>
      <c r="AO13" s="8" t="s">
        <v>3756</v>
      </c>
      <c r="AP13" s="43">
        <v>1800</v>
      </c>
      <c r="AQ13" s="43">
        <v>1800</v>
      </c>
      <c r="AR13" s="8" t="s">
        <v>3765</v>
      </c>
      <c r="AS13" s="8" t="s">
        <v>3778</v>
      </c>
      <c r="AT13" s="10" t="s">
        <v>3795</v>
      </c>
      <c r="AU13" s="96"/>
      <c r="AV13" s="17" t="s">
        <v>194</v>
      </c>
      <c r="AW13" s="10" t="s">
        <v>195</v>
      </c>
      <c r="AX13" s="7"/>
      <c r="AY13" s="10" t="s">
        <v>196</v>
      </c>
      <c r="AZ13" s="10" t="s">
        <v>197</v>
      </c>
      <c r="BA13" s="10" t="s">
        <v>198</v>
      </c>
      <c r="BB13" s="18" t="s">
        <v>199</v>
      </c>
      <c r="BC13" s="41" t="s">
        <v>200</v>
      </c>
    </row>
    <row r="14" spans="1:55" ht="70" customHeight="1" x14ac:dyDescent="0.2">
      <c r="A14" s="88" t="s">
        <v>4198</v>
      </c>
      <c r="B14" s="6" t="s">
        <v>201</v>
      </c>
      <c r="C14" s="7" t="s">
        <v>174</v>
      </c>
      <c r="D14" s="8" t="s">
        <v>49</v>
      </c>
      <c r="E14" s="8" t="s">
        <v>50</v>
      </c>
      <c r="F14" s="9" t="s">
        <v>138</v>
      </c>
      <c r="G14" s="9" t="s">
        <v>139</v>
      </c>
      <c r="H14" s="10" t="s">
        <v>4153</v>
      </c>
      <c r="I14" s="10" t="s">
        <v>140</v>
      </c>
      <c r="J14" s="7" t="s">
        <v>202</v>
      </c>
      <c r="K14" s="10" t="s">
        <v>55</v>
      </c>
      <c r="L14" s="9" t="s">
        <v>138</v>
      </c>
      <c r="M14" s="9" t="s">
        <v>139</v>
      </c>
      <c r="N14" s="10" t="s">
        <v>4153</v>
      </c>
      <c r="O14" s="8" t="s">
        <v>140</v>
      </c>
      <c r="P14" s="8" t="s">
        <v>56</v>
      </c>
      <c r="Q14" s="10" t="s">
        <v>203</v>
      </c>
      <c r="R14" s="54" t="s">
        <v>177</v>
      </c>
      <c r="S14" s="18" t="s">
        <v>59</v>
      </c>
      <c r="T14" s="8" t="s">
        <v>60</v>
      </c>
      <c r="U14" s="11">
        <v>27698</v>
      </c>
      <c r="V14" s="14">
        <v>1975</v>
      </c>
      <c r="W14" s="14" t="s">
        <v>94</v>
      </c>
      <c r="X14" s="14">
        <v>2006</v>
      </c>
      <c r="Y14" s="13">
        <v>38718</v>
      </c>
      <c r="Z14" s="14">
        <v>2006</v>
      </c>
      <c r="AA14" s="13">
        <v>40909</v>
      </c>
      <c r="AB14" s="14">
        <v>2012</v>
      </c>
      <c r="AC14" s="14">
        <v>6</v>
      </c>
      <c r="AD14" s="14">
        <v>2006</v>
      </c>
      <c r="AE14" s="27"/>
      <c r="AF14" s="8" t="s">
        <v>148</v>
      </c>
      <c r="AG14" s="16">
        <v>5900000</v>
      </c>
      <c r="AH14" s="16">
        <v>4442859.9400000004</v>
      </c>
      <c r="AI14" s="16">
        <v>6913076.8399999999</v>
      </c>
      <c r="AJ14" s="16" t="s">
        <v>63</v>
      </c>
      <c r="AK14" s="28">
        <v>5900000</v>
      </c>
      <c r="AL14" s="16">
        <v>4442859.9400000004</v>
      </c>
      <c r="AM14" s="16">
        <v>6913076.8399999999</v>
      </c>
      <c r="AN14" s="10" t="s">
        <v>64</v>
      </c>
      <c r="AO14" s="8" t="s">
        <v>3756</v>
      </c>
      <c r="AP14" s="15" t="s">
        <v>94</v>
      </c>
      <c r="AQ14" s="15" t="s">
        <v>94</v>
      </c>
      <c r="AR14" s="8" t="s">
        <v>3765</v>
      </c>
      <c r="AS14" s="10" t="s">
        <v>3781</v>
      </c>
      <c r="AT14" s="10" t="s">
        <v>3795</v>
      </c>
      <c r="AU14" s="96"/>
      <c r="AV14" s="17"/>
      <c r="AW14" s="10" t="s">
        <v>204</v>
      </c>
      <c r="AX14" s="7"/>
      <c r="AY14" s="10" t="s">
        <v>205</v>
      </c>
      <c r="AZ14" s="10" t="s">
        <v>206</v>
      </c>
      <c r="BA14" s="10" t="s">
        <v>207</v>
      </c>
      <c r="BB14" s="18" t="s">
        <v>181</v>
      </c>
      <c r="BC14" s="41" t="s">
        <v>208</v>
      </c>
    </row>
    <row r="15" spans="1:55" ht="70" customHeight="1" x14ac:dyDescent="0.2">
      <c r="A15" s="88" t="s">
        <v>4199</v>
      </c>
      <c r="B15" s="6" t="s">
        <v>209</v>
      </c>
      <c r="C15" s="7" t="s">
        <v>190</v>
      </c>
      <c r="D15" s="8" t="s">
        <v>49</v>
      </c>
      <c r="E15" s="8" t="s">
        <v>50</v>
      </c>
      <c r="F15" s="9" t="s">
        <v>138</v>
      </c>
      <c r="G15" s="9" t="s">
        <v>139</v>
      </c>
      <c r="H15" s="10" t="s">
        <v>4153</v>
      </c>
      <c r="I15" s="10" t="s">
        <v>140</v>
      </c>
      <c r="J15" s="7" t="s">
        <v>210</v>
      </c>
      <c r="K15" s="10" t="s">
        <v>55</v>
      </c>
      <c r="L15" s="9" t="s">
        <v>138</v>
      </c>
      <c r="M15" s="9" t="s">
        <v>139</v>
      </c>
      <c r="N15" s="10" t="s">
        <v>4153</v>
      </c>
      <c r="O15" s="8" t="s">
        <v>140</v>
      </c>
      <c r="P15" s="8" t="s">
        <v>56</v>
      </c>
      <c r="Q15" s="10" t="s">
        <v>211</v>
      </c>
      <c r="R15" s="10" t="s">
        <v>162</v>
      </c>
      <c r="S15" s="10" t="s">
        <v>163</v>
      </c>
      <c r="T15" s="8" t="s">
        <v>60</v>
      </c>
      <c r="U15" s="11" t="s">
        <v>164</v>
      </c>
      <c r="V15" s="12">
        <v>1770</v>
      </c>
      <c r="W15" s="13">
        <v>39008</v>
      </c>
      <c r="X15" s="14">
        <v>2006</v>
      </c>
      <c r="Y15" s="13">
        <v>39083</v>
      </c>
      <c r="Z15" s="15">
        <v>2007</v>
      </c>
      <c r="AA15" s="13">
        <v>39448</v>
      </c>
      <c r="AB15" s="14">
        <v>2008</v>
      </c>
      <c r="AC15" s="14">
        <v>1</v>
      </c>
      <c r="AD15" s="14">
        <v>2007</v>
      </c>
      <c r="AE15" s="27" t="s">
        <v>212</v>
      </c>
      <c r="AF15" s="8" t="s">
        <v>148</v>
      </c>
      <c r="AG15" s="16">
        <v>5000000</v>
      </c>
      <c r="AH15" s="16">
        <v>4183846.59</v>
      </c>
      <c r="AI15" s="16">
        <v>6329767.5</v>
      </c>
      <c r="AJ15" s="16" t="s">
        <v>63</v>
      </c>
      <c r="AK15" s="28">
        <v>5000000</v>
      </c>
      <c r="AL15" s="16">
        <v>4183846.59</v>
      </c>
      <c r="AM15" s="16">
        <v>6329767.5</v>
      </c>
      <c r="AN15" s="10" t="s">
        <v>64</v>
      </c>
      <c r="AO15" s="8" t="s">
        <v>3757</v>
      </c>
      <c r="AP15" s="15">
        <v>151</v>
      </c>
      <c r="AQ15" s="15">
        <v>106</v>
      </c>
      <c r="AR15" s="8" t="s">
        <v>3765</v>
      </c>
      <c r="AS15" s="10" t="s">
        <v>3814</v>
      </c>
      <c r="AT15" s="10" t="s">
        <v>3795</v>
      </c>
      <c r="AU15" s="96"/>
      <c r="AV15" s="17" t="s">
        <v>3885</v>
      </c>
      <c r="AW15" s="10" t="s">
        <v>3943</v>
      </c>
      <c r="AX15" s="7" t="s">
        <v>3975</v>
      </c>
      <c r="AY15" s="10" t="s">
        <v>213</v>
      </c>
      <c r="AZ15" s="10" t="s">
        <v>214</v>
      </c>
      <c r="BA15" s="10" t="s">
        <v>215</v>
      </c>
      <c r="BB15" s="18" t="s">
        <v>181</v>
      </c>
      <c r="BC15" s="41" t="s">
        <v>216</v>
      </c>
    </row>
    <row r="16" spans="1:55" ht="70" customHeight="1" x14ac:dyDescent="0.2">
      <c r="A16" s="88" t="s">
        <v>4200</v>
      </c>
      <c r="B16" s="6" t="s">
        <v>217</v>
      </c>
      <c r="C16" s="7" t="s">
        <v>174</v>
      </c>
      <c r="D16" s="8" t="s">
        <v>49</v>
      </c>
      <c r="E16" s="8" t="s">
        <v>50</v>
      </c>
      <c r="F16" s="9" t="s">
        <v>138</v>
      </c>
      <c r="G16" s="9" t="s">
        <v>139</v>
      </c>
      <c r="H16" s="10" t="s">
        <v>4153</v>
      </c>
      <c r="I16" s="10" t="s">
        <v>140</v>
      </c>
      <c r="J16" s="7" t="s">
        <v>218</v>
      </c>
      <c r="K16" s="10" t="s">
        <v>55</v>
      </c>
      <c r="L16" s="30" t="s">
        <v>2042</v>
      </c>
      <c r="M16" s="30" t="s">
        <v>537</v>
      </c>
      <c r="N16" s="30" t="s">
        <v>4185</v>
      </c>
      <c r="O16" s="30" t="s">
        <v>4185</v>
      </c>
      <c r="P16" s="8" t="s">
        <v>144</v>
      </c>
      <c r="Q16" s="10" t="s">
        <v>219</v>
      </c>
      <c r="R16" s="10" t="s">
        <v>163</v>
      </c>
      <c r="S16" s="18"/>
      <c r="T16" s="8" t="s">
        <v>60</v>
      </c>
      <c r="U16" s="11">
        <v>1</v>
      </c>
      <c r="V16" s="12">
        <v>1900</v>
      </c>
      <c r="W16" s="13">
        <v>39203</v>
      </c>
      <c r="X16" s="14">
        <v>2007</v>
      </c>
      <c r="Y16" s="13" t="s">
        <v>94</v>
      </c>
      <c r="Z16" s="13" t="s">
        <v>94</v>
      </c>
      <c r="AA16" s="13" t="s">
        <v>94</v>
      </c>
      <c r="AB16" s="13" t="s">
        <v>94</v>
      </c>
      <c r="AC16" s="13" t="s">
        <v>94</v>
      </c>
      <c r="AD16" s="15"/>
      <c r="AE16" s="27" t="s">
        <v>220</v>
      </c>
      <c r="AF16" s="8" t="s">
        <v>148</v>
      </c>
      <c r="AG16" s="16">
        <v>100000000</v>
      </c>
      <c r="AH16" s="16">
        <v>83676931.730000004</v>
      </c>
      <c r="AI16" s="16">
        <v>126595349.89</v>
      </c>
      <c r="AJ16" s="16" t="s">
        <v>76</v>
      </c>
      <c r="AK16" s="28" t="s">
        <v>94</v>
      </c>
      <c r="AL16" s="16" t="s">
        <v>94</v>
      </c>
      <c r="AM16" s="16" t="s">
        <v>94</v>
      </c>
      <c r="AN16" s="10" t="s">
        <v>64</v>
      </c>
      <c r="AO16" s="8" t="s">
        <v>3756</v>
      </c>
      <c r="AP16" s="43">
        <v>7400</v>
      </c>
      <c r="AQ16" s="15" t="s">
        <v>94</v>
      </c>
      <c r="AR16" s="8" t="s">
        <v>3765</v>
      </c>
      <c r="AS16" s="8" t="s">
        <v>3778</v>
      </c>
      <c r="AT16" s="10" t="s">
        <v>3795</v>
      </c>
      <c r="AU16" s="96"/>
      <c r="AV16" s="17" t="s">
        <v>194</v>
      </c>
      <c r="AW16" s="10" t="s">
        <v>195</v>
      </c>
      <c r="AX16" s="7" t="s">
        <v>221</v>
      </c>
      <c r="AY16" s="10" t="s">
        <v>222</v>
      </c>
      <c r="AZ16" s="10" t="s">
        <v>223</v>
      </c>
      <c r="BA16" s="10" t="s">
        <v>224</v>
      </c>
      <c r="BB16" s="18"/>
      <c r="BC16" s="41" t="s">
        <v>225</v>
      </c>
    </row>
    <row r="17" spans="1:55" ht="70" customHeight="1" x14ac:dyDescent="0.2">
      <c r="A17" s="88" t="s">
        <v>4201</v>
      </c>
      <c r="B17" s="6" t="s">
        <v>226</v>
      </c>
      <c r="C17" s="7" t="s">
        <v>227</v>
      </c>
      <c r="D17" s="8" t="s">
        <v>49</v>
      </c>
      <c r="E17" s="8" t="s">
        <v>50</v>
      </c>
      <c r="F17" s="9" t="s">
        <v>138</v>
      </c>
      <c r="G17" s="9" t="s">
        <v>139</v>
      </c>
      <c r="H17" s="10" t="s">
        <v>4153</v>
      </c>
      <c r="I17" s="10" t="s">
        <v>140</v>
      </c>
      <c r="J17" s="7" t="s">
        <v>228</v>
      </c>
      <c r="K17" s="10" t="s">
        <v>55</v>
      </c>
      <c r="L17" s="30" t="s">
        <v>2042</v>
      </c>
      <c r="M17" s="30" t="s">
        <v>537</v>
      </c>
      <c r="N17" s="30" t="s">
        <v>4185</v>
      </c>
      <c r="O17" s="30" t="s">
        <v>4185</v>
      </c>
      <c r="P17" s="8" t="s">
        <v>144</v>
      </c>
      <c r="Q17" s="10" t="s">
        <v>229</v>
      </c>
      <c r="R17" s="10" t="s">
        <v>163</v>
      </c>
      <c r="S17" s="18"/>
      <c r="T17" s="8" t="s">
        <v>60</v>
      </c>
      <c r="U17" s="11">
        <v>1</v>
      </c>
      <c r="V17" s="12">
        <v>1900</v>
      </c>
      <c r="W17" s="13">
        <v>39433</v>
      </c>
      <c r="X17" s="14">
        <v>2007</v>
      </c>
      <c r="Y17" s="13">
        <v>39569</v>
      </c>
      <c r="Z17" s="15">
        <v>2008</v>
      </c>
      <c r="AA17" s="13">
        <v>40544</v>
      </c>
      <c r="AB17" s="15">
        <v>2011</v>
      </c>
      <c r="AC17" s="15">
        <v>3</v>
      </c>
      <c r="AD17" s="15">
        <v>2012</v>
      </c>
      <c r="AE17" s="27"/>
      <c r="AF17" s="8" t="s">
        <v>148</v>
      </c>
      <c r="AG17" s="28">
        <v>117740167</v>
      </c>
      <c r="AH17" s="16">
        <v>121909340.81</v>
      </c>
      <c r="AI17" s="16">
        <v>166561927.62</v>
      </c>
      <c r="AJ17" s="16" t="s">
        <v>63</v>
      </c>
      <c r="AK17" s="28">
        <v>117740167</v>
      </c>
      <c r="AL17" s="16">
        <v>121909340.81</v>
      </c>
      <c r="AM17" s="16">
        <v>166561927.62</v>
      </c>
      <c r="AN17" s="10" t="s">
        <v>64</v>
      </c>
      <c r="AO17" s="8" t="s">
        <v>3756</v>
      </c>
      <c r="AP17" s="43">
        <v>5212</v>
      </c>
      <c r="AQ17" s="43">
        <v>5212</v>
      </c>
      <c r="AR17" s="8" t="s">
        <v>3765</v>
      </c>
      <c r="AS17" s="8" t="s">
        <v>3778</v>
      </c>
      <c r="AT17" s="10" t="s">
        <v>3795</v>
      </c>
      <c r="AU17" s="96"/>
      <c r="AV17" s="17" t="s">
        <v>230</v>
      </c>
      <c r="AW17" s="10" t="s">
        <v>3944</v>
      </c>
      <c r="AX17" s="7" t="s">
        <v>3976</v>
      </c>
      <c r="AY17" s="10" t="s">
        <v>231</v>
      </c>
      <c r="AZ17" s="10" t="s">
        <v>232</v>
      </c>
      <c r="BA17" s="10" t="s">
        <v>233</v>
      </c>
      <c r="BB17" s="18" t="s">
        <v>234</v>
      </c>
      <c r="BC17" s="41" t="s">
        <v>235</v>
      </c>
    </row>
    <row r="18" spans="1:55" ht="70" customHeight="1" x14ac:dyDescent="0.2">
      <c r="A18" s="88" t="s">
        <v>4202</v>
      </c>
      <c r="B18" s="6" t="s">
        <v>236</v>
      </c>
      <c r="C18" s="7" t="s">
        <v>237</v>
      </c>
      <c r="D18" s="8" t="s">
        <v>49</v>
      </c>
      <c r="E18" s="8" t="s">
        <v>50</v>
      </c>
      <c r="F18" s="9" t="s">
        <v>138</v>
      </c>
      <c r="G18" s="9" t="s">
        <v>139</v>
      </c>
      <c r="H18" s="10" t="s">
        <v>4153</v>
      </c>
      <c r="I18" s="10" t="s">
        <v>140</v>
      </c>
      <c r="J18" s="7" t="s">
        <v>238</v>
      </c>
      <c r="K18" s="10" t="s">
        <v>55</v>
      </c>
      <c r="L18" s="9" t="s">
        <v>138</v>
      </c>
      <c r="M18" s="9" t="s">
        <v>139</v>
      </c>
      <c r="N18" s="10" t="s">
        <v>4153</v>
      </c>
      <c r="O18" s="8" t="s">
        <v>140</v>
      </c>
      <c r="P18" s="8" t="s">
        <v>56</v>
      </c>
      <c r="Q18" s="10" t="s">
        <v>239</v>
      </c>
      <c r="R18" s="10" t="s">
        <v>240</v>
      </c>
      <c r="S18" s="10"/>
      <c r="T18" s="8" t="s">
        <v>60</v>
      </c>
      <c r="U18" s="11">
        <v>18264</v>
      </c>
      <c r="V18" s="12">
        <v>1950</v>
      </c>
      <c r="W18" s="14" t="s">
        <v>94</v>
      </c>
      <c r="X18" s="14">
        <v>2011</v>
      </c>
      <c r="Y18" s="13">
        <v>40909</v>
      </c>
      <c r="Z18" s="15">
        <v>2012</v>
      </c>
      <c r="AA18" s="13">
        <v>42370</v>
      </c>
      <c r="AB18" s="14">
        <v>2016</v>
      </c>
      <c r="AC18" s="14">
        <v>4</v>
      </c>
      <c r="AD18" s="14">
        <v>2015</v>
      </c>
      <c r="AE18" s="27"/>
      <c r="AF18" s="8" t="s">
        <v>148</v>
      </c>
      <c r="AG18" s="28">
        <v>62140000</v>
      </c>
      <c r="AH18" s="16">
        <v>46683535.859999999</v>
      </c>
      <c r="AI18" s="16">
        <v>61785068.920000002</v>
      </c>
      <c r="AJ18" s="16" t="s">
        <v>63</v>
      </c>
      <c r="AK18" s="28">
        <v>62140000</v>
      </c>
      <c r="AL18" s="16">
        <v>46683535.859999999</v>
      </c>
      <c r="AM18" s="16">
        <v>61785068.920000002</v>
      </c>
      <c r="AN18" s="10" t="s">
        <v>64</v>
      </c>
      <c r="AO18" s="8" t="s">
        <v>3756</v>
      </c>
      <c r="AP18" s="43">
        <v>1590</v>
      </c>
      <c r="AQ18" s="43">
        <v>1590</v>
      </c>
      <c r="AR18" s="8" t="s">
        <v>3765</v>
      </c>
      <c r="AS18" s="10" t="s">
        <v>3781</v>
      </c>
      <c r="AT18" s="10" t="s">
        <v>3795</v>
      </c>
      <c r="AU18" s="96"/>
      <c r="AV18" s="17" t="s">
        <v>241</v>
      </c>
      <c r="AW18" s="10"/>
      <c r="AX18" s="7" t="s">
        <v>3977</v>
      </c>
      <c r="AY18" s="10" t="s">
        <v>242</v>
      </c>
      <c r="AZ18" s="10" t="s">
        <v>243</v>
      </c>
      <c r="BA18" s="10" t="s">
        <v>244</v>
      </c>
      <c r="BB18" s="18" t="s">
        <v>245</v>
      </c>
      <c r="BC18" s="41" t="s">
        <v>246</v>
      </c>
    </row>
    <row r="19" spans="1:55" ht="70" customHeight="1" x14ac:dyDescent="0.2">
      <c r="A19" s="88" t="s">
        <v>4203</v>
      </c>
      <c r="B19" s="6" t="s">
        <v>247</v>
      </c>
      <c r="C19" s="7" t="s">
        <v>248</v>
      </c>
      <c r="D19" s="8" t="s">
        <v>49</v>
      </c>
      <c r="E19" s="8" t="s">
        <v>50</v>
      </c>
      <c r="F19" s="9" t="s">
        <v>138</v>
      </c>
      <c r="G19" s="9" t="s">
        <v>139</v>
      </c>
      <c r="H19" s="10" t="s">
        <v>4153</v>
      </c>
      <c r="I19" s="10" t="s">
        <v>140</v>
      </c>
      <c r="J19" s="7" t="s">
        <v>249</v>
      </c>
      <c r="K19" s="10" t="s">
        <v>55</v>
      </c>
      <c r="L19" s="9" t="s">
        <v>138</v>
      </c>
      <c r="M19" s="9" t="s">
        <v>139</v>
      </c>
      <c r="N19" s="10" t="s">
        <v>4153</v>
      </c>
      <c r="O19" s="8" t="s">
        <v>140</v>
      </c>
      <c r="P19" s="8" t="s">
        <v>56</v>
      </c>
      <c r="Q19" s="10" t="s">
        <v>250</v>
      </c>
      <c r="R19" s="10" t="s">
        <v>162</v>
      </c>
      <c r="S19" s="10" t="s">
        <v>163</v>
      </c>
      <c r="T19" s="8" t="s">
        <v>60</v>
      </c>
      <c r="U19" s="11" t="s">
        <v>164</v>
      </c>
      <c r="V19" s="12">
        <v>1770</v>
      </c>
      <c r="W19" s="13">
        <v>42327</v>
      </c>
      <c r="X19" s="14">
        <v>2015</v>
      </c>
      <c r="Y19" s="13">
        <v>43101</v>
      </c>
      <c r="Z19" s="15">
        <v>2018</v>
      </c>
      <c r="AA19" s="13">
        <v>43466</v>
      </c>
      <c r="AB19" s="14">
        <v>2019</v>
      </c>
      <c r="AC19" s="14">
        <v>1</v>
      </c>
      <c r="AD19" s="14">
        <v>2018</v>
      </c>
      <c r="AE19" s="27"/>
      <c r="AF19" s="8" t="s">
        <v>148</v>
      </c>
      <c r="AG19" s="16">
        <v>11000000</v>
      </c>
      <c r="AH19" s="16">
        <v>8263902.3899999997</v>
      </c>
      <c r="AI19" s="16">
        <v>10937170.23</v>
      </c>
      <c r="AJ19" s="16" t="s">
        <v>76</v>
      </c>
      <c r="AK19" s="28">
        <v>11000000</v>
      </c>
      <c r="AL19" s="16">
        <v>8218694.0899999999</v>
      </c>
      <c r="AM19" s="16">
        <v>10266993.470000001</v>
      </c>
      <c r="AN19" s="54" t="s">
        <v>3755</v>
      </c>
      <c r="AO19" s="8" t="s">
        <v>3757</v>
      </c>
      <c r="AP19" s="15">
        <v>449</v>
      </c>
      <c r="AQ19" s="15">
        <v>449</v>
      </c>
      <c r="AR19" s="8" t="s">
        <v>3765</v>
      </c>
      <c r="AS19" s="10" t="s">
        <v>3813</v>
      </c>
      <c r="AT19" s="10" t="s">
        <v>3795</v>
      </c>
      <c r="AU19" s="96"/>
      <c r="AV19" s="17" t="s">
        <v>3886</v>
      </c>
      <c r="AW19" s="10" t="s">
        <v>251</v>
      </c>
      <c r="AX19" s="7"/>
      <c r="AY19" s="10" t="s">
        <v>252</v>
      </c>
      <c r="AZ19" s="10" t="s">
        <v>253</v>
      </c>
      <c r="BA19" s="10" t="s">
        <v>254</v>
      </c>
      <c r="BB19" s="18" t="s">
        <v>157</v>
      </c>
      <c r="BC19" s="41" t="s">
        <v>255</v>
      </c>
    </row>
    <row r="20" spans="1:55" ht="70" customHeight="1" x14ac:dyDescent="0.2">
      <c r="A20" s="88" t="s">
        <v>4204</v>
      </c>
      <c r="B20" s="6" t="s">
        <v>256</v>
      </c>
      <c r="C20" s="7" t="s">
        <v>257</v>
      </c>
      <c r="D20" s="8" t="s">
        <v>49</v>
      </c>
      <c r="E20" s="8" t="s">
        <v>50</v>
      </c>
      <c r="F20" s="9" t="s">
        <v>138</v>
      </c>
      <c r="G20" s="9" t="s">
        <v>139</v>
      </c>
      <c r="H20" s="10" t="s">
        <v>4153</v>
      </c>
      <c r="I20" s="10" t="s">
        <v>140</v>
      </c>
      <c r="J20" s="7" t="s">
        <v>258</v>
      </c>
      <c r="K20" s="10" t="s">
        <v>55</v>
      </c>
      <c r="L20" s="9" t="s">
        <v>138</v>
      </c>
      <c r="M20" s="9" t="s">
        <v>139</v>
      </c>
      <c r="N20" s="10" t="s">
        <v>4153</v>
      </c>
      <c r="O20" s="8" t="s">
        <v>140</v>
      </c>
      <c r="P20" s="8" t="s">
        <v>56</v>
      </c>
      <c r="Q20" s="10" t="s">
        <v>250</v>
      </c>
      <c r="R20" s="10" t="s">
        <v>162</v>
      </c>
      <c r="S20" s="10" t="s">
        <v>163</v>
      </c>
      <c r="T20" s="8" t="s">
        <v>60</v>
      </c>
      <c r="U20" s="11" t="s">
        <v>164</v>
      </c>
      <c r="V20" s="12">
        <v>1770</v>
      </c>
      <c r="W20" s="13">
        <v>42917</v>
      </c>
      <c r="X20" s="14">
        <v>2017</v>
      </c>
      <c r="Y20" s="13">
        <v>42736</v>
      </c>
      <c r="Z20" s="15">
        <v>2017</v>
      </c>
      <c r="AA20" s="13">
        <v>43101</v>
      </c>
      <c r="AB20" s="15">
        <v>2018</v>
      </c>
      <c r="AC20" s="15">
        <v>1</v>
      </c>
      <c r="AD20" s="15">
        <v>2018</v>
      </c>
      <c r="AE20" s="27" t="s">
        <v>259</v>
      </c>
      <c r="AF20" s="8" t="s">
        <v>148</v>
      </c>
      <c r="AG20" s="28">
        <v>75000000</v>
      </c>
      <c r="AH20" s="28">
        <v>56036550.619999997</v>
      </c>
      <c r="AI20" s="28">
        <v>70002228.239999995</v>
      </c>
      <c r="AJ20" s="16" t="s">
        <v>63</v>
      </c>
      <c r="AK20" s="28">
        <v>75000000</v>
      </c>
      <c r="AL20" s="28">
        <v>56036550.619999997</v>
      </c>
      <c r="AM20" s="28">
        <v>70002228.239999995</v>
      </c>
      <c r="AN20" s="54" t="s">
        <v>3755</v>
      </c>
      <c r="AO20" s="8" t="s">
        <v>3756</v>
      </c>
      <c r="AP20" s="15" t="s">
        <v>94</v>
      </c>
      <c r="AQ20" s="15" t="s">
        <v>94</v>
      </c>
      <c r="AR20" s="8" t="s">
        <v>3765</v>
      </c>
      <c r="AS20" s="10" t="s">
        <v>3814</v>
      </c>
      <c r="AT20" s="10" t="s">
        <v>3795</v>
      </c>
      <c r="AU20" s="96"/>
      <c r="AV20" s="17" t="s">
        <v>3887</v>
      </c>
      <c r="AW20" s="10" t="s">
        <v>3945</v>
      </c>
      <c r="AX20" s="7" t="s">
        <v>260</v>
      </c>
      <c r="AY20" s="10" t="s">
        <v>261</v>
      </c>
      <c r="AZ20" s="10" t="s">
        <v>262</v>
      </c>
      <c r="BA20" s="10" t="s">
        <v>263</v>
      </c>
      <c r="BB20" s="18" t="s">
        <v>264</v>
      </c>
      <c r="BC20" s="41" t="s">
        <v>265</v>
      </c>
    </row>
    <row r="21" spans="1:55" ht="70" customHeight="1" x14ac:dyDescent="0.2">
      <c r="A21" s="88" t="s">
        <v>4205</v>
      </c>
      <c r="B21" s="6" t="s">
        <v>266</v>
      </c>
      <c r="C21" s="7" t="s">
        <v>137</v>
      </c>
      <c r="D21" s="8" t="s">
        <v>49</v>
      </c>
      <c r="E21" s="8" t="s">
        <v>50</v>
      </c>
      <c r="F21" s="9" t="s">
        <v>138</v>
      </c>
      <c r="G21" s="9" t="s">
        <v>139</v>
      </c>
      <c r="H21" s="10" t="s">
        <v>4153</v>
      </c>
      <c r="I21" s="10" t="s">
        <v>140</v>
      </c>
      <c r="J21" s="7" t="s">
        <v>267</v>
      </c>
      <c r="K21" s="10" t="s">
        <v>55</v>
      </c>
      <c r="L21" s="9" t="s">
        <v>138</v>
      </c>
      <c r="M21" s="9" t="s">
        <v>139</v>
      </c>
      <c r="N21" s="10" t="s">
        <v>4153</v>
      </c>
      <c r="O21" s="8" t="s">
        <v>140</v>
      </c>
      <c r="P21" s="8" t="s">
        <v>56</v>
      </c>
      <c r="Q21" s="10" t="s">
        <v>268</v>
      </c>
      <c r="R21" s="10" t="s">
        <v>163</v>
      </c>
      <c r="S21" s="10"/>
      <c r="T21" s="8" t="s">
        <v>60</v>
      </c>
      <c r="U21" s="11" t="s">
        <v>269</v>
      </c>
      <c r="V21" s="12" t="s">
        <v>269</v>
      </c>
      <c r="W21" s="13">
        <v>43272</v>
      </c>
      <c r="X21" s="14">
        <v>2018</v>
      </c>
      <c r="Y21" s="13">
        <v>43282</v>
      </c>
      <c r="Z21" s="15">
        <v>2018</v>
      </c>
      <c r="AA21" s="13">
        <v>44925</v>
      </c>
      <c r="AB21" s="15">
        <v>2022</v>
      </c>
      <c r="AC21" s="15">
        <v>4</v>
      </c>
      <c r="AD21" s="15">
        <v>2022</v>
      </c>
      <c r="AE21" s="27" t="s">
        <v>270</v>
      </c>
      <c r="AF21" s="8" t="s">
        <v>148</v>
      </c>
      <c r="AG21" s="28">
        <v>919400000</v>
      </c>
      <c r="AH21" s="37">
        <v>637735080.63999999</v>
      </c>
      <c r="AI21" s="37">
        <v>683571029.75</v>
      </c>
      <c r="AJ21" s="16" t="s">
        <v>63</v>
      </c>
      <c r="AK21" s="28">
        <v>919400000</v>
      </c>
      <c r="AL21" s="37">
        <v>637735080.63999999</v>
      </c>
      <c r="AM21" s="37">
        <v>683571029.75</v>
      </c>
      <c r="AN21" s="10" t="s">
        <v>64</v>
      </c>
      <c r="AO21" s="8" t="s">
        <v>3756</v>
      </c>
      <c r="AP21" s="43">
        <v>21674</v>
      </c>
      <c r="AQ21" s="15" t="s">
        <v>94</v>
      </c>
      <c r="AR21" s="8" t="s">
        <v>3765</v>
      </c>
      <c r="AS21" s="10" t="s">
        <v>269</v>
      </c>
      <c r="AT21" s="10" t="s">
        <v>3795</v>
      </c>
      <c r="AU21" s="98"/>
      <c r="AV21" s="17" t="s">
        <v>271</v>
      </c>
      <c r="AW21" s="10" t="s">
        <v>3946</v>
      </c>
      <c r="AX21" s="7"/>
      <c r="AY21" s="10" t="s">
        <v>272</v>
      </c>
      <c r="AZ21" s="10" t="s">
        <v>273</v>
      </c>
      <c r="BA21" s="10" t="s">
        <v>274</v>
      </c>
      <c r="BB21" s="18" t="s">
        <v>275</v>
      </c>
      <c r="BC21" s="41" t="s">
        <v>276</v>
      </c>
    </row>
    <row r="22" spans="1:55" ht="70" customHeight="1" x14ac:dyDescent="0.2">
      <c r="A22" s="88" t="s">
        <v>4206</v>
      </c>
      <c r="B22" s="6" t="s">
        <v>277</v>
      </c>
      <c r="C22" s="7" t="s">
        <v>278</v>
      </c>
      <c r="D22" s="8" t="s">
        <v>279</v>
      </c>
      <c r="E22" s="8" t="s">
        <v>280</v>
      </c>
      <c r="F22" s="9" t="s">
        <v>138</v>
      </c>
      <c r="G22" s="9" t="s">
        <v>139</v>
      </c>
      <c r="H22" s="10" t="s">
        <v>4153</v>
      </c>
      <c r="I22" s="10" t="s">
        <v>140</v>
      </c>
      <c r="J22" s="7" t="s">
        <v>281</v>
      </c>
      <c r="K22" s="10" t="s">
        <v>49</v>
      </c>
      <c r="L22" s="9" t="s">
        <v>282</v>
      </c>
      <c r="M22" s="9" t="s">
        <v>283</v>
      </c>
      <c r="N22" s="10" t="s">
        <v>4592</v>
      </c>
      <c r="O22" s="8" t="s">
        <v>140</v>
      </c>
      <c r="P22" s="8" t="s">
        <v>144</v>
      </c>
      <c r="Q22" s="10" t="s">
        <v>284</v>
      </c>
      <c r="R22" s="10" t="s">
        <v>146</v>
      </c>
      <c r="S22" s="10"/>
      <c r="T22" s="8" t="s">
        <v>60</v>
      </c>
      <c r="U22" s="11">
        <v>32874</v>
      </c>
      <c r="V22" s="12">
        <v>1990</v>
      </c>
      <c r="W22" s="13">
        <v>44349</v>
      </c>
      <c r="X22" s="14">
        <v>2021</v>
      </c>
      <c r="Y22" s="13" t="s">
        <v>94</v>
      </c>
      <c r="Z22" s="13" t="s">
        <v>94</v>
      </c>
      <c r="AA22" s="13" t="s">
        <v>94</v>
      </c>
      <c r="AB22" s="13" t="s">
        <v>94</v>
      </c>
      <c r="AC22" s="13" t="s">
        <v>94</v>
      </c>
      <c r="AD22" s="15"/>
      <c r="AE22" s="27"/>
      <c r="AF22" s="8" t="s">
        <v>106</v>
      </c>
      <c r="AG22" s="16">
        <v>93000000</v>
      </c>
      <c r="AH22" s="16">
        <v>93000000</v>
      </c>
      <c r="AI22" s="16">
        <v>107661648.89</v>
      </c>
      <c r="AJ22" s="16" t="s">
        <v>76</v>
      </c>
      <c r="AK22" s="28" t="s">
        <v>94</v>
      </c>
      <c r="AL22" s="16" t="s">
        <v>94</v>
      </c>
      <c r="AM22" s="16" t="s">
        <v>94</v>
      </c>
      <c r="AN22" s="10" t="s">
        <v>149</v>
      </c>
      <c r="AO22" s="8" t="s">
        <v>3756</v>
      </c>
      <c r="AP22" s="15" t="s">
        <v>94</v>
      </c>
      <c r="AQ22" s="15" t="s">
        <v>94</v>
      </c>
      <c r="AR22" s="8" t="s">
        <v>3760</v>
      </c>
      <c r="AS22" s="10" t="s">
        <v>3776</v>
      </c>
      <c r="AT22" s="10" t="s">
        <v>3789</v>
      </c>
      <c r="AU22" s="96"/>
      <c r="AV22" s="17"/>
      <c r="AW22" s="10"/>
      <c r="AX22" s="7" t="s">
        <v>285</v>
      </c>
      <c r="AY22" s="10" t="s">
        <v>286</v>
      </c>
      <c r="AZ22" s="10" t="s">
        <v>287</v>
      </c>
      <c r="BA22" s="10" t="s">
        <v>288</v>
      </c>
      <c r="BB22" s="18"/>
      <c r="BC22" s="41" t="s">
        <v>289</v>
      </c>
    </row>
    <row r="23" spans="1:55" ht="70" customHeight="1" x14ac:dyDescent="0.2">
      <c r="A23" s="88" t="s">
        <v>4207</v>
      </c>
      <c r="B23" s="6" t="s">
        <v>290</v>
      </c>
      <c r="C23" s="7" t="s">
        <v>137</v>
      </c>
      <c r="D23" s="8" t="s">
        <v>49</v>
      </c>
      <c r="E23" s="8" t="s">
        <v>50</v>
      </c>
      <c r="F23" s="9" t="s">
        <v>138</v>
      </c>
      <c r="G23" s="9" t="s">
        <v>139</v>
      </c>
      <c r="H23" s="10" t="s">
        <v>4153</v>
      </c>
      <c r="I23" s="10" t="s">
        <v>140</v>
      </c>
      <c r="J23" s="7" t="s">
        <v>160</v>
      </c>
      <c r="K23" s="10" t="s">
        <v>55</v>
      </c>
      <c r="L23" s="9" t="s">
        <v>138</v>
      </c>
      <c r="M23" s="9" t="s">
        <v>139</v>
      </c>
      <c r="N23" s="10" t="s">
        <v>4153</v>
      </c>
      <c r="O23" s="8" t="s">
        <v>140</v>
      </c>
      <c r="P23" s="8" t="s">
        <v>56</v>
      </c>
      <c r="Q23" s="10" t="s">
        <v>161</v>
      </c>
      <c r="R23" s="10" t="s">
        <v>162</v>
      </c>
      <c r="S23" s="10" t="s">
        <v>163</v>
      </c>
      <c r="T23" s="8" t="s">
        <v>60</v>
      </c>
      <c r="U23" s="11" t="s">
        <v>164</v>
      </c>
      <c r="V23" s="12">
        <v>1770</v>
      </c>
      <c r="W23" s="13">
        <v>44413</v>
      </c>
      <c r="X23" s="14">
        <v>2021</v>
      </c>
      <c r="Y23" s="13" t="s">
        <v>94</v>
      </c>
      <c r="Z23" s="13" t="s">
        <v>94</v>
      </c>
      <c r="AA23" s="13" t="s">
        <v>94</v>
      </c>
      <c r="AB23" s="13" t="s">
        <v>94</v>
      </c>
      <c r="AC23" s="13" t="s">
        <v>94</v>
      </c>
      <c r="AD23" s="13"/>
      <c r="AE23" s="27" t="s">
        <v>291</v>
      </c>
      <c r="AF23" s="8" t="s">
        <v>148</v>
      </c>
      <c r="AG23" s="16">
        <v>380000000</v>
      </c>
      <c r="AH23" s="16">
        <v>280000000</v>
      </c>
      <c r="AI23" s="16">
        <v>324142598.81</v>
      </c>
      <c r="AJ23" s="16" t="s">
        <v>76</v>
      </c>
      <c r="AK23" s="28" t="s">
        <v>94</v>
      </c>
      <c r="AL23" s="16" t="s">
        <v>94</v>
      </c>
      <c r="AM23" s="16" t="s">
        <v>94</v>
      </c>
      <c r="AN23" s="10" t="s">
        <v>64</v>
      </c>
      <c r="AO23" s="8" t="s">
        <v>3757</v>
      </c>
      <c r="AP23" s="15" t="s">
        <v>94</v>
      </c>
      <c r="AQ23" s="15" t="s">
        <v>94</v>
      </c>
      <c r="AR23" s="8" t="s">
        <v>3765</v>
      </c>
      <c r="AS23" s="10" t="s">
        <v>292</v>
      </c>
      <c r="AT23" s="10" t="s">
        <v>3795</v>
      </c>
      <c r="AU23" s="96"/>
      <c r="AV23" s="17" t="s">
        <v>293</v>
      </c>
      <c r="AW23" s="10"/>
      <c r="AX23" s="7" t="s">
        <v>3978</v>
      </c>
      <c r="AY23" s="10" t="s">
        <v>294</v>
      </c>
      <c r="AZ23" s="10" t="s">
        <v>295</v>
      </c>
      <c r="BA23" s="10" t="s">
        <v>296</v>
      </c>
      <c r="BB23" s="18"/>
      <c r="BC23" s="41" t="s">
        <v>297</v>
      </c>
    </row>
    <row r="24" spans="1:55" ht="70" customHeight="1" x14ac:dyDescent="0.2">
      <c r="A24" s="88" t="s">
        <v>4208</v>
      </c>
      <c r="B24" s="6" t="s">
        <v>298</v>
      </c>
      <c r="C24" s="7" t="s">
        <v>299</v>
      </c>
      <c r="D24" s="8" t="s">
        <v>49</v>
      </c>
      <c r="E24" s="8" t="s">
        <v>50</v>
      </c>
      <c r="F24" s="9" t="s">
        <v>138</v>
      </c>
      <c r="G24" s="9" t="s">
        <v>139</v>
      </c>
      <c r="H24" s="10" t="s">
        <v>4153</v>
      </c>
      <c r="I24" s="10" t="s">
        <v>140</v>
      </c>
      <c r="J24" s="7" t="s">
        <v>300</v>
      </c>
      <c r="K24" s="10" t="s">
        <v>55</v>
      </c>
      <c r="L24" s="9" t="s">
        <v>138</v>
      </c>
      <c r="M24" s="9" t="s">
        <v>139</v>
      </c>
      <c r="N24" s="10" t="s">
        <v>4153</v>
      </c>
      <c r="O24" s="8" t="s">
        <v>140</v>
      </c>
      <c r="P24" s="8" t="s">
        <v>56</v>
      </c>
      <c r="Q24" s="10" t="s">
        <v>250</v>
      </c>
      <c r="R24" s="10" t="s">
        <v>162</v>
      </c>
      <c r="S24" s="10" t="s">
        <v>163</v>
      </c>
      <c r="T24" s="8" t="s">
        <v>60</v>
      </c>
      <c r="U24" s="11" t="s">
        <v>164</v>
      </c>
      <c r="V24" s="12">
        <v>1770</v>
      </c>
      <c r="W24" s="13">
        <v>44623</v>
      </c>
      <c r="X24" s="14">
        <v>2022</v>
      </c>
      <c r="Y24" s="13">
        <v>44651</v>
      </c>
      <c r="Z24" s="15">
        <v>2022</v>
      </c>
      <c r="AA24" s="13" t="s">
        <v>94</v>
      </c>
      <c r="AB24" s="13" t="s">
        <v>94</v>
      </c>
      <c r="AC24" s="13" t="s">
        <v>94</v>
      </c>
      <c r="AD24" s="13"/>
      <c r="AE24" s="27" t="s">
        <v>301</v>
      </c>
      <c r="AF24" s="8" t="s">
        <v>148</v>
      </c>
      <c r="AG24" s="16">
        <v>155000000</v>
      </c>
      <c r="AH24" s="16">
        <v>107514615.51000001</v>
      </c>
      <c r="AI24" s="16">
        <v>115242016.11</v>
      </c>
      <c r="AJ24" s="16" t="s">
        <v>76</v>
      </c>
      <c r="AK24" s="28" t="s">
        <v>94</v>
      </c>
      <c r="AL24" s="16" t="s">
        <v>94</v>
      </c>
      <c r="AM24" s="16" t="s">
        <v>94</v>
      </c>
      <c r="AN24" s="10" t="s">
        <v>64</v>
      </c>
      <c r="AO24" s="8" t="s">
        <v>3757</v>
      </c>
      <c r="AP24" s="43">
        <v>1200</v>
      </c>
      <c r="AQ24" s="15" t="s">
        <v>94</v>
      </c>
      <c r="AR24" s="8" t="s">
        <v>3765</v>
      </c>
      <c r="AS24" s="10" t="s">
        <v>3781</v>
      </c>
      <c r="AT24" s="10" t="s">
        <v>3795</v>
      </c>
      <c r="AU24" s="96"/>
      <c r="AV24" s="17" t="s">
        <v>302</v>
      </c>
      <c r="AW24" s="10" t="s">
        <v>3947</v>
      </c>
      <c r="AX24" s="7" t="s">
        <v>303</v>
      </c>
      <c r="AY24" s="10" t="s">
        <v>304</v>
      </c>
      <c r="AZ24" s="10" t="s">
        <v>305</v>
      </c>
      <c r="BA24" s="10" t="s">
        <v>306</v>
      </c>
      <c r="BB24" s="18"/>
      <c r="BC24" s="41" t="s">
        <v>307</v>
      </c>
    </row>
    <row r="25" spans="1:55" ht="70" customHeight="1" x14ac:dyDescent="0.2">
      <c r="A25" s="88" t="s">
        <v>4209</v>
      </c>
      <c r="B25" s="6" t="s">
        <v>308</v>
      </c>
      <c r="C25" s="7" t="s">
        <v>299</v>
      </c>
      <c r="D25" s="8" t="s">
        <v>49</v>
      </c>
      <c r="E25" s="8" t="s">
        <v>50</v>
      </c>
      <c r="F25" s="9" t="s">
        <v>138</v>
      </c>
      <c r="G25" s="9" t="s">
        <v>139</v>
      </c>
      <c r="H25" s="10" t="s">
        <v>4153</v>
      </c>
      <c r="I25" s="10" t="s">
        <v>140</v>
      </c>
      <c r="J25" s="7" t="s">
        <v>191</v>
      </c>
      <c r="K25" s="10" t="s">
        <v>55</v>
      </c>
      <c r="L25" s="30" t="s">
        <v>2042</v>
      </c>
      <c r="M25" s="30" t="s">
        <v>537</v>
      </c>
      <c r="N25" s="30" t="s">
        <v>4185</v>
      </c>
      <c r="O25" s="30" t="s">
        <v>4185</v>
      </c>
      <c r="P25" s="8" t="s">
        <v>144</v>
      </c>
      <c r="Q25" s="10" t="s">
        <v>309</v>
      </c>
      <c r="R25" s="10" t="s">
        <v>163</v>
      </c>
      <c r="S25" s="18"/>
      <c r="T25" s="8" t="s">
        <v>60</v>
      </c>
      <c r="U25" s="11">
        <v>1</v>
      </c>
      <c r="V25" s="12">
        <v>1900</v>
      </c>
      <c r="W25" s="13" t="s">
        <v>94</v>
      </c>
      <c r="X25" s="13" t="s">
        <v>94</v>
      </c>
      <c r="Y25" s="13" t="s">
        <v>94</v>
      </c>
      <c r="Z25" s="13" t="s">
        <v>94</v>
      </c>
      <c r="AA25" s="13">
        <v>39448</v>
      </c>
      <c r="AB25" s="14">
        <v>2008</v>
      </c>
      <c r="AC25" s="13" t="s">
        <v>94</v>
      </c>
      <c r="AD25" s="14">
        <v>2008</v>
      </c>
      <c r="AE25" s="27" t="s">
        <v>310</v>
      </c>
      <c r="AF25" s="8" t="s">
        <v>148</v>
      </c>
      <c r="AG25" s="28">
        <v>4000000</v>
      </c>
      <c r="AH25" s="16">
        <v>3355202.73</v>
      </c>
      <c r="AI25" s="16">
        <v>4888413.95</v>
      </c>
      <c r="AJ25" s="16" t="s">
        <v>63</v>
      </c>
      <c r="AK25" s="28">
        <v>4000000</v>
      </c>
      <c r="AL25" s="16">
        <v>3355202.73</v>
      </c>
      <c r="AM25" s="16">
        <v>4888413.95</v>
      </c>
      <c r="AN25" s="10" t="s">
        <v>64</v>
      </c>
      <c r="AO25" s="8" t="s">
        <v>3756</v>
      </c>
      <c r="AP25" s="15" t="s">
        <v>94</v>
      </c>
      <c r="AQ25" s="15" t="s">
        <v>94</v>
      </c>
      <c r="AR25" s="8" t="s">
        <v>3769</v>
      </c>
      <c r="AS25" s="10" t="s">
        <v>94</v>
      </c>
      <c r="AT25" s="10" t="s">
        <v>3795</v>
      </c>
      <c r="AU25" s="96"/>
      <c r="AV25" s="17" t="s">
        <v>194</v>
      </c>
      <c r="AW25" s="10" t="s">
        <v>195</v>
      </c>
      <c r="AX25" s="7"/>
      <c r="AY25" s="10" t="s">
        <v>196</v>
      </c>
      <c r="AZ25" s="10" t="s">
        <v>197</v>
      </c>
      <c r="BA25" s="10" t="s">
        <v>311</v>
      </c>
      <c r="BB25" s="18" t="s">
        <v>312</v>
      </c>
      <c r="BC25" s="41" t="s">
        <v>313</v>
      </c>
    </row>
    <row r="26" spans="1:55" ht="70" customHeight="1" x14ac:dyDescent="0.2">
      <c r="A26" s="88" t="s">
        <v>4210</v>
      </c>
      <c r="B26" s="6" t="s">
        <v>314</v>
      </c>
      <c r="C26" s="7" t="s">
        <v>315</v>
      </c>
      <c r="D26" s="8" t="s">
        <v>49</v>
      </c>
      <c r="E26" s="8" t="s">
        <v>50</v>
      </c>
      <c r="F26" s="9" t="s">
        <v>316</v>
      </c>
      <c r="G26" s="9" t="s">
        <v>317</v>
      </c>
      <c r="H26" s="10" t="s">
        <v>4154</v>
      </c>
      <c r="I26" s="10" t="s">
        <v>140</v>
      </c>
      <c r="J26" s="7" t="s">
        <v>318</v>
      </c>
      <c r="K26" s="10" t="s">
        <v>55</v>
      </c>
      <c r="L26" s="30" t="s">
        <v>2042</v>
      </c>
      <c r="M26" s="30" t="s">
        <v>537</v>
      </c>
      <c r="N26" s="30" t="s">
        <v>4185</v>
      </c>
      <c r="O26" s="30" t="s">
        <v>4185</v>
      </c>
      <c r="P26" s="8" t="s">
        <v>56</v>
      </c>
      <c r="Q26" s="10" t="s">
        <v>319</v>
      </c>
      <c r="R26" s="10" t="s">
        <v>177</v>
      </c>
      <c r="S26" s="10"/>
      <c r="T26" s="8" t="s">
        <v>73</v>
      </c>
      <c r="U26" s="11">
        <v>12055</v>
      </c>
      <c r="V26" s="12">
        <v>1933</v>
      </c>
      <c r="W26" s="13">
        <v>32918</v>
      </c>
      <c r="X26" s="14">
        <v>1990</v>
      </c>
      <c r="Y26" s="13" t="s">
        <v>94</v>
      </c>
      <c r="Z26" s="13" t="s">
        <v>94</v>
      </c>
      <c r="AA26" s="13" t="s">
        <v>94</v>
      </c>
      <c r="AB26" s="13" t="s">
        <v>94</v>
      </c>
      <c r="AC26" s="13" t="s">
        <v>94</v>
      </c>
      <c r="AD26" s="13"/>
      <c r="AE26" s="27" t="s">
        <v>320</v>
      </c>
      <c r="AF26" s="8" t="s">
        <v>106</v>
      </c>
      <c r="AG26" s="16">
        <v>200000000</v>
      </c>
      <c r="AH26" s="16">
        <v>200000000</v>
      </c>
      <c r="AI26" s="37">
        <v>480013772</v>
      </c>
      <c r="AJ26" s="16" t="s">
        <v>76</v>
      </c>
      <c r="AK26" s="28" t="s">
        <v>94</v>
      </c>
      <c r="AL26" s="16" t="s">
        <v>94</v>
      </c>
      <c r="AM26" s="16" t="s">
        <v>94</v>
      </c>
      <c r="AN26" s="54" t="s">
        <v>3755</v>
      </c>
      <c r="AO26" s="8" t="s">
        <v>3756</v>
      </c>
      <c r="AP26" s="15" t="s">
        <v>94</v>
      </c>
      <c r="AQ26" s="15" t="s">
        <v>94</v>
      </c>
      <c r="AR26" s="8" t="s">
        <v>3765</v>
      </c>
      <c r="AS26" s="10" t="s">
        <v>3777</v>
      </c>
      <c r="AT26" s="10" t="s">
        <v>3795</v>
      </c>
      <c r="AU26" s="96"/>
      <c r="AV26" s="17" t="s">
        <v>3888</v>
      </c>
      <c r="AW26" s="10"/>
      <c r="AX26" s="7" t="s">
        <v>3979</v>
      </c>
      <c r="AY26" s="10" t="s">
        <v>321</v>
      </c>
      <c r="AZ26" s="10" t="s">
        <v>322</v>
      </c>
      <c r="BA26" s="10" t="s">
        <v>323</v>
      </c>
      <c r="BB26" s="18"/>
      <c r="BC26" s="41" t="s">
        <v>324</v>
      </c>
    </row>
    <row r="27" spans="1:55" ht="70" customHeight="1" x14ac:dyDescent="0.2">
      <c r="A27" s="88" t="s">
        <v>4211</v>
      </c>
      <c r="B27" s="6" t="s">
        <v>325</v>
      </c>
      <c r="C27" s="7" t="s">
        <v>315</v>
      </c>
      <c r="D27" s="8" t="s">
        <v>49</v>
      </c>
      <c r="E27" s="8" t="s">
        <v>50</v>
      </c>
      <c r="F27" s="9" t="s">
        <v>316</v>
      </c>
      <c r="G27" s="9" t="s">
        <v>317</v>
      </c>
      <c r="H27" s="10" t="s">
        <v>4154</v>
      </c>
      <c r="I27" s="10" t="s">
        <v>140</v>
      </c>
      <c r="J27" s="7" t="s">
        <v>326</v>
      </c>
      <c r="K27" s="10" t="s">
        <v>55</v>
      </c>
      <c r="L27" s="9" t="s">
        <v>316</v>
      </c>
      <c r="M27" s="9" t="s">
        <v>317</v>
      </c>
      <c r="N27" s="10" t="s">
        <v>4154</v>
      </c>
      <c r="O27" s="8" t="s">
        <v>140</v>
      </c>
      <c r="P27" s="8" t="s">
        <v>56</v>
      </c>
      <c r="Q27" s="10" t="s">
        <v>327</v>
      </c>
      <c r="R27" s="10" t="s">
        <v>72</v>
      </c>
      <c r="S27" s="10"/>
      <c r="T27" s="8" t="s">
        <v>73</v>
      </c>
      <c r="U27" s="11">
        <v>13951</v>
      </c>
      <c r="V27" s="12">
        <v>1938</v>
      </c>
      <c r="W27" s="13">
        <v>34851</v>
      </c>
      <c r="X27" s="14">
        <v>1995</v>
      </c>
      <c r="Y27" s="13">
        <v>34700</v>
      </c>
      <c r="Z27" s="14">
        <v>1995</v>
      </c>
      <c r="AA27" s="13">
        <v>42005</v>
      </c>
      <c r="AB27" s="15">
        <v>2015</v>
      </c>
      <c r="AC27" s="15">
        <v>20</v>
      </c>
      <c r="AD27" s="15">
        <v>2015</v>
      </c>
      <c r="AE27" s="27" t="s">
        <v>328</v>
      </c>
      <c r="AF27" s="8" t="s">
        <v>75</v>
      </c>
      <c r="AG27" s="28">
        <v>357000000</v>
      </c>
      <c r="AH27" s="16">
        <v>396096101.94999999</v>
      </c>
      <c r="AI27" s="16">
        <v>524228178.25</v>
      </c>
      <c r="AJ27" s="16" t="s">
        <v>63</v>
      </c>
      <c r="AK27" s="28">
        <v>357000000</v>
      </c>
      <c r="AL27" s="16">
        <v>396096101.94999999</v>
      </c>
      <c r="AM27" s="16">
        <v>524228178.25</v>
      </c>
      <c r="AN27" s="54" t="s">
        <v>3755</v>
      </c>
      <c r="AO27" s="8" t="s">
        <v>3757</v>
      </c>
      <c r="AP27" s="43">
        <v>30711</v>
      </c>
      <c r="AQ27" s="43">
        <v>30711</v>
      </c>
      <c r="AR27" s="8" t="s">
        <v>3766</v>
      </c>
      <c r="AS27" s="10" t="s">
        <v>3822</v>
      </c>
      <c r="AT27" s="10" t="s">
        <v>3795</v>
      </c>
      <c r="AU27" s="96"/>
      <c r="AV27" s="17" t="s">
        <v>3889</v>
      </c>
      <c r="AW27" s="10" t="s">
        <v>329</v>
      </c>
      <c r="AX27" s="7" t="s">
        <v>330</v>
      </c>
      <c r="AY27" s="10" t="s">
        <v>331</v>
      </c>
      <c r="AZ27" s="10" t="s">
        <v>4109</v>
      </c>
      <c r="BA27" s="10" t="s">
        <v>332</v>
      </c>
      <c r="BB27" s="18" t="s">
        <v>333</v>
      </c>
      <c r="BC27" s="41" t="s">
        <v>334</v>
      </c>
    </row>
    <row r="28" spans="1:55" ht="70" customHeight="1" x14ac:dyDescent="0.2">
      <c r="A28" s="88" t="s">
        <v>4212</v>
      </c>
      <c r="B28" s="6" t="s">
        <v>335</v>
      </c>
      <c r="C28" s="7" t="s">
        <v>336</v>
      </c>
      <c r="D28" s="10" t="s">
        <v>192</v>
      </c>
      <c r="E28" s="8" t="s">
        <v>337</v>
      </c>
      <c r="F28" s="9" t="s">
        <v>316</v>
      </c>
      <c r="G28" s="9" t="s">
        <v>317</v>
      </c>
      <c r="H28" s="10" t="s">
        <v>4154</v>
      </c>
      <c r="I28" s="10" t="s">
        <v>140</v>
      </c>
      <c r="J28" s="7" t="s">
        <v>326</v>
      </c>
      <c r="K28" s="10" t="s">
        <v>55</v>
      </c>
      <c r="L28" s="9" t="s">
        <v>316</v>
      </c>
      <c r="M28" s="9" t="s">
        <v>317</v>
      </c>
      <c r="N28" s="10" t="s">
        <v>4154</v>
      </c>
      <c r="O28" s="8" t="s">
        <v>140</v>
      </c>
      <c r="P28" s="8" t="s">
        <v>56</v>
      </c>
      <c r="Q28" s="10" t="s">
        <v>338</v>
      </c>
      <c r="R28" s="10" t="s">
        <v>72</v>
      </c>
      <c r="S28" s="10"/>
      <c r="T28" s="8" t="s">
        <v>73</v>
      </c>
      <c r="U28" s="11">
        <v>12055</v>
      </c>
      <c r="V28" s="12">
        <v>1933</v>
      </c>
      <c r="W28" s="13">
        <v>36892</v>
      </c>
      <c r="X28" s="14">
        <v>2001</v>
      </c>
      <c r="Y28" s="13">
        <v>38353</v>
      </c>
      <c r="Z28" s="15">
        <v>2005</v>
      </c>
      <c r="AA28" s="13">
        <v>40179</v>
      </c>
      <c r="AB28" s="14">
        <v>2010</v>
      </c>
      <c r="AC28" s="14">
        <v>5</v>
      </c>
      <c r="AD28" s="14">
        <v>2015</v>
      </c>
      <c r="AE28" s="27"/>
      <c r="AF28" s="8" t="s">
        <v>106</v>
      </c>
      <c r="AG28" s="28">
        <v>211900000</v>
      </c>
      <c r="AH28" s="28">
        <v>211900000</v>
      </c>
      <c r="AI28" s="16">
        <v>280446968.36000001</v>
      </c>
      <c r="AJ28" s="16" t="s">
        <v>63</v>
      </c>
      <c r="AK28" s="28">
        <v>211900000</v>
      </c>
      <c r="AL28" s="28">
        <v>211900000</v>
      </c>
      <c r="AM28" s="16">
        <v>280446968.36000001</v>
      </c>
      <c r="AN28" s="54" t="s">
        <v>3755</v>
      </c>
      <c r="AO28" s="8" t="s">
        <v>3756</v>
      </c>
      <c r="AP28" s="43">
        <v>24000</v>
      </c>
      <c r="AQ28" s="43">
        <v>24000</v>
      </c>
      <c r="AR28" s="8" t="s">
        <v>3766</v>
      </c>
      <c r="AS28" s="10" t="s">
        <v>3814</v>
      </c>
      <c r="AT28" s="10" t="s">
        <v>3795</v>
      </c>
      <c r="AU28" s="96"/>
      <c r="AV28" s="17" t="s">
        <v>339</v>
      </c>
      <c r="AW28" s="10" t="s">
        <v>3948</v>
      </c>
      <c r="AX28" s="7" t="s">
        <v>3980</v>
      </c>
      <c r="AY28" s="10" t="s">
        <v>340</v>
      </c>
      <c r="AZ28" s="10" t="s">
        <v>341</v>
      </c>
      <c r="BA28" s="10" t="s">
        <v>342</v>
      </c>
      <c r="BB28" s="18" t="s">
        <v>343</v>
      </c>
      <c r="BC28" s="41" t="s">
        <v>344</v>
      </c>
    </row>
    <row r="29" spans="1:55" ht="70" customHeight="1" x14ac:dyDescent="0.2">
      <c r="A29" s="88" t="s">
        <v>4213</v>
      </c>
      <c r="B29" s="6" t="s">
        <v>345</v>
      </c>
      <c r="C29" s="7" t="s">
        <v>315</v>
      </c>
      <c r="D29" s="8" t="s">
        <v>49</v>
      </c>
      <c r="E29" s="8" t="s">
        <v>50</v>
      </c>
      <c r="F29" s="9" t="s">
        <v>316</v>
      </c>
      <c r="G29" s="9" t="s">
        <v>317</v>
      </c>
      <c r="H29" s="10" t="s">
        <v>4154</v>
      </c>
      <c r="I29" s="10" t="s">
        <v>140</v>
      </c>
      <c r="J29" s="7" t="s">
        <v>346</v>
      </c>
      <c r="K29" s="10" t="s">
        <v>55</v>
      </c>
      <c r="L29" s="9" t="s">
        <v>316</v>
      </c>
      <c r="M29" s="9" t="s">
        <v>317</v>
      </c>
      <c r="N29" s="10" t="s">
        <v>4154</v>
      </c>
      <c r="O29" s="8" t="s">
        <v>140</v>
      </c>
      <c r="P29" s="8" t="s">
        <v>56</v>
      </c>
      <c r="Q29" s="10" t="s">
        <v>347</v>
      </c>
      <c r="R29" s="10" t="s">
        <v>177</v>
      </c>
      <c r="S29" s="10"/>
      <c r="T29" s="8" t="s">
        <v>60</v>
      </c>
      <c r="U29" s="11">
        <v>25934</v>
      </c>
      <c r="V29" s="12">
        <v>1971</v>
      </c>
      <c r="W29" s="13">
        <v>45231</v>
      </c>
      <c r="X29" s="14">
        <v>2023</v>
      </c>
      <c r="Y29" s="13">
        <v>45323</v>
      </c>
      <c r="Z29" s="15">
        <v>2024</v>
      </c>
      <c r="AA29" s="13" t="s">
        <v>94</v>
      </c>
      <c r="AB29" s="13" t="s">
        <v>94</v>
      </c>
      <c r="AC29" s="13" t="s">
        <v>94</v>
      </c>
      <c r="AD29" s="15"/>
      <c r="AE29" s="27"/>
      <c r="AF29" s="8" t="s">
        <v>75</v>
      </c>
      <c r="AG29" s="16">
        <v>33000000</v>
      </c>
      <c r="AH29" s="16">
        <v>35686878.539999999</v>
      </c>
      <c r="AI29" s="16">
        <v>36739441.299999997</v>
      </c>
      <c r="AJ29" s="16" t="s">
        <v>76</v>
      </c>
      <c r="AK29" s="28" t="s">
        <v>94</v>
      </c>
      <c r="AL29" s="16" t="s">
        <v>94</v>
      </c>
      <c r="AM29" s="16" t="s">
        <v>94</v>
      </c>
      <c r="AN29" s="10" t="s">
        <v>64</v>
      </c>
      <c r="AO29" s="8" t="s">
        <v>3756</v>
      </c>
      <c r="AP29" s="43">
        <v>11000</v>
      </c>
      <c r="AQ29" s="15" t="s">
        <v>94</v>
      </c>
      <c r="AR29" s="8" t="s">
        <v>3765</v>
      </c>
      <c r="AS29" s="10" t="s">
        <v>3781</v>
      </c>
      <c r="AT29" s="10" t="s">
        <v>3795</v>
      </c>
      <c r="AU29" s="96"/>
      <c r="AV29" s="17"/>
      <c r="AW29" s="10"/>
      <c r="AX29" s="7" t="s">
        <v>348</v>
      </c>
      <c r="AY29" s="10" t="s">
        <v>349</v>
      </c>
      <c r="AZ29" s="10" t="s">
        <v>350</v>
      </c>
      <c r="BA29" s="10" t="s">
        <v>351</v>
      </c>
      <c r="BB29" s="18"/>
      <c r="BC29" s="41" t="s">
        <v>352</v>
      </c>
    </row>
    <row r="30" spans="1:55" ht="70" customHeight="1" x14ac:dyDescent="0.2">
      <c r="A30" s="88" t="s">
        <v>4214</v>
      </c>
      <c r="B30" s="6" t="s">
        <v>353</v>
      </c>
      <c r="C30" s="7" t="s">
        <v>354</v>
      </c>
      <c r="D30" s="8" t="s">
        <v>49</v>
      </c>
      <c r="E30" s="8" t="s">
        <v>50</v>
      </c>
      <c r="F30" s="9" t="s">
        <v>355</v>
      </c>
      <c r="G30" s="9" t="s">
        <v>356</v>
      </c>
      <c r="H30" s="10" t="s">
        <v>4156</v>
      </c>
      <c r="I30" s="10" t="s">
        <v>140</v>
      </c>
      <c r="J30" s="7" t="s">
        <v>357</v>
      </c>
      <c r="K30" s="10" t="s">
        <v>55</v>
      </c>
      <c r="L30" s="9" t="s">
        <v>355</v>
      </c>
      <c r="M30" s="9" t="s">
        <v>356</v>
      </c>
      <c r="N30" s="10" t="s">
        <v>4156</v>
      </c>
      <c r="O30" s="8" t="s">
        <v>140</v>
      </c>
      <c r="P30" s="8" t="s">
        <v>56</v>
      </c>
      <c r="Q30" s="10" t="s">
        <v>358</v>
      </c>
      <c r="R30" s="10" t="s">
        <v>72</v>
      </c>
      <c r="S30" s="10"/>
      <c r="T30" s="8" t="s">
        <v>73</v>
      </c>
      <c r="U30" s="11">
        <v>40588</v>
      </c>
      <c r="V30" s="12">
        <v>2011</v>
      </c>
      <c r="W30" s="13">
        <v>40806</v>
      </c>
      <c r="X30" s="14">
        <v>2011</v>
      </c>
      <c r="Y30" s="13">
        <v>40909</v>
      </c>
      <c r="Z30" s="14">
        <v>2012</v>
      </c>
      <c r="AA30" s="13">
        <v>40909</v>
      </c>
      <c r="AB30" s="14">
        <v>2012</v>
      </c>
      <c r="AC30" s="14">
        <v>0</v>
      </c>
      <c r="AD30" s="15">
        <v>2012</v>
      </c>
      <c r="AE30" s="27"/>
      <c r="AF30" s="8" t="s">
        <v>106</v>
      </c>
      <c r="AG30" s="16">
        <v>2600000</v>
      </c>
      <c r="AH30" s="16">
        <v>2600000</v>
      </c>
      <c r="AI30" s="16">
        <v>3625833.67</v>
      </c>
      <c r="AJ30" s="16" t="s">
        <v>76</v>
      </c>
      <c r="AK30" s="16">
        <v>2600000</v>
      </c>
      <c r="AL30" s="16">
        <v>2600000</v>
      </c>
      <c r="AM30" s="16">
        <v>3552320.18</v>
      </c>
      <c r="AN30" s="10" t="s">
        <v>64</v>
      </c>
      <c r="AO30" s="8" t="s">
        <v>3758</v>
      </c>
      <c r="AP30" s="15">
        <v>17</v>
      </c>
      <c r="AQ30" s="15">
        <v>17</v>
      </c>
      <c r="AR30" s="8" t="s">
        <v>3765</v>
      </c>
      <c r="AS30" s="10" t="s">
        <v>3781</v>
      </c>
      <c r="AT30" s="10" t="s">
        <v>3795</v>
      </c>
      <c r="AU30" s="96"/>
      <c r="AV30" s="17"/>
      <c r="AW30" s="10"/>
      <c r="AX30" s="7" t="s">
        <v>3981</v>
      </c>
      <c r="AY30" s="10" t="s">
        <v>359</v>
      </c>
      <c r="AZ30" s="10" t="s">
        <v>360</v>
      </c>
      <c r="BA30" s="10" t="s">
        <v>361</v>
      </c>
      <c r="BB30" s="18"/>
      <c r="BC30" s="41" t="s">
        <v>362</v>
      </c>
    </row>
    <row r="31" spans="1:55" ht="70" customHeight="1" x14ac:dyDescent="0.2">
      <c r="A31" s="88" t="s">
        <v>4215</v>
      </c>
      <c r="B31" s="6" t="s">
        <v>363</v>
      </c>
      <c r="C31" s="7" t="s">
        <v>354</v>
      </c>
      <c r="D31" s="8" t="s">
        <v>49</v>
      </c>
      <c r="E31" s="8" t="s">
        <v>50</v>
      </c>
      <c r="F31" s="9" t="s">
        <v>355</v>
      </c>
      <c r="G31" s="9" t="s">
        <v>356</v>
      </c>
      <c r="H31" s="10" t="s">
        <v>4156</v>
      </c>
      <c r="I31" s="10" t="s">
        <v>140</v>
      </c>
      <c r="J31" s="7" t="s">
        <v>364</v>
      </c>
      <c r="K31" s="10" t="s">
        <v>279</v>
      </c>
      <c r="L31" s="9" t="s">
        <v>4577</v>
      </c>
      <c r="M31" s="9" t="s">
        <v>365</v>
      </c>
      <c r="N31" s="10" t="s">
        <v>4156</v>
      </c>
      <c r="O31" s="8" t="s">
        <v>53</v>
      </c>
      <c r="P31" s="8" t="s">
        <v>144</v>
      </c>
      <c r="Q31" s="10" t="s">
        <v>366</v>
      </c>
      <c r="R31" s="10" t="s">
        <v>59</v>
      </c>
      <c r="S31" s="10"/>
      <c r="T31" s="8" t="s">
        <v>60</v>
      </c>
      <c r="U31" s="11">
        <v>42005</v>
      </c>
      <c r="V31" s="12">
        <v>2015</v>
      </c>
      <c r="W31" s="13">
        <v>44525</v>
      </c>
      <c r="X31" s="14">
        <v>2021</v>
      </c>
      <c r="Y31" s="13" t="s">
        <v>94</v>
      </c>
      <c r="Z31" s="13" t="s">
        <v>94</v>
      </c>
      <c r="AA31" s="13" t="s">
        <v>94</v>
      </c>
      <c r="AB31" s="13" t="s">
        <v>94</v>
      </c>
      <c r="AC31" s="13" t="s">
        <v>94</v>
      </c>
      <c r="AD31" s="15"/>
      <c r="AE31" s="27" t="s">
        <v>367</v>
      </c>
      <c r="AF31" s="8" t="s">
        <v>75</v>
      </c>
      <c r="AG31" s="16">
        <v>214000000</v>
      </c>
      <c r="AH31" s="16">
        <v>253141628.25999999</v>
      </c>
      <c r="AI31" s="16">
        <v>293049947.32999998</v>
      </c>
      <c r="AJ31" s="16" t="s">
        <v>76</v>
      </c>
      <c r="AK31" s="28" t="s">
        <v>94</v>
      </c>
      <c r="AL31" s="16" t="s">
        <v>94</v>
      </c>
      <c r="AM31" s="16" t="s">
        <v>94</v>
      </c>
      <c r="AN31" s="10" t="s">
        <v>149</v>
      </c>
      <c r="AO31" s="8" t="s">
        <v>150</v>
      </c>
      <c r="AP31" s="15" t="s">
        <v>151</v>
      </c>
      <c r="AQ31" s="15" t="s">
        <v>151</v>
      </c>
      <c r="AR31" s="8" t="s">
        <v>3762</v>
      </c>
      <c r="AS31" s="10" t="s">
        <v>3808</v>
      </c>
      <c r="AT31" s="10" t="s">
        <v>368</v>
      </c>
      <c r="AU31" s="96"/>
      <c r="AV31" s="17"/>
      <c r="AW31" s="10"/>
      <c r="AX31" s="7" t="s">
        <v>3982</v>
      </c>
      <c r="AY31" s="10" t="s">
        <v>369</v>
      </c>
      <c r="AZ31" s="10" t="s">
        <v>370</v>
      </c>
      <c r="BA31" s="10" t="s">
        <v>371</v>
      </c>
      <c r="BB31" s="18"/>
      <c r="BC31" s="41" t="s">
        <v>372</v>
      </c>
    </row>
    <row r="32" spans="1:55" ht="70" customHeight="1" x14ac:dyDescent="0.2">
      <c r="A32" s="88" t="s">
        <v>4216</v>
      </c>
      <c r="B32" s="6" t="s">
        <v>373</v>
      </c>
      <c r="C32" s="7" t="s">
        <v>374</v>
      </c>
      <c r="D32" s="8" t="s">
        <v>49</v>
      </c>
      <c r="E32" s="8" t="s">
        <v>50</v>
      </c>
      <c r="F32" s="9" t="s">
        <v>375</v>
      </c>
      <c r="G32" s="9" t="s">
        <v>376</v>
      </c>
      <c r="H32" s="10" t="s">
        <v>4154</v>
      </c>
      <c r="I32" s="10" t="s">
        <v>140</v>
      </c>
      <c r="J32" s="7" t="s">
        <v>377</v>
      </c>
      <c r="K32" s="10" t="s">
        <v>49</v>
      </c>
      <c r="L32" s="9" t="s">
        <v>378</v>
      </c>
      <c r="M32" s="9" t="s">
        <v>379</v>
      </c>
      <c r="N32" s="10" t="s">
        <v>380</v>
      </c>
      <c r="O32" s="8" t="s">
        <v>381</v>
      </c>
      <c r="P32" s="8" t="s">
        <v>144</v>
      </c>
      <c r="Q32" s="10" t="s">
        <v>382</v>
      </c>
      <c r="R32" s="10" t="s">
        <v>383</v>
      </c>
      <c r="S32" s="10"/>
      <c r="T32" s="8" t="s">
        <v>73</v>
      </c>
      <c r="U32" s="11">
        <v>22298</v>
      </c>
      <c r="V32" s="12">
        <v>1961</v>
      </c>
      <c r="W32" s="13">
        <v>37288</v>
      </c>
      <c r="X32" s="14">
        <v>2002</v>
      </c>
      <c r="Y32" s="28" t="s">
        <v>384</v>
      </c>
      <c r="Z32" s="28" t="s">
        <v>384</v>
      </c>
      <c r="AA32" s="28" t="s">
        <v>384</v>
      </c>
      <c r="AB32" s="28" t="s">
        <v>384</v>
      </c>
      <c r="AC32" s="13" t="s">
        <v>94</v>
      </c>
      <c r="AD32" s="13"/>
      <c r="AE32" s="27"/>
      <c r="AF32" s="8" t="s">
        <v>106</v>
      </c>
      <c r="AG32" s="16">
        <v>3000000</v>
      </c>
      <c r="AH32" s="16">
        <v>3000000</v>
      </c>
      <c r="AI32" s="16">
        <v>5231056.1399999997</v>
      </c>
      <c r="AJ32" s="16" t="s">
        <v>76</v>
      </c>
      <c r="AK32" s="28" t="s">
        <v>384</v>
      </c>
      <c r="AL32" s="28" t="s">
        <v>384</v>
      </c>
      <c r="AM32" s="28" t="s">
        <v>384</v>
      </c>
      <c r="AN32" s="10" t="s">
        <v>149</v>
      </c>
      <c r="AO32" s="8" t="s">
        <v>150</v>
      </c>
      <c r="AP32" s="15" t="s">
        <v>151</v>
      </c>
      <c r="AQ32" s="15" t="s">
        <v>151</v>
      </c>
      <c r="AR32" s="8" t="s">
        <v>3765</v>
      </c>
      <c r="AS32" s="10" t="s">
        <v>292</v>
      </c>
      <c r="AT32" s="10" t="s">
        <v>3795</v>
      </c>
      <c r="AU32" s="96"/>
      <c r="AV32" s="17" t="s">
        <v>385</v>
      </c>
      <c r="AW32" s="10"/>
      <c r="AX32" s="7" t="s">
        <v>3983</v>
      </c>
      <c r="AY32" s="10" t="s">
        <v>386</v>
      </c>
      <c r="AZ32" s="10" t="s">
        <v>387</v>
      </c>
      <c r="BA32" s="10" t="s">
        <v>388</v>
      </c>
      <c r="BB32" s="18"/>
      <c r="BC32" s="18" t="s">
        <v>389</v>
      </c>
    </row>
    <row r="33" spans="1:55" ht="70" customHeight="1" x14ac:dyDescent="0.2">
      <c r="A33" s="88" t="s">
        <v>4217</v>
      </c>
      <c r="B33" s="6" t="s">
        <v>390</v>
      </c>
      <c r="C33" s="7" t="s">
        <v>391</v>
      </c>
      <c r="D33" s="10" t="s">
        <v>192</v>
      </c>
      <c r="E33" s="8" t="s">
        <v>337</v>
      </c>
      <c r="F33" s="9" t="s">
        <v>375</v>
      </c>
      <c r="G33" s="9" t="s">
        <v>376</v>
      </c>
      <c r="H33" s="10" t="s">
        <v>4154</v>
      </c>
      <c r="I33" s="10" t="s">
        <v>140</v>
      </c>
      <c r="J33" s="7" t="s">
        <v>392</v>
      </c>
      <c r="K33" s="10" t="s">
        <v>55</v>
      </c>
      <c r="L33" s="30" t="s">
        <v>2042</v>
      </c>
      <c r="M33" s="30" t="s">
        <v>537</v>
      </c>
      <c r="N33" s="30" t="s">
        <v>4185</v>
      </c>
      <c r="O33" s="30" t="s">
        <v>4185</v>
      </c>
      <c r="P33" s="8" t="s">
        <v>144</v>
      </c>
      <c r="Q33" s="10" t="s">
        <v>393</v>
      </c>
      <c r="R33" s="10" t="s">
        <v>177</v>
      </c>
      <c r="S33" s="10" t="s">
        <v>59</v>
      </c>
      <c r="T33" s="8" t="s">
        <v>73</v>
      </c>
      <c r="U33" s="11">
        <v>12055</v>
      </c>
      <c r="V33" s="12">
        <v>1933</v>
      </c>
      <c r="W33" s="13">
        <v>39518</v>
      </c>
      <c r="X33" s="14">
        <v>2008</v>
      </c>
      <c r="Y33" s="13">
        <v>39448</v>
      </c>
      <c r="Z33" s="14">
        <v>2008</v>
      </c>
      <c r="AA33" s="13">
        <v>39448</v>
      </c>
      <c r="AB33" s="14">
        <v>2008</v>
      </c>
      <c r="AC33" s="14">
        <v>0</v>
      </c>
      <c r="AD33" s="15">
        <v>2008</v>
      </c>
      <c r="AE33" s="27"/>
      <c r="AF33" s="8" t="s">
        <v>75</v>
      </c>
      <c r="AG33" s="16">
        <v>110000000</v>
      </c>
      <c r="AH33" s="16">
        <v>170000000</v>
      </c>
      <c r="AI33" s="16">
        <v>247684101.00999999</v>
      </c>
      <c r="AJ33" s="16" t="s">
        <v>76</v>
      </c>
      <c r="AK33" s="28">
        <v>110000000</v>
      </c>
      <c r="AL33" s="16">
        <v>170000000</v>
      </c>
      <c r="AM33" s="16">
        <v>247684101.00999999</v>
      </c>
      <c r="AN33" s="54" t="s">
        <v>3755</v>
      </c>
      <c r="AO33" s="8" t="s">
        <v>3757</v>
      </c>
      <c r="AP33" s="43">
        <v>5210</v>
      </c>
      <c r="AQ33" s="15" t="s">
        <v>94</v>
      </c>
      <c r="AR33" s="8" t="s">
        <v>3766</v>
      </c>
      <c r="AS33" s="10" t="s">
        <v>3816</v>
      </c>
      <c r="AT33" s="10" t="s">
        <v>3795</v>
      </c>
      <c r="AU33" s="96"/>
      <c r="AV33" s="17" t="s">
        <v>394</v>
      </c>
      <c r="AW33" s="10"/>
      <c r="AX33" s="7" t="s">
        <v>3984</v>
      </c>
      <c r="AY33" s="10" t="s">
        <v>395</v>
      </c>
      <c r="AZ33" s="10" t="s">
        <v>396</v>
      </c>
      <c r="BA33" s="10" t="s">
        <v>397</v>
      </c>
      <c r="BB33" s="18"/>
      <c r="BC33" s="41" t="s">
        <v>398</v>
      </c>
    </row>
    <row r="34" spans="1:55" ht="70" customHeight="1" x14ac:dyDescent="0.2">
      <c r="A34" s="88" t="s">
        <v>4218</v>
      </c>
      <c r="B34" s="6" t="s">
        <v>399</v>
      </c>
      <c r="C34" s="7" t="s">
        <v>374</v>
      </c>
      <c r="D34" s="8" t="s">
        <v>49</v>
      </c>
      <c r="E34" s="8" t="s">
        <v>50</v>
      </c>
      <c r="F34" s="9" t="s">
        <v>375</v>
      </c>
      <c r="G34" s="9" t="s">
        <v>376</v>
      </c>
      <c r="H34" s="10" t="s">
        <v>4154</v>
      </c>
      <c r="I34" s="10" t="s">
        <v>140</v>
      </c>
      <c r="J34" s="7" t="s">
        <v>400</v>
      </c>
      <c r="K34" s="10" t="s">
        <v>55</v>
      </c>
      <c r="L34" s="9" t="s">
        <v>377</v>
      </c>
      <c r="M34" s="9" t="s">
        <v>379</v>
      </c>
      <c r="N34" s="10" t="s">
        <v>380</v>
      </c>
      <c r="O34" s="8" t="s">
        <v>381</v>
      </c>
      <c r="P34" s="8" t="s">
        <v>144</v>
      </c>
      <c r="Q34" s="10" t="s">
        <v>401</v>
      </c>
      <c r="R34" s="10" t="s">
        <v>383</v>
      </c>
      <c r="S34" s="10" t="s">
        <v>163</v>
      </c>
      <c r="T34" s="8" t="s">
        <v>60</v>
      </c>
      <c r="U34" s="11">
        <v>17533</v>
      </c>
      <c r="V34" s="12">
        <v>1948</v>
      </c>
      <c r="W34" s="13">
        <v>45628</v>
      </c>
      <c r="X34" s="14">
        <v>2024</v>
      </c>
      <c r="Y34" s="13" t="s">
        <v>94</v>
      </c>
      <c r="Z34" s="13" t="s">
        <v>94</v>
      </c>
      <c r="AA34" s="13" t="s">
        <v>94</v>
      </c>
      <c r="AB34" s="13" t="s">
        <v>94</v>
      </c>
      <c r="AC34" s="13" t="s">
        <v>94</v>
      </c>
      <c r="AD34" s="15"/>
      <c r="AE34" s="27"/>
      <c r="AF34" s="8" t="s">
        <v>75</v>
      </c>
      <c r="AG34" s="16">
        <v>250000</v>
      </c>
      <c r="AH34" s="16">
        <v>260000</v>
      </c>
      <c r="AI34" s="16">
        <v>260000</v>
      </c>
      <c r="AJ34" s="16" t="s">
        <v>76</v>
      </c>
      <c r="AK34" s="28" t="s">
        <v>94</v>
      </c>
      <c r="AL34" s="16" t="s">
        <v>94</v>
      </c>
      <c r="AM34" s="16" t="s">
        <v>94</v>
      </c>
      <c r="AN34" s="10" t="s">
        <v>64</v>
      </c>
      <c r="AO34" s="8" t="s">
        <v>3756</v>
      </c>
      <c r="AP34" s="15">
        <v>5</v>
      </c>
      <c r="AQ34" s="15" t="s">
        <v>94</v>
      </c>
      <c r="AR34" s="8" t="s">
        <v>3762</v>
      </c>
      <c r="AS34" s="10" t="s">
        <v>3781</v>
      </c>
      <c r="AT34" s="10" t="s">
        <v>3790</v>
      </c>
      <c r="AU34" s="96"/>
      <c r="AV34" s="17"/>
      <c r="AW34" s="10"/>
      <c r="AX34" s="7" t="s">
        <v>3985</v>
      </c>
      <c r="AY34" s="10" t="s">
        <v>402</v>
      </c>
      <c r="AZ34" s="10" t="s">
        <v>403</v>
      </c>
      <c r="BA34" s="10" t="s">
        <v>404</v>
      </c>
      <c r="BB34" s="18" t="s">
        <v>405</v>
      </c>
      <c r="BC34" s="41" t="s">
        <v>406</v>
      </c>
    </row>
    <row r="35" spans="1:55" ht="70" customHeight="1" x14ac:dyDescent="0.2">
      <c r="A35" s="88" t="s">
        <v>4219</v>
      </c>
      <c r="B35" s="6" t="s">
        <v>407</v>
      </c>
      <c r="C35" s="7" t="s">
        <v>408</v>
      </c>
      <c r="D35" s="8" t="s">
        <v>49</v>
      </c>
      <c r="E35" s="8" t="s">
        <v>50</v>
      </c>
      <c r="F35" s="9" t="s">
        <v>409</v>
      </c>
      <c r="G35" s="9" t="s">
        <v>410</v>
      </c>
      <c r="H35" s="10" t="s">
        <v>4155</v>
      </c>
      <c r="I35" s="10" t="s">
        <v>53</v>
      </c>
      <c r="J35" s="7" t="s">
        <v>411</v>
      </c>
      <c r="K35" s="10" t="s">
        <v>55</v>
      </c>
      <c r="L35" s="9" t="s">
        <v>409</v>
      </c>
      <c r="M35" s="9" t="s">
        <v>410</v>
      </c>
      <c r="N35" s="10" t="s">
        <v>4592</v>
      </c>
      <c r="O35" s="8" t="s">
        <v>53</v>
      </c>
      <c r="P35" s="8" t="s">
        <v>56</v>
      </c>
      <c r="Q35" s="10" t="s">
        <v>412</v>
      </c>
      <c r="R35" s="10" t="s">
        <v>58</v>
      </c>
      <c r="S35" s="10"/>
      <c r="T35" s="8" t="s">
        <v>60</v>
      </c>
      <c r="U35" s="11" t="s">
        <v>269</v>
      </c>
      <c r="V35" s="12" t="s">
        <v>269</v>
      </c>
      <c r="W35" s="13">
        <v>42310</v>
      </c>
      <c r="X35" s="14">
        <v>2015</v>
      </c>
      <c r="Y35" s="13" t="s">
        <v>94</v>
      </c>
      <c r="Z35" s="13" t="s">
        <v>94</v>
      </c>
      <c r="AA35" s="13" t="s">
        <v>94</v>
      </c>
      <c r="AB35" s="13" t="s">
        <v>94</v>
      </c>
      <c r="AC35" s="13" t="s">
        <v>94</v>
      </c>
      <c r="AD35" s="15"/>
      <c r="AE35" s="27"/>
      <c r="AF35" s="8" t="s">
        <v>413</v>
      </c>
      <c r="AG35" s="16">
        <v>300000</v>
      </c>
      <c r="AH35" s="16">
        <v>150000</v>
      </c>
      <c r="AI35" s="16">
        <v>198523.1</v>
      </c>
      <c r="AJ35" s="16" t="s">
        <v>76</v>
      </c>
      <c r="AK35" s="28" t="s">
        <v>94</v>
      </c>
      <c r="AL35" s="16" t="s">
        <v>94</v>
      </c>
      <c r="AM35" s="16" t="s">
        <v>94</v>
      </c>
      <c r="AN35" s="10" t="s">
        <v>149</v>
      </c>
      <c r="AO35" s="8" t="s">
        <v>150</v>
      </c>
      <c r="AP35" s="15" t="s">
        <v>151</v>
      </c>
      <c r="AQ35" s="15" t="s">
        <v>151</v>
      </c>
      <c r="AR35" s="8" t="s">
        <v>3762</v>
      </c>
      <c r="AS35" s="10" t="s">
        <v>3811</v>
      </c>
      <c r="AT35" s="10" t="s">
        <v>414</v>
      </c>
      <c r="AU35" s="96"/>
      <c r="AV35" s="17"/>
      <c r="AW35" s="10"/>
      <c r="AX35" s="7" t="s">
        <v>415</v>
      </c>
      <c r="AY35" s="10" t="s">
        <v>416</v>
      </c>
      <c r="AZ35" s="10" t="s">
        <v>417</v>
      </c>
      <c r="BA35" s="10" t="s">
        <v>418</v>
      </c>
      <c r="BB35" s="18"/>
      <c r="BC35" s="41" t="s">
        <v>419</v>
      </c>
    </row>
    <row r="36" spans="1:55" ht="70" customHeight="1" x14ac:dyDescent="0.2">
      <c r="A36" s="88" t="s">
        <v>4220</v>
      </c>
      <c r="B36" s="6" t="s">
        <v>420</v>
      </c>
      <c r="C36" s="7" t="s">
        <v>408</v>
      </c>
      <c r="D36" s="8" t="s">
        <v>49</v>
      </c>
      <c r="E36" s="8" t="s">
        <v>50</v>
      </c>
      <c r="F36" s="9" t="s">
        <v>409</v>
      </c>
      <c r="G36" s="9" t="s">
        <v>410</v>
      </c>
      <c r="H36" s="10" t="s">
        <v>4155</v>
      </c>
      <c r="I36" s="10" t="s">
        <v>53</v>
      </c>
      <c r="J36" s="7" t="s">
        <v>411</v>
      </c>
      <c r="K36" s="10" t="s">
        <v>55</v>
      </c>
      <c r="L36" s="9" t="s">
        <v>409</v>
      </c>
      <c r="M36" s="9" t="s">
        <v>410</v>
      </c>
      <c r="N36" s="10" t="s">
        <v>4592</v>
      </c>
      <c r="O36" s="8" t="s">
        <v>53</v>
      </c>
      <c r="P36" s="8" t="s">
        <v>56</v>
      </c>
      <c r="Q36" s="10" t="s">
        <v>421</v>
      </c>
      <c r="R36" s="10" t="s">
        <v>58</v>
      </c>
      <c r="S36" s="10"/>
      <c r="T36" s="8" t="s">
        <v>60</v>
      </c>
      <c r="U36" s="11">
        <v>32874</v>
      </c>
      <c r="V36" s="12">
        <v>1990</v>
      </c>
      <c r="W36" s="13">
        <v>44363</v>
      </c>
      <c r="X36" s="14">
        <v>2021</v>
      </c>
      <c r="Y36" s="13" t="s">
        <v>94</v>
      </c>
      <c r="Z36" s="13" t="s">
        <v>94</v>
      </c>
      <c r="AA36" s="13" t="s">
        <v>94</v>
      </c>
      <c r="AB36" s="13" t="s">
        <v>94</v>
      </c>
      <c r="AC36" s="13" t="s">
        <v>94</v>
      </c>
      <c r="AD36" s="15"/>
      <c r="AE36" s="27"/>
      <c r="AF36" s="8" t="s">
        <v>106</v>
      </c>
      <c r="AG36" s="16">
        <v>3120000</v>
      </c>
      <c r="AH36" s="16">
        <v>3120000</v>
      </c>
      <c r="AI36" s="16">
        <v>3611874.67</v>
      </c>
      <c r="AJ36" s="16" t="s">
        <v>76</v>
      </c>
      <c r="AK36" s="28" t="s">
        <v>94</v>
      </c>
      <c r="AL36" s="16" t="s">
        <v>94</v>
      </c>
      <c r="AM36" s="16" t="s">
        <v>94</v>
      </c>
      <c r="AN36" s="10" t="s">
        <v>149</v>
      </c>
      <c r="AO36" s="8" t="s">
        <v>150</v>
      </c>
      <c r="AP36" s="15" t="s">
        <v>151</v>
      </c>
      <c r="AQ36" s="15" t="s">
        <v>151</v>
      </c>
      <c r="AR36" s="8" t="s">
        <v>3762</v>
      </c>
      <c r="AS36" s="10" t="s">
        <v>3776</v>
      </c>
      <c r="AT36" s="10" t="s">
        <v>422</v>
      </c>
      <c r="AU36" s="96"/>
      <c r="AV36" s="17"/>
      <c r="AW36" s="10"/>
      <c r="AX36" s="7" t="s">
        <v>423</v>
      </c>
      <c r="AY36" s="10" t="s">
        <v>424</v>
      </c>
      <c r="AZ36" s="10" t="s">
        <v>425</v>
      </c>
      <c r="BA36" s="10" t="s">
        <v>426</v>
      </c>
      <c r="BB36" s="18"/>
      <c r="BC36" s="41" t="s">
        <v>427</v>
      </c>
    </row>
    <row r="37" spans="1:55" ht="70" customHeight="1" x14ac:dyDescent="0.2">
      <c r="A37" s="88" t="s">
        <v>4221</v>
      </c>
      <c r="B37" s="6" t="s">
        <v>428</v>
      </c>
      <c r="C37" s="7" t="s">
        <v>429</v>
      </c>
      <c r="D37" s="8" t="s">
        <v>49</v>
      </c>
      <c r="E37" s="8" t="s">
        <v>50</v>
      </c>
      <c r="F37" s="9" t="s">
        <v>430</v>
      </c>
      <c r="G37" s="9" t="s">
        <v>431</v>
      </c>
      <c r="H37" s="10" t="s">
        <v>4155</v>
      </c>
      <c r="I37" s="10" t="s">
        <v>103</v>
      </c>
      <c r="J37" s="7" t="s">
        <v>432</v>
      </c>
      <c r="K37" s="10" t="s">
        <v>55</v>
      </c>
      <c r="L37" s="9" t="s">
        <v>430</v>
      </c>
      <c r="M37" s="9" t="s">
        <v>431</v>
      </c>
      <c r="N37" s="10" t="s">
        <v>4592</v>
      </c>
      <c r="O37" s="8" t="s">
        <v>103</v>
      </c>
      <c r="P37" s="8" t="s">
        <v>56</v>
      </c>
      <c r="Q37" s="10" t="s">
        <v>433</v>
      </c>
      <c r="R37" s="10" t="s">
        <v>72</v>
      </c>
      <c r="S37" s="10"/>
      <c r="T37" s="8" t="s">
        <v>73</v>
      </c>
      <c r="U37" s="11">
        <v>23685</v>
      </c>
      <c r="V37" s="12">
        <v>1964</v>
      </c>
      <c r="W37" s="13">
        <v>38057</v>
      </c>
      <c r="X37" s="14">
        <v>2004</v>
      </c>
      <c r="Y37" s="13">
        <v>38353</v>
      </c>
      <c r="Z37" s="15">
        <v>2005</v>
      </c>
      <c r="AA37" s="13" t="s">
        <v>94</v>
      </c>
      <c r="AB37" s="13" t="s">
        <v>94</v>
      </c>
      <c r="AC37" s="13" t="s">
        <v>94</v>
      </c>
      <c r="AD37" s="15"/>
      <c r="AE37" s="27" t="s">
        <v>434</v>
      </c>
      <c r="AF37" s="8" t="s">
        <v>106</v>
      </c>
      <c r="AG37" s="16">
        <v>3600000000</v>
      </c>
      <c r="AH37" s="16">
        <v>3600000000</v>
      </c>
      <c r="AI37" s="16">
        <v>5978191635.79</v>
      </c>
      <c r="AJ37" s="16" t="s">
        <v>76</v>
      </c>
      <c r="AK37" s="28" t="s">
        <v>94</v>
      </c>
      <c r="AL37" s="16" t="s">
        <v>94</v>
      </c>
      <c r="AM37" s="16" t="s">
        <v>94</v>
      </c>
      <c r="AN37" s="10" t="s">
        <v>64</v>
      </c>
      <c r="AO37" s="8" t="s">
        <v>3757</v>
      </c>
      <c r="AP37" s="43">
        <v>6200</v>
      </c>
      <c r="AQ37" s="15" t="s">
        <v>94</v>
      </c>
      <c r="AR37" s="8" t="s">
        <v>3765</v>
      </c>
      <c r="AS37" s="10" t="s">
        <v>3781</v>
      </c>
      <c r="AT37" s="10" t="s">
        <v>3795</v>
      </c>
      <c r="AU37" s="96"/>
      <c r="AV37" s="17" t="s">
        <v>3890</v>
      </c>
      <c r="AW37" s="10" t="s">
        <v>435</v>
      </c>
      <c r="AX37" s="7" t="s">
        <v>436</v>
      </c>
      <c r="AY37" s="10" t="s">
        <v>437</v>
      </c>
      <c r="AZ37" s="10" t="s">
        <v>438</v>
      </c>
      <c r="BA37" s="10" t="s">
        <v>439</v>
      </c>
      <c r="BB37" s="18" t="s">
        <v>440</v>
      </c>
      <c r="BC37" s="41" t="s">
        <v>441</v>
      </c>
    </row>
    <row r="38" spans="1:55" ht="70" customHeight="1" x14ac:dyDescent="0.2">
      <c r="A38" s="88" t="s">
        <v>4222</v>
      </c>
      <c r="B38" s="6" t="s">
        <v>442</v>
      </c>
      <c r="C38" s="7" t="s">
        <v>429</v>
      </c>
      <c r="D38" s="8" t="s">
        <v>49</v>
      </c>
      <c r="E38" s="8" t="s">
        <v>50</v>
      </c>
      <c r="F38" s="9" t="s">
        <v>430</v>
      </c>
      <c r="G38" s="9" t="s">
        <v>431</v>
      </c>
      <c r="H38" s="10" t="s">
        <v>4155</v>
      </c>
      <c r="I38" s="10" t="s">
        <v>103</v>
      </c>
      <c r="J38" s="7" t="s">
        <v>443</v>
      </c>
      <c r="K38" s="10" t="s">
        <v>55</v>
      </c>
      <c r="L38" s="9" t="s">
        <v>430</v>
      </c>
      <c r="M38" s="9" t="s">
        <v>431</v>
      </c>
      <c r="N38" s="10" t="s">
        <v>4592</v>
      </c>
      <c r="O38" s="8" t="s">
        <v>103</v>
      </c>
      <c r="P38" s="8" t="s">
        <v>56</v>
      </c>
      <c r="Q38" s="10" t="s">
        <v>444</v>
      </c>
      <c r="R38" s="10" t="s">
        <v>72</v>
      </c>
      <c r="S38" s="10"/>
      <c r="T38" s="8" t="s">
        <v>73</v>
      </c>
      <c r="U38" s="11">
        <v>43709</v>
      </c>
      <c r="V38" s="12">
        <v>2019</v>
      </c>
      <c r="W38" s="13">
        <v>44545</v>
      </c>
      <c r="X38" s="14">
        <v>2021</v>
      </c>
      <c r="Y38" s="13" t="s">
        <v>94</v>
      </c>
      <c r="Z38" s="13" t="s">
        <v>94</v>
      </c>
      <c r="AA38" s="13" t="s">
        <v>94</v>
      </c>
      <c r="AB38" s="13" t="s">
        <v>94</v>
      </c>
      <c r="AC38" s="13" t="s">
        <v>94</v>
      </c>
      <c r="AD38" s="15"/>
      <c r="AE38" s="27"/>
      <c r="AF38" s="8" t="s">
        <v>445</v>
      </c>
      <c r="AG38" s="16">
        <v>8000000</v>
      </c>
      <c r="AH38" s="16">
        <v>1160000</v>
      </c>
      <c r="AI38" s="16">
        <v>1342876.48</v>
      </c>
      <c r="AJ38" s="16" t="s">
        <v>76</v>
      </c>
      <c r="AK38" s="28" t="s">
        <v>94</v>
      </c>
      <c r="AL38" s="16" t="s">
        <v>94</v>
      </c>
      <c r="AM38" s="16" t="s">
        <v>94</v>
      </c>
      <c r="AN38" s="10" t="s">
        <v>64</v>
      </c>
      <c r="AO38" s="8" t="s">
        <v>3757</v>
      </c>
      <c r="AP38" s="43">
        <v>1838</v>
      </c>
      <c r="AQ38" s="15" t="s">
        <v>94</v>
      </c>
      <c r="AR38" s="8" t="s">
        <v>3765</v>
      </c>
      <c r="AS38" s="10" t="s">
        <v>3815</v>
      </c>
      <c r="AT38" s="10" t="s">
        <v>3795</v>
      </c>
      <c r="AU38" s="96"/>
      <c r="AV38" s="17"/>
      <c r="AW38" s="10"/>
      <c r="AX38" s="7" t="s">
        <v>446</v>
      </c>
      <c r="AY38" s="10" t="s">
        <v>447</v>
      </c>
      <c r="AZ38" s="10" t="s">
        <v>448</v>
      </c>
      <c r="BA38" s="10" t="s">
        <v>449</v>
      </c>
      <c r="BB38" s="18"/>
      <c r="BC38" s="41" t="s">
        <v>450</v>
      </c>
    </row>
    <row r="39" spans="1:55" ht="70" customHeight="1" x14ac:dyDescent="0.2">
      <c r="A39" s="88" t="s">
        <v>4223</v>
      </c>
      <c r="B39" s="6" t="s">
        <v>451</v>
      </c>
      <c r="C39" s="7" t="s">
        <v>452</v>
      </c>
      <c r="D39" s="8" t="s">
        <v>453</v>
      </c>
      <c r="E39" s="8" t="s">
        <v>280</v>
      </c>
      <c r="F39" s="9" t="s">
        <v>454</v>
      </c>
      <c r="G39" s="9" t="s">
        <v>455</v>
      </c>
      <c r="H39" s="10" t="s">
        <v>4154</v>
      </c>
      <c r="I39" s="10" t="s">
        <v>53</v>
      </c>
      <c r="J39" s="7" t="s">
        <v>456</v>
      </c>
      <c r="K39" s="10" t="s">
        <v>55</v>
      </c>
      <c r="L39" s="9" t="s">
        <v>454</v>
      </c>
      <c r="M39" s="9" t="s">
        <v>455</v>
      </c>
      <c r="N39" s="10" t="s">
        <v>4154</v>
      </c>
      <c r="O39" s="8" t="s">
        <v>53</v>
      </c>
      <c r="P39" s="8" t="s">
        <v>56</v>
      </c>
      <c r="Q39" s="10" t="s">
        <v>457</v>
      </c>
      <c r="R39" s="10" t="s">
        <v>72</v>
      </c>
      <c r="S39" s="10"/>
      <c r="T39" s="8" t="s">
        <v>60</v>
      </c>
      <c r="U39" s="11">
        <v>33700</v>
      </c>
      <c r="V39" s="12">
        <v>1992</v>
      </c>
      <c r="W39" s="13">
        <v>37375</v>
      </c>
      <c r="X39" s="14">
        <v>2002</v>
      </c>
      <c r="Y39" s="13" t="s">
        <v>94</v>
      </c>
      <c r="Z39" s="13" t="s">
        <v>94</v>
      </c>
      <c r="AA39" s="13" t="s">
        <v>94</v>
      </c>
      <c r="AB39" s="13" t="s">
        <v>94</v>
      </c>
      <c r="AC39" s="13" t="s">
        <v>94</v>
      </c>
      <c r="AD39" s="15"/>
      <c r="AE39" s="27"/>
      <c r="AF39" s="8" t="s">
        <v>106</v>
      </c>
      <c r="AG39" s="16">
        <v>140000000</v>
      </c>
      <c r="AH39" s="16">
        <v>140000000</v>
      </c>
      <c r="AI39" s="16">
        <v>244115953.31</v>
      </c>
      <c r="AJ39" s="16" t="s">
        <v>76</v>
      </c>
      <c r="AK39" s="28" t="s">
        <v>94</v>
      </c>
      <c r="AL39" s="16" t="s">
        <v>94</v>
      </c>
      <c r="AM39" s="16" t="s">
        <v>94</v>
      </c>
      <c r="AN39" s="10" t="s">
        <v>64</v>
      </c>
      <c r="AO39" s="8" t="s">
        <v>3756</v>
      </c>
      <c r="AP39" s="15">
        <v>4</v>
      </c>
      <c r="AQ39" s="15" t="s">
        <v>94</v>
      </c>
      <c r="AR39" s="8" t="s">
        <v>3762</v>
      </c>
      <c r="AS39" s="10" t="s">
        <v>3781</v>
      </c>
      <c r="AT39" s="10" t="s">
        <v>458</v>
      </c>
      <c r="AU39" s="96"/>
      <c r="AV39" s="17" t="s">
        <v>459</v>
      </c>
      <c r="AW39" s="10"/>
      <c r="AX39" s="7" t="s">
        <v>3986</v>
      </c>
      <c r="AY39" s="10" t="s">
        <v>460</v>
      </c>
      <c r="AZ39" s="10" t="s">
        <v>461</v>
      </c>
      <c r="BA39" s="10" t="s">
        <v>462</v>
      </c>
      <c r="BB39" s="18"/>
      <c r="BC39" s="41" t="s">
        <v>463</v>
      </c>
    </row>
    <row r="40" spans="1:55" ht="70" customHeight="1" x14ac:dyDescent="0.2">
      <c r="A40" s="88" t="s">
        <v>4224</v>
      </c>
      <c r="B40" s="6" t="s">
        <v>464</v>
      </c>
      <c r="C40" s="7" t="s">
        <v>465</v>
      </c>
      <c r="D40" s="8" t="s">
        <v>453</v>
      </c>
      <c r="E40" s="8" t="s">
        <v>280</v>
      </c>
      <c r="F40" s="9" t="s">
        <v>454</v>
      </c>
      <c r="G40" s="9" t="s">
        <v>455</v>
      </c>
      <c r="H40" s="10" t="s">
        <v>4154</v>
      </c>
      <c r="I40" s="10" t="s">
        <v>53</v>
      </c>
      <c r="J40" s="7" t="s">
        <v>466</v>
      </c>
      <c r="K40" s="10" t="s">
        <v>55</v>
      </c>
      <c r="L40" s="9" t="s">
        <v>454</v>
      </c>
      <c r="M40" s="9" t="s">
        <v>455</v>
      </c>
      <c r="N40" s="10" t="s">
        <v>4154</v>
      </c>
      <c r="O40" s="8" t="s">
        <v>53</v>
      </c>
      <c r="P40" s="8" t="s">
        <v>56</v>
      </c>
      <c r="Q40" s="10" t="s">
        <v>467</v>
      </c>
      <c r="R40" s="10" t="s">
        <v>72</v>
      </c>
      <c r="S40" s="10"/>
      <c r="T40" s="8" t="s">
        <v>60</v>
      </c>
      <c r="U40" s="11">
        <v>33604</v>
      </c>
      <c r="V40" s="12">
        <v>1992</v>
      </c>
      <c r="W40" s="13">
        <v>40616</v>
      </c>
      <c r="X40" s="14">
        <v>2011</v>
      </c>
      <c r="Y40" s="13" t="s">
        <v>94</v>
      </c>
      <c r="Z40" s="13" t="s">
        <v>94</v>
      </c>
      <c r="AA40" s="13" t="s">
        <v>94</v>
      </c>
      <c r="AB40" s="13" t="s">
        <v>94</v>
      </c>
      <c r="AC40" s="13" t="s">
        <v>94</v>
      </c>
      <c r="AD40" s="15"/>
      <c r="AE40" s="27"/>
      <c r="AF40" s="8" t="s">
        <v>75</v>
      </c>
      <c r="AG40" s="16">
        <v>200000</v>
      </c>
      <c r="AH40" s="16">
        <v>278391.05</v>
      </c>
      <c r="AI40" s="16">
        <v>388230.63</v>
      </c>
      <c r="AJ40" s="16" t="s">
        <v>76</v>
      </c>
      <c r="AK40" s="28" t="s">
        <v>94</v>
      </c>
      <c r="AL40" s="16" t="s">
        <v>94</v>
      </c>
      <c r="AM40" s="16" t="s">
        <v>94</v>
      </c>
      <c r="AN40" s="10" t="s">
        <v>64</v>
      </c>
      <c r="AO40" s="8" t="s">
        <v>3757</v>
      </c>
      <c r="AP40" s="15">
        <v>4</v>
      </c>
      <c r="AQ40" s="15" t="s">
        <v>94</v>
      </c>
      <c r="AR40" s="8" t="s">
        <v>3762</v>
      </c>
      <c r="AS40" s="10" t="s">
        <v>3781</v>
      </c>
      <c r="AT40" s="10" t="s">
        <v>468</v>
      </c>
      <c r="AU40" s="96"/>
      <c r="AV40" s="17" t="s">
        <v>459</v>
      </c>
      <c r="AW40" s="10"/>
      <c r="AX40" s="7" t="s">
        <v>469</v>
      </c>
      <c r="AY40" s="10" t="s">
        <v>470</v>
      </c>
      <c r="AZ40" s="10" t="s">
        <v>471</v>
      </c>
      <c r="BA40" s="10" t="s">
        <v>472</v>
      </c>
      <c r="BB40" s="18"/>
      <c r="BC40" s="41" t="s">
        <v>473</v>
      </c>
    </row>
    <row r="41" spans="1:55" ht="70" customHeight="1" x14ac:dyDescent="0.2">
      <c r="A41" s="88" t="s">
        <v>4225</v>
      </c>
      <c r="B41" s="6" t="s">
        <v>474</v>
      </c>
      <c r="C41" s="7" t="s">
        <v>475</v>
      </c>
      <c r="D41" s="8" t="s">
        <v>49</v>
      </c>
      <c r="E41" s="8" t="s">
        <v>50</v>
      </c>
      <c r="F41" s="9" t="s">
        <v>476</v>
      </c>
      <c r="G41" s="9" t="s">
        <v>477</v>
      </c>
      <c r="H41" s="10" t="s">
        <v>4155</v>
      </c>
      <c r="I41" s="10" t="s">
        <v>53</v>
      </c>
      <c r="J41" s="7" t="s">
        <v>478</v>
      </c>
      <c r="K41" s="10" t="s">
        <v>55</v>
      </c>
      <c r="L41" s="9" t="s">
        <v>476</v>
      </c>
      <c r="M41" s="9" t="s">
        <v>477</v>
      </c>
      <c r="N41" s="10" t="s">
        <v>4153</v>
      </c>
      <c r="O41" s="8" t="s">
        <v>140</v>
      </c>
      <c r="P41" s="8" t="s">
        <v>56</v>
      </c>
      <c r="Q41" s="10" t="s">
        <v>479</v>
      </c>
      <c r="R41" s="10" t="s">
        <v>72</v>
      </c>
      <c r="S41" s="10"/>
      <c r="T41" s="8" t="s">
        <v>73</v>
      </c>
      <c r="U41" s="11">
        <v>22525</v>
      </c>
      <c r="V41" s="12">
        <v>1961</v>
      </c>
      <c r="W41" s="13">
        <v>35037</v>
      </c>
      <c r="X41" s="14">
        <v>1995</v>
      </c>
      <c r="Y41" s="13">
        <v>34700</v>
      </c>
      <c r="Z41" s="15">
        <v>1995</v>
      </c>
      <c r="AA41" s="13">
        <v>39814</v>
      </c>
      <c r="AB41" s="15">
        <v>2009</v>
      </c>
      <c r="AC41" s="15">
        <v>14</v>
      </c>
      <c r="AD41" s="15">
        <v>2009</v>
      </c>
      <c r="AE41" s="27"/>
      <c r="AF41" s="8" t="s">
        <v>480</v>
      </c>
      <c r="AG41" s="28">
        <v>39000000</v>
      </c>
      <c r="AH41" s="16">
        <v>19505576.91</v>
      </c>
      <c r="AI41" s="16">
        <v>28520417.989999998</v>
      </c>
      <c r="AJ41" s="16" t="s">
        <v>63</v>
      </c>
      <c r="AK41" s="28">
        <v>39000000</v>
      </c>
      <c r="AL41" s="16">
        <v>19505576.91</v>
      </c>
      <c r="AM41" s="16">
        <v>28520417.989999998</v>
      </c>
      <c r="AN41" s="10" t="s">
        <v>64</v>
      </c>
      <c r="AO41" s="8" t="s">
        <v>3758</v>
      </c>
      <c r="AP41" s="15">
        <v>356</v>
      </c>
      <c r="AQ41" s="15">
        <v>356</v>
      </c>
      <c r="AR41" s="8" t="s">
        <v>3765</v>
      </c>
      <c r="AS41" s="10" t="s">
        <v>3781</v>
      </c>
      <c r="AT41" s="10" t="s">
        <v>3795</v>
      </c>
      <c r="AU41" s="96"/>
      <c r="AV41" s="17" t="s">
        <v>481</v>
      </c>
      <c r="AW41" s="10" t="s">
        <v>482</v>
      </c>
      <c r="AX41" s="7" t="s">
        <v>483</v>
      </c>
      <c r="AY41" s="10" t="s">
        <v>484</v>
      </c>
      <c r="AZ41" s="10" t="s">
        <v>485</v>
      </c>
      <c r="BA41" s="10" t="s">
        <v>486</v>
      </c>
      <c r="BB41" s="18" t="s">
        <v>487</v>
      </c>
      <c r="BC41" s="41" t="s">
        <v>488</v>
      </c>
    </row>
    <row r="42" spans="1:55" ht="70" customHeight="1" x14ac:dyDescent="0.2">
      <c r="A42" s="88" t="s">
        <v>4226</v>
      </c>
      <c r="B42" s="6" t="s">
        <v>489</v>
      </c>
      <c r="C42" s="7" t="s">
        <v>475</v>
      </c>
      <c r="D42" s="8" t="s">
        <v>49</v>
      </c>
      <c r="E42" s="8" t="s">
        <v>50</v>
      </c>
      <c r="F42" s="9" t="s">
        <v>476</v>
      </c>
      <c r="G42" s="9" t="s">
        <v>477</v>
      </c>
      <c r="H42" s="10" t="s">
        <v>4155</v>
      </c>
      <c r="I42" s="10" t="s">
        <v>53</v>
      </c>
      <c r="J42" s="7" t="s">
        <v>490</v>
      </c>
      <c r="K42" s="10" t="s">
        <v>55</v>
      </c>
      <c r="L42" s="9" t="s">
        <v>476</v>
      </c>
      <c r="M42" s="9" t="s">
        <v>477</v>
      </c>
      <c r="N42" s="10" t="s">
        <v>4592</v>
      </c>
      <c r="O42" s="8" t="s">
        <v>53</v>
      </c>
      <c r="P42" s="8" t="s">
        <v>56</v>
      </c>
      <c r="Q42" s="10" t="s">
        <v>491</v>
      </c>
      <c r="R42" s="10" t="s">
        <v>72</v>
      </c>
      <c r="S42" s="10"/>
      <c r="T42" s="8" t="s">
        <v>73</v>
      </c>
      <c r="U42" s="11">
        <v>17063</v>
      </c>
      <c r="V42" s="12">
        <v>1946</v>
      </c>
      <c r="W42" s="13">
        <v>37573</v>
      </c>
      <c r="X42" s="14">
        <v>2002</v>
      </c>
      <c r="Y42" s="13">
        <v>37622</v>
      </c>
      <c r="Z42" s="15">
        <v>2003</v>
      </c>
      <c r="AA42" s="13">
        <v>39814</v>
      </c>
      <c r="AB42" s="15">
        <v>2009</v>
      </c>
      <c r="AC42" s="15">
        <v>6</v>
      </c>
      <c r="AD42" s="15">
        <v>2009</v>
      </c>
      <c r="AE42" s="27"/>
      <c r="AF42" s="8" t="s">
        <v>480</v>
      </c>
      <c r="AG42" s="28">
        <v>2600000000</v>
      </c>
      <c r="AH42" s="16">
        <v>1300371793.76</v>
      </c>
      <c r="AI42" s="16">
        <v>1901361199.29</v>
      </c>
      <c r="AJ42" s="16" t="s">
        <v>63</v>
      </c>
      <c r="AK42" s="28">
        <v>2600000000</v>
      </c>
      <c r="AL42" s="16">
        <v>1300371793.76</v>
      </c>
      <c r="AM42" s="16">
        <v>1901361199.29</v>
      </c>
      <c r="AN42" s="10" t="s">
        <v>64</v>
      </c>
      <c r="AO42" s="8" t="s">
        <v>3757</v>
      </c>
      <c r="AP42" s="43">
        <v>79183</v>
      </c>
      <c r="AQ42" s="43">
        <v>79183</v>
      </c>
      <c r="AR42" s="8" t="s">
        <v>3765</v>
      </c>
      <c r="AS42" s="10" t="s">
        <v>3786</v>
      </c>
      <c r="AT42" s="10" t="s">
        <v>3795</v>
      </c>
      <c r="AU42" s="96"/>
      <c r="AV42" s="17" t="s">
        <v>492</v>
      </c>
      <c r="AW42" s="10" t="s">
        <v>493</v>
      </c>
      <c r="AX42" s="7" t="s">
        <v>483</v>
      </c>
      <c r="AY42" s="10" t="s">
        <v>494</v>
      </c>
      <c r="AZ42" s="10" t="s">
        <v>495</v>
      </c>
      <c r="BA42" s="10" t="s">
        <v>496</v>
      </c>
      <c r="BB42" s="18" t="s">
        <v>497</v>
      </c>
      <c r="BC42" s="41" t="s">
        <v>498</v>
      </c>
    </row>
    <row r="43" spans="1:55" ht="70" customHeight="1" x14ac:dyDescent="0.2">
      <c r="A43" s="88" t="s">
        <v>4227</v>
      </c>
      <c r="B43" s="6" t="s">
        <v>499</v>
      </c>
      <c r="C43" s="7" t="s">
        <v>500</v>
      </c>
      <c r="D43" s="8" t="s">
        <v>279</v>
      </c>
      <c r="E43" s="8" t="s">
        <v>280</v>
      </c>
      <c r="F43" s="9" t="s">
        <v>476</v>
      </c>
      <c r="G43" s="9" t="s">
        <v>477</v>
      </c>
      <c r="H43" s="10" t="s">
        <v>4155</v>
      </c>
      <c r="I43" s="10" t="s">
        <v>53</v>
      </c>
      <c r="J43" s="7" t="s">
        <v>501</v>
      </c>
      <c r="K43" s="10" t="s">
        <v>49</v>
      </c>
      <c r="L43" s="9" t="s">
        <v>502</v>
      </c>
      <c r="M43" s="9" t="s">
        <v>503</v>
      </c>
      <c r="N43" s="10" t="s">
        <v>4592</v>
      </c>
      <c r="O43" s="30" t="s">
        <v>140</v>
      </c>
      <c r="P43" s="8" t="s">
        <v>144</v>
      </c>
      <c r="Q43" s="10" t="s">
        <v>504</v>
      </c>
      <c r="R43" s="10" t="s">
        <v>59</v>
      </c>
      <c r="S43" s="10"/>
      <c r="T43" s="8" t="s">
        <v>60</v>
      </c>
      <c r="U43" s="11">
        <v>40179</v>
      </c>
      <c r="V43" s="12">
        <v>2010</v>
      </c>
      <c r="W43" s="13">
        <v>42747</v>
      </c>
      <c r="X43" s="14">
        <v>2017</v>
      </c>
      <c r="Y43" s="13" t="s">
        <v>94</v>
      </c>
      <c r="Z43" s="13" t="s">
        <v>94</v>
      </c>
      <c r="AA43" s="13" t="s">
        <v>94</v>
      </c>
      <c r="AB43" s="13" t="s">
        <v>94</v>
      </c>
      <c r="AC43" s="13" t="s">
        <v>94</v>
      </c>
      <c r="AD43" s="15"/>
      <c r="AE43" s="27"/>
      <c r="AF43" s="8" t="s">
        <v>106</v>
      </c>
      <c r="AG43" s="16">
        <v>59000000</v>
      </c>
      <c r="AH43" s="16">
        <v>59000000</v>
      </c>
      <c r="AI43" s="16">
        <v>75504450.879999995</v>
      </c>
      <c r="AJ43" s="16" t="s">
        <v>76</v>
      </c>
      <c r="AK43" s="28" t="s">
        <v>94</v>
      </c>
      <c r="AL43" s="16" t="s">
        <v>94</v>
      </c>
      <c r="AM43" s="16" t="s">
        <v>94</v>
      </c>
      <c r="AN43" s="10" t="s">
        <v>149</v>
      </c>
      <c r="AO43" s="8" t="s">
        <v>150</v>
      </c>
      <c r="AP43" s="15" t="s">
        <v>151</v>
      </c>
      <c r="AQ43" s="15" t="s">
        <v>151</v>
      </c>
      <c r="AR43" s="8" t="s">
        <v>3764</v>
      </c>
      <c r="AS43" s="10" t="s">
        <v>94</v>
      </c>
      <c r="AT43" s="10" t="s">
        <v>3795</v>
      </c>
      <c r="AU43" s="96"/>
      <c r="AV43" s="17"/>
      <c r="AW43" s="10"/>
      <c r="AX43" s="7" t="s">
        <v>505</v>
      </c>
      <c r="AY43" s="10" t="s">
        <v>506</v>
      </c>
      <c r="AZ43" s="10" t="s">
        <v>507</v>
      </c>
      <c r="BA43" s="10" t="s">
        <v>508</v>
      </c>
      <c r="BB43" s="18"/>
      <c r="BC43" s="41" t="s">
        <v>509</v>
      </c>
    </row>
    <row r="44" spans="1:55" ht="70" customHeight="1" x14ac:dyDescent="0.2">
      <c r="A44" s="88" t="s">
        <v>4228</v>
      </c>
      <c r="B44" s="6" t="s">
        <v>510</v>
      </c>
      <c r="C44" s="7" t="s">
        <v>511</v>
      </c>
      <c r="D44" s="8" t="s">
        <v>279</v>
      </c>
      <c r="E44" s="8" t="s">
        <v>280</v>
      </c>
      <c r="F44" s="9" t="s">
        <v>476</v>
      </c>
      <c r="G44" s="9" t="s">
        <v>477</v>
      </c>
      <c r="H44" s="10" t="s">
        <v>4155</v>
      </c>
      <c r="I44" s="10" t="s">
        <v>53</v>
      </c>
      <c r="J44" s="7" t="s">
        <v>512</v>
      </c>
      <c r="K44" s="10" t="s">
        <v>49</v>
      </c>
      <c r="L44" s="9" t="s">
        <v>476</v>
      </c>
      <c r="M44" s="9" t="s">
        <v>477</v>
      </c>
      <c r="N44" s="10" t="s">
        <v>4592</v>
      </c>
      <c r="O44" s="8" t="s">
        <v>53</v>
      </c>
      <c r="P44" s="8" t="s">
        <v>56</v>
      </c>
      <c r="Q44" s="10" t="s">
        <v>513</v>
      </c>
      <c r="R44" s="10" t="s">
        <v>146</v>
      </c>
      <c r="S44" s="10"/>
      <c r="T44" s="8" t="s">
        <v>73</v>
      </c>
      <c r="U44" s="11">
        <v>42313</v>
      </c>
      <c r="V44" s="12">
        <v>2015</v>
      </c>
      <c r="W44" s="13">
        <v>45590</v>
      </c>
      <c r="X44" s="14">
        <v>2024</v>
      </c>
      <c r="Y44" s="13" t="s">
        <v>94</v>
      </c>
      <c r="Z44" s="13" t="s">
        <v>94</v>
      </c>
      <c r="AA44" s="13" t="s">
        <v>94</v>
      </c>
      <c r="AB44" s="13" t="s">
        <v>94</v>
      </c>
      <c r="AC44" s="13" t="s">
        <v>94</v>
      </c>
      <c r="AD44" s="15"/>
      <c r="AE44" s="27" t="s">
        <v>514</v>
      </c>
      <c r="AF44" s="8" t="s">
        <v>480</v>
      </c>
      <c r="AG44" s="16">
        <v>170000000000</v>
      </c>
      <c r="AH44" s="16">
        <v>29850000000</v>
      </c>
      <c r="AI44" s="16">
        <v>29850000000</v>
      </c>
      <c r="AJ44" s="16" t="s">
        <v>76</v>
      </c>
      <c r="AK44" s="28" t="s">
        <v>94</v>
      </c>
      <c r="AL44" s="16" t="s">
        <v>94</v>
      </c>
      <c r="AM44" s="16" t="s">
        <v>94</v>
      </c>
      <c r="AN44" s="54" t="s">
        <v>3755</v>
      </c>
      <c r="AO44" s="8" t="s">
        <v>3756</v>
      </c>
      <c r="AP44" s="15" t="s">
        <v>94</v>
      </c>
      <c r="AQ44" s="15" t="s">
        <v>94</v>
      </c>
      <c r="AR44" s="10" t="s">
        <v>3796</v>
      </c>
      <c r="AS44" s="10" t="s">
        <v>3783</v>
      </c>
      <c r="AT44" s="10" t="s">
        <v>515</v>
      </c>
      <c r="AU44" s="96"/>
      <c r="AV44" s="17"/>
      <c r="AW44" s="10" t="s">
        <v>516</v>
      </c>
      <c r="AX44" s="7" t="s">
        <v>3987</v>
      </c>
      <c r="AY44" s="10" t="s">
        <v>517</v>
      </c>
      <c r="AZ44" s="10" t="s">
        <v>4110</v>
      </c>
      <c r="BA44" s="10" t="s">
        <v>518</v>
      </c>
      <c r="BB44" s="18" t="s">
        <v>519</v>
      </c>
      <c r="BC44" s="41" t="s">
        <v>520</v>
      </c>
    </row>
    <row r="45" spans="1:55" ht="70" customHeight="1" x14ac:dyDescent="0.2">
      <c r="A45" s="88" t="s">
        <v>4229</v>
      </c>
      <c r="B45" s="6" t="s">
        <v>521</v>
      </c>
      <c r="C45" s="7" t="s">
        <v>522</v>
      </c>
      <c r="D45" s="8" t="s">
        <v>49</v>
      </c>
      <c r="E45" s="8" t="s">
        <v>50</v>
      </c>
      <c r="F45" s="9" t="s">
        <v>523</v>
      </c>
      <c r="G45" s="9" t="s">
        <v>524</v>
      </c>
      <c r="H45" s="10" t="s">
        <v>4154</v>
      </c>
      <c r="I45" s="10" t="s">
        <v>140</v>
      </c>
      <c r="J45" s="7" t="s">
        <v>525</v>
      </c>
      <c r="K45" s="10" t="s">
        <v>49</v>
      </c>
      <c r="L45" s="9" t="s">
        <v>526</v>
      </c>
      <c r="M45" s="9" t="s">
        <v>527</v>
      </c>
      <c r="N45" s="10" t="s">
        <v>4154</v>
      </c>
      <c r="O45" s="8" t="s">
        <v>140</v>
      </c>
      <c r="P45" s="8" t="s">
        <v>144</v>
      </c>
      <c r="Q45" s="10" t="s">
        <v>528</v>
      </c>
      <c r="R45" s="10" t="s">
        <v>529</v>
      </c>
      <c r="S45" s="10"/>
      <c r="T45" s="8" t="s">
        <v>73</v>
      </c>
      <c r="U45" s="11">
        <v>14489</v>
      </c>
      <c r="V45" s="12">
        <v>1939</v>
      </c>
      <c r="W45" s="13">
        <v>17208</v>
      </c>
      <c r="X45" s="14">
        <v>1947</v>
      </c>
      <c r="Y45" s="13" t="s">
        <v>94</v>
      </c>
      <c r="Z45" s="13" t="s">
        <v>94</v>
      </c>
      <c r="AA45" s="13" t="s">
        <v>94</v>
      </c>
      <c r="AB45" s="13" t="s">
        <v>94</v>
      </c>
      <c r="AC45" s="13" t="s">
        <v>94</v>
      </c>
      <c r="AD45" s="15"/>
      <c r="AE45" s="27"/>
      <c r="AF45" s="8" t="s">
        <v>106</v>
      </c>
      <c r="AG45" s="16">
        <v>45000000</v>
      </c>
      <c r="AH45" s="16">
        <v>45000000</v>
      </c>
      <c r="AI45" s="16">
        <v>633004708.51999998</v>
      </c>
      <c r="AJ45" s="16" t="s">
        <v>76</v>
      </c>
      <c r="AK45" s="28" t="s">
        <v>94</v>
      </c>
      <c r="AL45" s="16" t="s">
        <v>94</v>
      </c>
      <c r="AM45" s="16" t="s">
        <v>94</v>
      </c>
      <c r="AN45" s="10" t="s">
        <v>149</v>
      </c>
      <c r="AO45" s="8" t="s">
        <v>150</v>
      </c>
      <c r="AP45" s="15" t="s">
        <v>151</v>
      </c>
      <c r="AQ45" s="15" t="s">
        <v>151</v>
      </c>
      <c r="AR45" s="8" t="s">
        <v>3770</v>
      </c>
      <c r="AS45" s="10" t="s">
        <v>3809</v>
      </c>
      <c r="AT45" s="10" t="s">
        <v>3795</v>
      </c>
      <c r="AU45" s="96" t="s">
        <v>107</v>
      </c>
      <c r="AV45" s="17"/>
      <c r="AW45" s="10"/>
      <c r="AX45" s="7" t="s">
        <v>3988</v>
      </c>
      <c r="AY45" s="10" t="s">
        <v>530</v>
      </c>
      <c r="AZ45" s="10" t="s">
        <v>531</v>
      </c>
      <c r="BA45" s="10" t="s">
        <v>532</v>
      </c>
      <c r="BB45" s="18" t="s">
        <v>533</v>
      </c>
      <c r="BC45" s="41" t="s">
        <v>534</v>
      </c>
    </row>
    <row r="46" spans="1:55" ht="70" customHeight="1" x14ac:dyDescent="0.2">
      <c r="A46" s="88" t="s">
        <v>4230</v>
      </c>
      <c r="B46" s="6" t="s">
        <v>535</v>
      </c>
      <c r="C46" s="7" t="s">
        <v>522</v>
      </c>
      <c r="D46" s="8" t="s">
        <v>49</v>
      </c>
      <c r="E46" s="8" t="s">
        <v>50</v>
      </c>
      <c r="F46" s="9" t="s">
        <v>523</v>
      </c>
      <c r="G46" s="9" t="s">
        <v>524</v>
      </c>
      <c r="H46" s="10" t="s">
        <v>4154</v>
      </c>
      <c r="I46" s="10" t="s">
        <v>140</v>
      </c>
      <c r="J46" s="7" t="s">
        <v>536</v>
      </c>
      <c r="K46" s="10" t="s">
        <v>49</v>
      </c>
      <c r="L46" s="30" t="s">
        <v>4185</v>
      </c>
      <c r="M46" s="30" t="s">
        <v>537</v>
      </c>
      <c r="N46" s="30" t="s">
        <v>4185</v>
      </c>
      <c r="O46" s="30" t="s">
        <v>4185</v>
      </c>
      <c r="P46" s="8" t="s">
        <v>144</v>
      </c>
      <c r="Q46" s="10" t="s">
        <v>528</v>
      </c>
      <c r="R46" s="10" t="s">
        <v>529</v>
      </c>
      <c r="S46" s="10"/>
      <c r="T46" s="8" t="s">
        <v>73</v>
      </c>
      <c r="U46" s="11">
        <v>14489</v>
      </c>
      <c r="V46" s="12">
        <v>1939</v>
      </c>
      <c r="W46" s="13">
        <v>17208</v>
      </c>
      <c r="X46" s="14">
        <v>1947</v>
      </c>
      <c r="Y46" s="13" t="s">
        <v>94</v>
      </c>
      <c r="Z46" s="13" t="s">
        <v>94</v>
      </c>
      <c r="AA46" s="13" t="s">
        <v>94</v>
      </c>
      <c r="AB46" s="13" t="s">
        <v>94</v>
      </c>
      <c r="AC46" s="13" t="s">
        <v>94</v>
      </c>
      <c r="AD46" s="15"/>
      <c r="AE46" s="27"/>
      <c r="AF46" s="8" t="s">
        <v>106</v>
      </c>
      <c r="AG46" s="16">
        <v>25000000</v>
      </c>
      <c r="AH46" s="16">
        <v>25000000</v>
      </c>
      <c r="AI46" s="16">
        <v>351669282.50999999</v>
      </c>
      <c r="AJ46" s="16" t="s">
        <v>76</v>
      </c>
      <c r="AK46" s="28" t="s">
        <v>94</v>
      </c>
      <c r="AL46" s="16" t="s">
        <v>94</v>
      </c>
      <c r="AM46" s="16" t="s">
        <v>94</v>
      </c>
      <c r="AN46" s="10" t="s">
        <v>149</v>
      </c>
      <c r="AO46" s="8" t="s">
        <v>150</v>
      </c>
      <c r="AP46" s="15" t="s">
        <v>151</v>
      </c>
      <c r="AQ46" s="15" t="s">
        <v>151</v>
      </c>
      <c r="AR46" s="8" t="s">
        <v>3770</v>
      </c>
      <c r="AS46" s="10" t="s">
        <v>3809</v>
      </c>
      <c r="AT46" s="10" t="s">
        <v>3795</v>
      </c>
      <c r="AU46" s="98" t="s">
        <v>107</v>
      </c>
      <c r="AV46" s="17"/>
      <c r="AW46" s="10"/>
      <c r="AX46" s="7" t="s">
        <v>3989</v>
      </c>
      <c r="AY46" s="10" t="s">
        <v>538</v>
      </c>
      <c r="AZ46" s="10" t="s">
        <v>539</v>
      </c>
      <c r="BA46" s="10" t="s">
        <v>540</v>
      </c>
      <c r="BB46" s="18" t="s">
        <v>541</v>
      </c>
      <c r="BC46" s="18" t="s">
        <v>4084</v>
      </c>
    </row>
    <row r="47" spans="1:55" ht="70" customHeight="1" x14ac:dyDescent="0.2">
      <c r="A47" s="88" t="s">
        <v>4231</v>
      </c>
      <c r="B47" s="6" t="s">
        <v>542</v>
      </c>
      <c r="C47" s="7" t="s">
        <v>543</v>
      </c>
      <c r="D47" s="8" t="s">
        <v>49</v>
      </c>
      <c r="E47" s="8" t="s">
        <v>50</v>
      </c>
      <c r="F47" s="9" t="s">
        <v>544</v>
      </c>
      <c r="G47" s="9" t="s">
        <v>545</v>
      </c>
      <c r="H47" s="10" t="s">
        <v>380</v>
      </c>
      <c r="I47" s="10" t="s">
        <v>381</v>
      </c>
      <c r="J47" s="7" t="s">
        <v>546</v>
      </c>
      <c r="K47" s="10" t="s">
        <v>55</v>
      </c>
      <c r="L47" s="9" t="s">
        <v>544</v>
      </c>
      <c r="M47" s="9" t="s">
        <v>545</v>
      </c>
      <c r="N47" s="10" t="s">
        <v>380</v>
      </c>
      <c r="O47" s="8" t="s">
        <v>381</v>
      </c>
      <c r="P47" s="8" t="s">
        <v>56</v>
      </c>
      <c r="Q47" s="10" t="s">
        <v>547</v>
      </c>
      <c r="R47" s="10" t="s">
        <v>72</v>
      </c>
      <c r="S47" s="10"/>
      <c r="T47" s="8" t="s">
        <v>73</v>
      </c>
      <c r="U47" s="11" t="s">
        <v>269</v>
      </c>
      <c r="V47" s="12" t="s">
        <v>269</v>
      </c>
      <c r="W47" s="13">
        <v>36980</v>
      </c>
      <c r="X47" s="14">
        <v>2001</v>
      </c>
      <c r="Y47" s="13">
        <v>36892</v>
      </c>
      <c r="Z47" s="14">
        <v>2001</v>
      </c>
      <c r="AA47" s="13" t="s">
        <v>94</v>
      </c>
      <c r="AB47" s="13" t="s">
        <v>94</v>
      </c>
      <c r="AC47" s="13" t="s">
        <v>94</v>
      </c>
      <c r="AD47" s="15"/>
      <c r="AE47" s="27"/>
      <c r="AF47" s="8" t="s">
        <v>106</v>
      </c>
      <c r="AG47" s="16">
        <v>7750000</v>
      </c>
      <c r="AH47" s="16">
        <v>7750000</v>
      </c>
      <c r="AI47" s="16">
        <v>13727214.85</v>
      </c>
      <c r="AJ47" s="16" t="s">
        <v>76</v>
      </c>
      <c r="AK47" s="28" t="s">
        <v>94</v>
      </c>
      <c r="AL47" s="16" t="s">
        <v>94</v>
      </c>
      <c r="AM47" s="16" t="s">
        <v>94</v>
      </c>
      <c r="AN47" s="10" t="s">
        <v>64</v>
      </c>
      <c r="AO47" s="8" t="s">
        <v>3758</v>
      </c>
      <c r="AP47" s="15" t="s">
        <v>94</v>
      </c>
      <c r="AQ47" s="15" t="s">
        <v>94</v>
      </c>
      <c r="AR47" s="8" t="s">
        <v>3765</v>
      </c>
      <c r="AS47" s="10" t="s">
        <v>292</v>
      </c>
      <c r="AT47" s="10" t="s">
        <v>3795</v>
      </c>
      <c r="AU47" s="96"/>
      <c r="AV47" s="17" t="s">
        <v>3891</v>
      </c>
      <c r="AW47" s="10"/>
      <c r="AX47" s="7"/>
      <c r="AY47" s="10"/>
      <c r="AZ47" s="10"/>
      <c r="BA47" s="10" t="s">
        <v>548</v>
      </c>
      <c r="BB47" s="18"/>
      <c r="BC47" s="41" t="s">
        <v>549</v>
      </c>
    </row>
    <row r="48" spans="1:55" ht="70" customHeight="1" x14ac:dyDescent="0.2">
      <c r="A48" s="88" t="s">
        <v>4232</v>
      </c>
      <c r="B48" s="6" t="s">
        <v>550</v>
      </c>
      <c r="C48" s="7" t="s">
        <v>543</v>
      </c>
      <c r="D48" s="8" t="s">
        <v>49</v>
      </c>
      <c r="E48" s="8" t="s">
        <v>50</v>
      </c>
      <c r="F48" s="9" t="s">
        <v>544</v>
      </c>
      <c r="G48" s="9" t="s">
        <v>545</v>
      </c>
      <c r="H48" s="10" t="s">
        <v>380</v>
      </c>
      <c r="I48" s="10" t="s">
        <v>381</v>
      </c>
      <c r="J48" s="7" t="s">
        <v>551</v>
      </c>
      <c r="K48" s="10" t="s">
        <v>55</v>
      </c>
      <c r="L48" s="9" t="s">
        <v>544</v>
      </c>
      <c r="M48" s="9" t="s">
        <v>545</v>
      </c>
      <c r="N48" s="10" t="s">
        <v>380</v>
      </c>
      <c r="O48" s="8" t="s">
        <v>381</v>
      </c>
      <c r="P48" s="8" t="s">
        <v>56</v>
      </c>
      <c r="Q48" s="10" t="s">
        <v>552</v>
      </c>
      <c r="R48" s="10" t="s">
        <v>72</v>
      </c>
      <c r="S48" s="10"/>
      <c r="T48" s="8" t="s">
        <v>73</v>
      </c>
      <c r="U48" s="11">
        <v>36142</v>
      </c>
      <c r="V48" s="12">
        <v>1998</v>
      </c>
      <c r="W48" s="13">
        <v>42160</v>
      </c>
      <c r="X48" s="14">
        <v>2015</v>
      </c>
      <c r="Y48" s="13" t="s">
        <v>94</v>
      </c>
      <c r="Z48" s="13" t="s">
        <v>94</v>
      </c>
      <c r="AA48" s="13" t="s">
        <v>94</v>
      </c>
      <c r="AB48" s="13" t="s">
        <v>94</v>
      </c>
      <c r="AC48" s="13" t="s">
        <v>94</v>
      </c>
      <c r="AD48" s="15"/>
      <c r="AE48" s="27"/>
      <c r="AF48" s="8" t="s">
        <v>106</v>
      </c>
      <c r="AG48" s="16">
        <v>1000000</v>
      </c>
      <c r="AH48" s="16">
        <v>1000000</v>
      </c>
      <c r="AI48" s="16">
        <v>1323487.3400000001</v>
      </c>
      <c r="AJ48" s="16" t="s">
        <v>76</v>
      </c>
      <c r="AK48" s="28" t="s">
        <v>94</v>
      </c>
      <c r="AL48" s="16" t="s">
        <v>94</v>
      </c>
      <c r="AM48" s="16" t="s">
        <v>94</v>
      </c>
      <c r="AN48" s="10" t="s">
        <v>64</v>
      </c>
      <c r="AO48" s="8" t="s">
        <v>3758</v>
      </c>
      <c r="AP48" s="15">
        <v>4</v>
      </c>
      <c r="AQ48" s="15" t="s">
        <v>94</v>
      </c>
      <c r="AR48" s="8" t="s">
        <v>3762</v>
      </c>
      <c r="AS48" s="10" t="s">
        <v>3781</v>
      </c>
      <c r="AT48" s="10" t="s">
        <v>553</v>
      </c>
      <c r="AU48" s="96"/>
      <c r="AV48" s="17"/>
      <c r="AW48" s="10"/>
      <c r="AX48" s="7" t="s">
        <v>3990</v>
      </c>
      <c r="AY48" s="10" t="s">
        <v>554</v>
      </c>
      <c r="AZ48" s="10" t="s">
        <v>555</v>
      </c>
      <c r="BA48" s="10" t="s">
        <v>556</v>
      </c>
      <c r="BB48" s="18"/>
      <c r="BC48" s="41" t="s">
        <v>557</v>
      </c>
    </row>
    <row r="49" spans="1:55" ht="70" customHeight="1" x14ac:dyDescent="0.2">
      <c r="A49" s="88" t="s">
        <v>4233</v>
      </c>
      <c r="B49" s="6" t="s">
        <v>558</v>
      </c>
      <c r="C49" s="7" t="s">
        <v>559</v>
      </c>
      <c r="D49" s="8" t="s">
        <v>453</v>
      </c>
      <c r="E49" s="8" t="s">
        <v>280</v>
      </c>
      <c r="F49" s="9" t="s">
        <v>544</v>
      </c>
      <c r="G49" s="9" t="s">
        <v>545</v>
      </c>
      <c r="H49" s="10" t="s">
        <v>380</v>
      </c>
      <c r="I49" s="10" t="s">
        <v>381</v>
      </c>
      <c r="J49" s="7" t="s">
        <v>560</v>
      </c>
      <c r="K49" s="10" t="s">
        <v>55</v>
      </c>
      <c r="L49" s="9" t="s">
        <v>544</v>
      </c>
      <c r="M49" s="9" t="s">
        <v>545</v>
      </c>
      <c r="N49" s="10" t="s">
        <v>380</v>
      </c>
      <c r="O49" s="8" t="s">
        <v>381</v>
      </c>
      <c r="P49" s="8" t="s">
        <v>56</v>
      </c>
      <c r="Q49" s="10" t="s">
        <v>561</v>
      </c>
      <c r="R49" s="10" t="s">
        <v>72</v>
      </c>
      <c r="S49" s="10"/>
      <c r="T49" s="8" t="s">
        <v>73</v>
      </c>
      <c r="U49" s="11">
        <v>32065</v>
      </c>
      <c r="V49" s="12">
        <v>1987</v>
      </c>
      <c r="W49" s="13">
        <v>44657</v>
      </c>
      <c r="X49" s="14">
        <v>2022</v>
      </c>
      <c r="Y49" s="13" t="s">
        <v>94</v>
      </c>
      <c r="Z49" s="13" t="s">
        <v>94</v>
      </c>
      <c r="AA49" s="13" t="s">
        <v>94</v>
      </c>
      <c r="AB49" s="13" t="s">
        <v>94</v>
      </c>
      <c r="AC49" s="13" t="s">
        <v>94</v>
      </c>
      <c r="AD49" s="15"/>
      <c r="AE49" s="27"/>
      <c r="AF49" s="8" t="s">
        <v>562</v>
      </c>
      <c r="AG49" s="16">
        <v>807500000</v>
      </c>
      <c r="AH49" s="16">
        <v>1300000</v>
      </c>
      <c r="AI49" s="16">
        <v>1393434.93</v>
      </c>
      <c r="AJ49" s="16" t="s">
        <v>76</v>
      </c>
      <c r="AK49" s="28" t="s">
        <v>94</v>
      </c>
      <c r="AL49" s="16" t="s">
        <v>94</v>
      </c>
      <c r="AM49" s="16" t="s">
        <v>94</v>
      </c>
      <c r="AN49" s="10" t="s">
        <v>64</v>
      </c>
      <c r="AO49" s="8" t="s">
        <v>3758</v>
      </c>
      <c r="AP49" s="15">
        <v>13</v>
      </c>
      <c r="AQ49" s="15" t="s">
        <v>94</v>
      </c>
      <c r="AR49" s="8" t="s">
        <v>3762</v>
      </c>
      <c r="AS49" s="10" t="s">
        <v>3781</v>
      </c>
      <c r="AT49" s="10" t="s">
        <v>563</v>
      </c>
      <c r="AU49" s="96"/>
      <c r="AV49" s="17"/>
      <c r="AW49" s="10"/>
      <c r="AX49" s="7" t="s">
        <v>3991</v>
      </c>
      <c r="AY49" s="10" t="s">
        <v>564</v>
      </c>
      <c r="AZ49" s="10" t="s">
        <v>565</v>
      </c>
      <c r="BA49" s="10" t="s">
        <v>566</v>
      </c>
      <c r="BB49" s="18"/>
      <c r="BC49" s="41" t="s">
        <v>567</v>
      </c>
    </row>
    <row r="50" spans="1:55" ht="70" customHeight="1" x14ac:dyDescent="0.2">
      <c r="A50" s="88" t="s">
        <v>4234</v>
      </c>
      <c r="B50" s="6" t="s">
        <v>568</v>
      </c>
      <c r="C50" s="7" t="s">
        <v>569</v>
      </c>
      <c r="D50" s="8" t="s">
        <v>49</v>
      </c>
      <c r="E50" s="8" t="s">
        <v>50</v>
      </c>
      <c r="F50" s="9" t="s">
        <v>570</v>
      </c>
      <c r="G50" s="9" t="s">
        <v>571</v>
      </c>
      <c r="H50" s="10" t="s">
        <v>572</v>
      </c>
      <c r="I50" s="10" t="s">
        <v>140</v>
      </c>
      <c r="J50" s="7" t="s">
        <v>573</v>
      </c>
      <c r="K50" s="10" t="s">
        <v>55</v>
      </c>
      <c r="L50" s="30" t="s">
        <v>2042</v>
      </c>
      <c r="M50" s="30" t="s">
        <v>537</v>
      </c>
      <c r="N50" s="30" t="s">
        <v>4185</v>
      </c>
      <c r="O50" s="30" t="s">
        <v>4185</v>
      </c>
      <c r="P50" s="8" t="s">
        <v>144</v>
      </c>
      <c r="Q50" s="10" t="s">
        <v>574</v>
      </c>
      <c r="R50" s="10" t="s">
        <v>72</v>
      </c>
      <c r="S50" s="10" t="s">
        <v>59</v>
      </c>
      <c r="T50" s="8" t="s">
        <v>73</v>
      </c>
      <c r="U50" s="11">
        <v>15317</v>
      </c>
      <c r="V50" s="12">
        <v>1941</v>
      </c>
      <c r="W50" s="13">
        <v>32408</v>
      </c>
      <c r="X50" s="14">
        <v>1988</v>
      </c>
      <c r="Y50" s="13">
        <v>32143</v>
      </c>
      <c r="Z50" s="14">
        <v>1988</v>
      </c>
      <c r="AA50" s="13">
        <v>33604</v>
      </c>
      <c r="AB50" s="14">
        <v>1992</v>
      </c>
      <c r="AC50" s="14">
        <v>4</v>
      </c>
      <c r="AD50" s="15">
        <v>1988</v>
      </c>
      <c r="AE50" s="27"/>
      <c r="AF50" s="8" t="s">
        <v>575</v>
      </c>
      <c r="AG50" s="16">
        <v>400000000</v>
      </c>
      <c r="AH50" s="16">
        <v>325018058.68000001</v>
      </c>
      <c r="AI50" s="16">
        <v>861830852.14999998</v>
      </c>
      <c r="AJ50" s="16" t="s">
        <v>76</v>
      </c>
      <c r="AK50" s="28">
        <v>400000000</v>
      </c>
      <c r="AL50" s="16">
        <v>325018058.68000001</v>
      </c>
      <c r="AM50" s="16">
        <v>861830852.14999998</v>
      </c>
      <c r="AN50" s="54" t="s">
        <v>3755</v>
      </c>
      <c r="AO50" s="8" t="s">
        <v>3756</v>
      </c>
      <c r="AP50" s="43">
        <v>12000</v>
      </c>
      <c r="AQ50" s="43">
        <v>17402</v>
      </c>
      <c r="AR50" s="8" t="s">
        <v>3765</v>
      </c>
      <c r="AS50" s="10" t="s">
        <v>3816</v>
      </c>
      <c r="AT50" s="10" t="s">
        <v>3795</v>
      </c>
      <c r="AU50" s="96" t="s">
        <v>576</v>
      </c>
      <c r="AV50" s="17" t="s">
        <v>3875</v>
      </c>
      <c r="AW50" s="10" t="s">
        <v>3949</v>
      </c>
      <c r="AX50" s="7" t="s">
        <v>577</v>
      </c>
      <c r="AY50" s="10" t="s">
        <v>578</v>
      </c>
      <c r="AZ50" s="10" t="s">
        <v>4111</v>
      </c>
      <c r="BA50" s="10" t="s">
        <v>579</v>
      </c>
      <c r="BB50" s="18" t="s">
        <v>157</v>
      </c>
      <c r="BC50" s="41" t="s">
        <v>580</v>
      </c>
    </row>
    <row r="51" spans="1:55" ht="70" customHeight="1" x14ac:dyDescent="0.2">
      <c r="A51" s="88" t="s">
        <v>4235</v>
      </c>
      <c r="B51" s="6" t="s">
        <v>581</v>
      </c>
      <c r="C51" s="7" t="s">
        <v>569</v>
      </c>
      <c r="D51" s="8" t="s">
        <v>49</v>
      </c>
      <c r="E51" s="8" t="s">
        <v>50</v>
      </c>
      <c r="F51" s="9" t="s">
        <v>570</v>
      </c>
      <c r="G51" s="9" t="s">
        <v>571</v>
      </c>
      <c r="H51" s="10" t="s">
        <v>572</v>
      </c>
      <c r="I51" s="10" t="s">
        <v>140</v>
      </c>
      <c r="J51" s="7" t="s">
        <v>582</v>
      </c>
      <c r="K51" s="10" t="s">
        <v>55</v>
      </c>
      <c r="L51" s="9" t="s">
        <v>570</v>
      </c>
      <c r="M51" s="9" t="s">
        <v>571</v>
      </c>
      <c r="N51" s="10" t="s">
        <v>572</v>
      </c>
      <c r="O51" s="8" t="s">
        <v>140</v>
      </c>
      <c r="P51" s="8" t="s">
        <v>56</v>
      </c>
      <c r="Q51" s="10" t="s">
        <v>583</v>
      </c>
      <c r="R51" s="10" t="s">
        <v>584</v>
      </c>
      <c r="S51" s="10"/>
      <c r="T51" s="8" t="s">
        <v>73</v>
      </c>
      <c r="U51" s="11">
        <v>29221</v>
      </c>
      <c r="V51" s="12">
        <v>1980</v>
      </c>
      <c r="W51" s="13" t="s">
        <v>94</v>
      </c>
      <c r="X51" s="14">
        <v>1989</v>
      </c>
      <c r="Y51" s="13" t="s">
        <v>94</v>
      </c>
      <c r="Z51" s="13" t="s">
        <v>94</v>
      </c>
      <c r="AA51" s="13" t="s">
        <v>94</v>
      </c>
      <c r="AB51" s="13" t="s">
        <v>94</v>
      </c>
      <c r="AC51" s="13" t="s">
        <v>94</v>
      </c>
      <c r="AD51" s="13"/>
      <c r="AE51" s="27" t="s">
        <v>585</v>
      </c>
      <c r="AF51" s="8" t="s">
        <v>575</v>
      </c>
      <c r="AG51" s="16">
        <v>150000000</v>
      </c>
      <c r="AH51" s="16">
        <v>126692176.28</v>
      </c>
      <c r="AI51" s="16">
        <v>320499532.94</v>
      </c>
      <c r="AJ51" s="16" t="s">
        <v>76</v>
      </c>
      <c r="AK51" s="28" t="s">
        <v>94</v>
      </c>
      <c r="AL51" s="16" t="s">
        <v>94</v>
      </c>
      <c r="AM51" s="16" t="s">
        <v>94</v>
      </c>
      <c r="AN51" s="10" t="s">
        <v>64</v>
      </c>
      <c r="AO51" s="8" t="s">
        <v>3756</v>
      </c>
      <c r="AP51" s="43">
        <v>1250</v>
      </c>
      <c r="AQ51" s="15" t="s">
        <v>94</v>
      </c>
      <c r="AR51" s="8" t="s">
        <v>3765</v>
      </c>
      <c r="AS51" s="10" t="s">
        <v>3784</v>
      </c>
      <c r="AT51" s="10" t="s">
        <v>3795</v>
      </c>
      <c r="AU51" s="96" t="s">
        <v>586</v>
      </c>
      <c r="AV51" s="17" t="s">
        <v>587</v>
      </c>
      <c r="AW51" s="10"/>
      <c r="AX51" s="7" t="s">
        <v>3992</v>
      </c>
      <c r="AY51" s="10" t="s">
        <v>588</v>
      </c>
      <c r="AZ51" s="10" t="s">
        <v>589</v>
      </c>
      <c r="BA51" s="10" t="s">
        <v>590</v>
      </c>
      <c r="BB51" s="18"/>
      <c r="BC51" s="41" t="s">
        <v>591</v>
      </c>
    </row>
    <row r="52" spans="1:55" ht="70" customHeight="1" x14ac:dyDescent="0.2">
      <c r="A52" s="88" t="s">
        <v>4236</v>
      </c>
      <c r="B52" s="6" t="s">
        <v>592</v>
      </c>
      <c r="C52" s="7" t="s">
        <v>569</v>
      </c>
      <c r="D52" s="8" t="s">
        <v>49</v>
      </c>
      <c r="E52" s="8" t="s">
        <v>50</v>
      </c>
      <c r="F52" s="9" t="s">
        <v>570</v>
      </c>
      <c r="G52" s="9" t="s">
        <v>571</v>
      </c>
      <c r="H52" s="10" t="s">
        <v>572</v>
      </c>
      <c r="I52" s="10" t="s">
        <v>140</v>
      </c>
      <c r="J52" s="7" t="s">
        <v>593</v>
      </c>
      <c r="K52" s="10" t="s">
        <v>55</v>
      </c>
      <c r="L52" s="9" t="s">
        <v>570</v>
      </c>
      <c r="M52" s="9" t="s">
        <v>571</v>
      </c>
      <c r="N52" s="10" t="s">
        <v>572</v>
      </c>
      <c r="O52" s="8" t="s">
        <v>140</v>
      </c>
      <c r="P52" s="8" t="s">
        <v>56</v>
      </c>
      <c r="Q52" s="10" t="s">
        <v>594</v>
      </c>
      <c r="R52" s="10" t="s">
        <v>58</v>
      </c>
      <c r="S52" s="10"/>
      <c r="T52" s="8" t="s">
        <v>60</v>
      </c>
      <c r="U52" s="11">
        <v>19360</v>
      </c>
      <c r="V52" s="12">
        <v>1953</v>
      </c>
      <c r="W52" s="13">
        <v>35125</v>
      </c>
      <c r="X52" s="14">
        <v>1996</v>
      </c>
      <c r="Y52" s="13">
        <v>35065</v>
      </c>
      <c r="Z52" s="15">
        <v>1996</v>
      </c>
      <c r="AA52" s="13">
        <v>35431</v>
      </c>
      <c r="AB52" s="15">
        <v>1997</v>
      </c>
      <c r="AC52" s="14">
        <v>1</v>
      </c>
      <c r="AD52" s="15">
        <v>1996</v>
      </c>
      <c r="AE52" s="27"/>
      <c r="AF52" s="8" t="s">
        <v>575</v>
      </c>
      <c r="AG52" s="16">
        <v>10000000</v>
      </c>
      <c r="AH52" s="16">
        <v>7333950.3700000001</v>
      </c>
      <c r="AI52" s="16">
        <v>14662712.289999999</v>
      </c>
      <c r="AJ52" s="16" t="s">
        <v>76</v>
      </c>
      <c r="AK52" s="28">
        <v>2000000000</v>
      </c>
      <c r="AL52" s="16">
        <v>1466790073.1800001</v>
      </c>
      <c r="AM52" s="16">
        <v>2932542455.4899998</v>
      </c>
      <c r="AN52" s="10" t="s">
        <v>64</v>
      </c>
      <c r="AO52" s="8" t="s">
        <v>3757</v>
      </c>
      <c r="AP52" s="15">
        <v>87</v>
      </c>
      <c r="AQ52" s="15" t="s">
        <v>94</v>
      </c>
      <c r="AR52" s="8" t="s">
        <v>3765</v>
      </c>
      <c r="AS52" s="69" t="s">
        <v>3819</v>
      </c>
      <c r="AT52" s="10" t="s">
        <v>3795</v>
      </c>
      <c r="AU52" s="96"/>
      <c r="AV52" s="17" t="s">
        <v>3876</v>
      </c>
      <c r="AW52" s="10"/>
      <c r="AX52" s="7" t="s">
        <v>3993</v>
      </c>
      <c r="AY52" s="10" t="s">
        <v>595</v>
      </c>
      <c r="AZ52" s="10" t="s">
        <v>596</v>
      </c>
      <c r="BA52" s="10" t="s">
        <v>597</v>
      </c>
      <c r="BB52" s="18" t="s">
        <v>598</v>
      </c>
      <c r="BC52" s="41" t="s">
        <v>599</v>
      </c>
    </row>
    <row r="53" spans="1:55" ht="70" customHeight="1" x14ac:dyDescent="0.2">
      <c r="A53" s="88" t="s">
        <v>4237</v>
      </c>
      <c r="B53" s="6" t="s">
        <v>600</v>
      </c>
      <c r="C53" s="7" t="s">
        <v>601</v>
      </c>
      <c r="D53" s="8" t="s">
        <v>49</v>
      </c>
      <c r="E53" s="8" t="s">
        <v>50</v>
      </c>
      <c r="F53" s="9" t="s">
        <v>570</v>
      </c>
      <c r="G53" s="9" t="s">
        <v>571</v>
      </c>
      <c r="H53" s="10" t="s">
        <v>572</v>
      </c>
      <c r="I53" s="10" t="s">
        <v>140</v>
      </c>
      <c r="J53" s="7" t="s">
        <v>602</v>
      </c>
      <c r="K53" s="10" t="s">
        <v>55</v>
      </c>
      <c r="L53" s="9" t="s">
        <v>570</v>
      </c>
      <c r="M53" s="9" t="s">
        <v>571</v>
      </c>
      <c r="N53" s="10" t="s">
        <v>572</v>
      </c>
      <c r="O53" s="8" t="s">
        <v>140</v>
      </c>
      <c r="P53" s="8" t="s">
        <v>56</v>
      </c>
      <c r="Q53" s="10" t="s">
        <v>583</v>
      </c>
      <c r="R53" s="10" t="s">
        <v>584</v>
      </c>
      <c r="S53" s="10"/>
      <c r="T53" s="8" t="s">
        <v>73</v>
      </c>
      <c r="U53" s="11">
        <v>29221</v>
      </c>
      <c r="V53" s="12">
        <v>1980</v>
      </c>
      <c r="W53" s="13" t="s">
        <v>94</v>
      </c>
      <c r="X53" s="14">
        <v>1998</v>
      </c>
      <c r="Y53" s="13">
        <v>36161</v>
      </c>
      <c r="Z53" s="14">
        <v>1999</v>
      </c>
      <c r="AA53" s="13">
        <v>44927</v>
      </c>
      <c r="AB53" s="14">
        <v>2023</v>
      </c>
      <c r="AC53" s="14">
        <v>24</v>
      </c>
      <c r="AD53" s="15">
        <v>2023</v>
      </c>
      <c r="AE53" s="27"/>
      <c r="AF53" s="8" t="s">
        <v>575</v>
      </c>
      <c r="AG53" s="28">
        <v>1325000000</v>
      </c>
      <c r="AH53" s="16">
        <v>981547906.25</v>
      </c>
      <c r="AI53" s="16">
        <v>1010498064.22</v>
      </c>
      <c r="AJ53" s="16" t="s">
        <v>63</v>
      </c>
      <c r="AK53" s="28">
        <v>1325000000</v>
      </c>
      <c r="AL53" s="16">
        <v>981547906.25</v>
      </c>
      <c r="AM53" s="16">
        <v>1010498064.22</v>
      </c>
      <c r="AN53" s="10" t="s">
        <v>64</v>
      </c>
      <c r="AO53" s="8" t="s">
        <v>3756</v>
      </c>
      <c r="AP53" s="43">
        <v>15273</v>
      </c>
      <c r="AQ53" s="43">
        <v>15273</v>
      </c>
      <c r="AR53" s="10" t="s">
        <v>3774</v>
      </c>
      <c r="AS53" s="10" t="s">
        <v>3807</v>
      </c>
      <c r="AT53" s="10" t="s">
        <v>3795</v>
      </c>
      <c r="AU53" s="96" t="s">
        <v>586</v>
      </c>
      <c r="AV53" s="17" t="s">
        <v>587</v>
      </c>
      <c r="AW53" s="10"/>
      <c r="AX53" s="7" t="s">
        <v>603</v>
      </c>
      <c r="AY53" s="10" t="s">
        <v>604</v>
      </c>
      <c r="AZ53" s="10" t="s">
        <v>605</v>
      </c>
      <c r="BA53" s="10" t="s">
        <v>606</v>
      </c>
      <c r="BB53" s="18" t="s">
        <v>607</v>
      </c>
      <c r="BC53" s="41" t="s">
        <v>608</v>
      </c>
    </row>
    <row r="54" spans="1:55" ht="70" customHeight="1" x14ac:dyDescent="0.2">
      <c r="A54" s="88" t="s">
        <v>4238</v>
      </c>
      <c r="B54" s="6" t="s">
        <v>609</v>
      </c>
      <c r="C54" s="7" t="s">
        <v>569</v>
      </c>
      <c r="D54" s="8" t="s">
        <v>49</v>
      </c>
      <c r="E54" s="8" t="s">
        <v>50</v>
      </c>
      <c r="F54" s="9" t="s">
        <v>570</v>
      </c>
      <c r="G54" s="9" t="s">
        <v>571</v>
      </c>
      <c r="H54" s="10" t="s">
        <v>572</v>
      </c>
      <c r="I54" s="10" t="s">
        <v>140</v>
      </c>
      <c r="J54" s="7" t="s">
        <v>610</v>
      </c>
      <c r="K54" s="10" t="s">
        <v>55</v>
      </c>
      <c r="L54" s="9" t="s">
        <v>570</v>
      </c>
      <c r="M54" s="9" t="s">
        <v>571</v>
      </c>
      <c r="N54" s="10" t="s">
        <v>572</v>
      </c>
      <c r="O54" s="8" t="s">
        <v>140</v>
      </c>
      <c r="P54" s="8" t="s">
        <v>56</v>
      </c>
      <c r="Q54" s="10" t="s">
        <v>611</v>
      </c>
      <c r="R54" s="10" t="s">
        <v>162</v>
      </c>
      <c r="S54" s="10" t="s">
        <v>163</v>
      </c>
      <c r="T54" s="8" t="s">
        <v>60</v>
      </c>
      <c r="U54" s="11" t="s">
        <v>612</v>
      </c>
      <c r="V54" s="12">
        <v>1857</v>
      </c>
      <c r="W54" s="13">
        <v>35885</v>
      </c>
      <c r="X54" s="14">
        <v>1998</v>
      </c>
      <c r="Y54" s="13">
        <v>35796</v>
      </c>
      <c r="Z54" s="15">
        <v>1998</v>
      </c>
      <c r="AA54" s="13">
        <v>41640</v>
      </c>
      <c r="AB54" s="15">
        <v>2014</v>
      </c>
      <c r="AC54" s="15">
        <v>16</v>
      </c>
      <c r="AD54" s="15">
        <v>2014</v>
      </c>
      <c r="AE54" s="27" t="s">
        <v>613</v>
      </c>
      <c r="AF54" s="8" t="s">
        <v>575</v>
      </c>
      <c r="AG54" s="28">
        <v>537146681</v>
      </c>
      <c r="AH54" s="16">
        <v>486216859.27999997</v>
      </c>
      <c r="AI54" s="16">
        <v>644265681.48000002</v>
      </c>
      <c r="AJ54" s="16" t="s">
        <v>76</v>
      </c>
      <c r="AK54" s="28">
        <v>537146681</v>
      </c>
      <c r="AL54" s="16">
        <v>486216859.27999997</v>
      </c>
      <c r="AM54" s="16">
        <v>644265681.48000002</v>
      </c>
      <c r="AN54" s="10" t="s">
        <v>149</v>
      </c>
      <c r="AO54" s="8" t="s">
        <v>150</v>
      </c>
      <c r="AP54" s="15" t="s">
        <v>151</v>
      </c>
      <c r="AQ54" s="15" t="s">
        <v>151</v>
      </c>
      <c r="AR54" s="8" t="s">
        <v>3765</v>
      </c>
      <c r="AS54" s="10" t="s">
        <v>3811</v>
      </c>
      <c r="AT54" s="10" t="s">
        <v>614</v>
      </c>
      <c r="AU54" s="96"/>
      <c r="AV54" s="17" t="s">
        <v>3877</v>
      </c>
      <c r="AW54" s="10" t="s">
        <v>3950</v>
      </c>
      <c r="AX54" s="7" t="s">
        <v>3994</v>
      </c>
      <c r="AY54" s="10" t="s">
        <v>616</v>
      </c>
      <c r="AZ54" s="10" t="s">
        <v>617</v>
      </c>
      <c r="BA54" s="10" t="s">
        <v>618</v>
      </c>
      <c r="BB54" s="18" t="s">
        <v>619</v>
      </c>
      <c r="BC54" s="41" t="s">
        <v>620</v>
      </c>
    </row>
    <row r="55" spans="1:55" ht="70" customHeight="1" x14ac:dyDescent="0.2">
      <c r="A55" s="88" t="s">
        <v>4239</v>
      </c>
      <c r="B55" s="6" t="s">
        <v>621</v>
      </c>
      <c r="C55" s="7" t="s">
        <v>622</v>
      </c>
      <c r="D55" s="8" t="s">
        <v>49</v>
      </c>
      <c r="E55" s="8" t="s">
        <v>50</v>
      </c>
      <c r="F55" s="9" t="s">
        <v>570</v>
      </c>
      <c r="G55" s="9" t="s">
        <v>571</v>
      </c>
      <c r="H55" s="10" t="s">
        <v>572</v>
      </c>
      <c r="I55" s="10" t="s">
        <v>140</v>
      </c>
      <c r="J55" s="7" t="s">
        <v>623</v>
      </c>
      <c r="K55" s="10" t="s">
        <v>55</v>
      </c>
      <c r="L55" s="9" t="s">
        <v>570</v>
      </c>
      <c r="M55" s="9" t="s">
        <v>571</v>
      </c>
      <c r="N55" s="10" t="s">
        <v>572</v>
      </c>
      <c r="O55" s="8" t="s">
        <v>140</v>
      </c>
      <c r="P55" s="8" t="s">
        <v>56</v>
      </c>
      <c r="Q55" s="10" t="s">
        <v>624</v>
      </c>
      <c r="R55" s="10" t="s">
        <v>163</v>
      </c>
      <c r="S55" s="10"/>
      <c r="T55" s="8" t="s">
        <v>60</v>
      </c>
      <c r="U55" s="11">
        <v>12785</v>
      </c>
      <c r="V55" s="12">
        <v>1935</v>
      </c>
      <c r="W55" s="13">
        <v>36223</v>
      </c>
      <c r="X55" s="14">
        <v>1999</v>
      </c>
      <c r="Y55" s="28" t="s">
        <v>384</v>
      </c>
      <c r="Z55" s="28" t="s">
        <v>384</v>
      </c>
      <c r="AA55" s="28" t="s">
        <v>384</v>
      </c>
      <c r="AB55" s="28" t="s">
        <v>384</v>
      </c>
      <c r="AC55" s="13" t="s">
        <v>94</v>
      </c>
      <c r="AD55" s="14"/>
      <c r="AE55" s="27"/>
      <c r="AF55" s="8" t="s">
        <v>575</v>
      </c>
      <c r="AG55" s="16">
        <v>3300000</v>
      </c>
      <c r="AH55" s="16">
        <v>2221168</v>
      </c>
      <c r="AI55" s="16">
        <v>4182208.7</v>
      </c>
      <c r="AJ55" s="16" t="s">
        <v>76</v>
      </c>
      <c r="AK55" s="28" t="s">
        <v>384</v>
      </c>
      <c r="AL55" s="28" t="s">
        <v>384</v>
      </c>
      <c r="AM55" s="28" t="s">
        <v>384</v>
      </c>
      <c r="AN55" s="10" t="s">
        <v>149</v>
      </c>
      <c r="AO55" s="8" t="s">
        <v>3756</v>
      </c>
      <c r="AP55" s="43">
        <v>3000</v>
      </c>
      <c r="AQ55" s="15">
        <v>0</v>
      </c>
      <c r="AR55" s="8" t="s">
        <v>3765</v>
      </c>
      <c r="AS55" s="10" t="s">
        <v>292</v>
      </c>
      <c r="AT55" s="10" t="s">
        <v>3795</v>
      </c>
      <c r="AU55" s="96" t="s">
        <v>586</v>
      </c>
      <c r="AV55" s="17" t="s">
        <v>625</v>
      </c>
      <c r="AW55" s="10" t="s">
        <v>626</v>
      </c>
      <c r="AX55" s="7" t="s">
        <v>3995</v>
      </c>
      <c r="AY55" s="10" t="s">
        <v>627</v>
      </c>
      <c r="AZ55" s="10" t="s">
        <v>4112</v>
      </c>
      <c r="BA55" s="10" t="s">
        <v>628</v>
      </c>
      <c r="BB55" s="18" t="s">
        <v>629</v>
      </c>
      <c r="BC55" s="41" t="s">
        <v>630</v>
      </c>
    </row>
    <row r="56" spans="1:55" ht="70" customHeight="1" x14ac:dyDescent="0.2">
      <c r="A56" s="88" t="s">
        <v>4240</v>
      </c>
      <c r="B56" s="6" t="s">
        <v>631</v>
      </c>
      <c r="C56" s="7" t="s">
        <v>622</v>
      </c>
      <c r="D56" s="8" t="s">
        <v>49</v>
      </c>
      <c r="E56" s="8" t="s">
        <v>50</v>
      </c>
      <c r="F56" s="9" t="s">
        <v>570</v>
      </c>
      <c r="G56" s="9" t="s">
        <v>571</v>
      </c>
      <c r="H56" s="10" t="s">
        <v>572</v>
      </c>
      <c r="I56" s="10" t="s">
        <v>140</v>
      </c>
      <c r="J56" s="7" t="s">
        <v>623</v>
      </c>
      <c r="K56" s="10" t="s">
        <v>55</v>
      </c>
      <c r="L56" s="9" t="s">
        <v>570</v>
      </c>
      <c r="M56" s="9" t="s">
        <v>571</v>
      </c>
      <c r="N56" s="10" t="s">
        <v>572</v>
      </c>
      <c r="O56" s="8" t="s">
        <v>140</v>
      </c>
      <c r="P56" s="8" t="s">
        <v>56</v>
      </c>
      <c r="Q56" s="10" t="s">
        <v>624</v>
      </c>
      <c r="R56" s="10" t="s">
        <v>163</v>
      </c>
      <c r="S56" s="10"/>
      <c r="T56" s="8" t="s">
        <v>60</v>
      </c>
      <c r="U56" s="11">
        <v>12785</v>
      </c>
      <c r="V56" s="12">
        <v>1935</v>
      </c>
      <c r="W56" s="13">
        <v>37072</v>
      </c>
      <c r="X56" s="14">
        <v>2001</v>
      </c>
      <c r="Y56" s="13">
        <v>36892</v>
      </c>
      <c r="Z56" s="14">
        <v>2001</v>
      </c>
      <c r="AA56" s="13">
        <v>38718</v>
      </c>
      <c r="AB56" s="14">
        <v>2006</v>
      </c>
      <c r="AC56" s="15">
        <v>5</v>
      </c>
      <c r="AD56" s="15">
        <v>2001</v>
      </c>
      <c r="AE56" s="27"/>
      <c r="AF56" s="8" t="s">
        <v>575</v>
      </c>
      <c r="AG56" s="16">
        <v>26000000</v>
      </c>
      <c r="AH56" s="16">
        <v>16786757.030000001</v>
      </c>
      <c r="AI56" s="16">
        <v>29733602.629999999</v>
      </c>
      <c r="AJ56" s="16" t="s">
        <v>63</v>
      </c>
      <c r="AK56" s="16">
        <v>26000000</v>
      </c>
      <c r="AL56" s="16">
        <v>16786757.030000001</v>
      </c>
      <c r="AM56" s="16">
        <v>29733602.629999999</v>
      </c>
      <c r="AN56" s="10" t="s">
        <v>64</v>
      </c>
      <c r="AO56" s="8" t="s">
        <v>3756</v>
      </c>
      <c r="AP56" s="43">
        <v>1000</v>
      </c>
      <c r="AQ56" s="43">
        <v>1000</v>
      </c>
      <c r="AR56" s="8" t="s">
        <v>3765</v>
      </c>
      <c r="AS56" s="10" t="s">
        <v>3781</v>
      </c>
      <c r="AT56" s="10" t="s">
        <v>3795</v>
      </c>
      <c r="AU56" s="96" t="s">
        <v>586</v>
      </c>
      <c r="AV56" s="17" t="s">
        <v>632</v>
      </c>
      <c r="AW56" s="10"/>
      <c r="AX56" s="7" t="s">
        <v>3995</v>
      </c>
      <c r="AY56" s="10" t="s">
        <v>633</v>
      </c>
      <c r="AZ56" s="10" t="s">
        <v>634</v>
      </c>
      <c r="BA56" s="10" t="s">
        <v>635</v>
      </c>
      <c r="BB56" s="18" t="s">
        <v>181</v>
      </c>
      <c r="BC56" s="41" t="s">
        <v>636</v>
      </c>
    </row>
    <row r="57" spans="1:55" ht="70" customHeight="1" x14ac:dyDescent="0.2">
      <c r="A57" s="88" t="s">
        <v>4241</v>
      </c>
      <c r="B57" s="6" t="s">
        <v>637</v>
      </c>
      <c r="C57" s="7" t="s">
        <v>569</v>
      </c>
      <c r="D57" s="8" t="s">
        <v>49</v>
      </c>
      <c r="E57" s="8" t="s">
        <v>50</v>
      </c>
      <c r="F57" s="9" t="s">
        <v>570</v>
      </c>
      <c r="G57" s="9" t="s">
        <v>571</v>
      </c>
      <c r="H57" s="10" t="s">
        <v>572</v>
      </c>
      <c r="I57" s="10" t="s">
        <v>140</v>
      </c>
      <c r="J57" s="7" t="s">
        <v>638</v>
      </c>
      <c r="K57" s="10" t="s">
        <v>55</v>
      </c>
      <c r="L57" s="9" t="s">
        <v>570</v>
      </c>
      <c r="M57" s="9" t="s">
        <v>571</v>
      </c>
      <c r="N57" s="10" t="s">
        <v>572</v>
      </c>
      <c r="O57" s="8" t="s">
        <v>140</v>
      </c>
      <c r="P57" s="8" t="s">
        <v>56</v>
      </c>
      <c r="Q57" s="10" t="s">
        <v>639</v>
      </c>
      <c r="R57" s="10" t="s">
        <v>584</v>
      </c>
      <c r="S57" s="10"/>
      <c r="T57" s="8" t="s">
        <v>60</v>
      </c>
      <c r="U57" s="11">
        <v>14977</v>
      </c>
      <c r="V57" s="12">
        <v>1941</v>
      </c>
      <c r="W57" s="13">
        <v>38036</v>
      </c>
      <c r="X57" s="14">
        <v>2004</v>
      </c>
      <c r="Y57" s="13">
        <v>38036</v>
      </c>
      <c r="Z57" s="15">
        <v>2004</v>
      </c>
      <c r="AA57" s="13" t="s">
        <v>94</v>
      </c>
      <c r="AB57" s="13" t="s">
        <v>94</v>
      </c>
      <c r="AC57" s="13" t="s">
        <v>94</v>
      </c>
      <c r="AD57" s="13"/>
      <c r="AE57" s="27"/>
      <c r="AF57" s="8" t="s">
        <v>575</v>
      </c>
      <c r="AG57" s="16">
        <v>50000000</v>
      </c>
      <c r="AH57" s="16">
        <v>38423658.789999999</v>
      </c>
      <c r="AI57" s="16">
        <v>63806665.439999998</v>
      </c>
      <c r="AJ57" s="16" t="s">
        <v>76</v>
      </c>
      <c r="AK57" s="28" t="s">
        <v>94</v>
      </c>
      <c r="AL57" s="16" t="s">
        <v>94</v>
      </c>
      <c r="AM57" s="16" t="s">
        <v>94</v>
      </c>
      <c r="AN57" s="10" t="s">
        <v>64</v>
      </c>
      <c r="AO57" s="8" t="s">
        <v>3757</v>
      </c>
      <c r="AP57" s="43">
        <v>3500</v>
      </c>
      <c r="AQ57" s="15" t="s">
        <v>94</v>
      </c>
      <c r="AR57" s="8" t="s">
        <v>3765</v>
      </c>
      <c r="AS57" s="69" t="s">
        <v>3819</v>
      </c>
      <c r="AT57" s="10" t="s">
        <v>3795</v>
      </c>
      <c r="AU57" s="96" t="s">
        <v>586</v>
      </c>
      <c r="AV57" s="17" t="s">
        <v>3878</v>
      </c>
      <c r="AW57" s="10" t="s">
        <v>640</v>
      </c>
      <c r="AX57" s="7" t="s">
        <v>641</v>
      </c>
      <c r="AY57" s="10" t="s">
        <v>642</v>
      </c>
      <c r="AZ57" s="10" t="s">
        <v>643</v>
      </c>
      <c r="BA57" s="10" t="s">
        <v>644</v>
      </c>
      <c r="BB57" s="18"/>
      <c r="BC57" s="41" t="s">
        <v>645</v>
      </c>
    </row>
    <row r="58" spans="1:55" ht="70" customHeight="1" x14ac:dyDescent="0.2">
      <c r="A58" s="88" t="s">
        <v>4242</v>
      </c>
      <c r="B58" s="6" t="s">
        <v>646</v>
      </c>
      <c r="C58" s="7" t="s">
        <v>569</v>
      </c>
      <c r="D58" s="8" t="s">
        <v>49</v>
      </c>
      <c r="E58" s="8" t="s">
        <v>50</v>
      </c>
      <c r="F58" s="9" t="s">
        <v>570</v>
      </c>
      <c r="G58" s="9" t="s">
        <v>571</v>
      </c>
      <c r="H58" s="10" t="s">
        <v>572</v>
      </c>
      <c r="I58" s="10" t="s">
        <v>140</v>
      </c>
      <c r="J58" s="7" t="s">
        <v>647</v>
      </c>
      <c r="K58" s="10" t="s">
        <v>55</v>
      </c>
      <c r="L58" s="30" t="s">
        <v>2042</v>
      </c>
      <c r="M58" s="30" t="s">
        <v>537</v>
      </c>
      <c r="N58" s="30" t="s">
        <v>4185</v>
      </c>
      <c r="O58" s="30" t="s">
        <v>4185</v>
      </c>
      <c r="P58" s="8" t="s">
        <v>56</v>
      </c>
      <c r="Q58" s="10" t="s">
        <v>648</v>
      </c>
      <c r="R58" s="10" t="s">
        <v>177</v>
      </c>
      <c r="S58" s="10"/>
      <c r="T58" s="8" t="s">
        <v>60</v>
      </c>
      <c r="U58" s="11" t="s">
        <v>649</v>
      </c>
      <c r="V58" s="12">
        <v>1867</v>
      </c>
      <c r="W58" s="13" t="s">
        <v>94</v>
      </c>
      <c r="X58" s="14">
        <v>2005</v>
      </c>
      <c r="Y58" s="13">
        <v>38353</v>
      </c>
      <c r="Z58" s="15">
        <v>2005</v>
      </c>
      <c r="AA58" s="13" t="s">
        <v>94</v>
      </c>
      <c r="AB58" s="13" t="s">
        <v>94</v>
      </c>
      <c r="AC58" s="13" t="s">
        <v>94</v>
      </c>
      <c r="AD58" s="14"/>
      <c r="AE58" s="27" t="s">
        <v>650</v>
      </c>
      <c r="AF58" s="8" t="s">
        <v>575</v>
      </c>
      <c r="AG58" s="16">
        <v>25000000</v>
      </c>
      <c r="AH58" s="16">
        <v>20637191.719999999</v>
      </c>
      <c r="AI58" s="16">
        <v>33147260.800000001</v>
      </c>
      <c r="AJ58" s="16" t="s">
        <v>76</v>
      </c>
      <c r="AK58" s="28" t="s">
        <v>94</v>
      </c>
      <c r="AL58" s="16" t="s">
        <v>94</v>
      </c>
      <c r="AM58" s="16" t="s">
        <v>94</v>
      </c>
      <c r="AN58" s="10" t="s">
        <v>149</v>
      </c>
      <c r="AO58" s="8" t="s">
        <v>150</v>
      </c>
      <c r="AP58" s="15" t="s">
        <v>151</v>
      </c>
      <c r="AQ58" s="15" t="s">
        <v>151</v>
      </c>
      <c r="AR58" s="8" t="s">
        <v>3765</v>
      </c>
      <c r="AS58" s="10" t="s">
        <v>3776</v>
      </c>
      <c r="AT58" s="10" t="s">
        <v>3795</v>
      </c>
      <c r="AU58" s="96"/>
      <c r="AV58" s="17" t="s">
        <v>3879</v>
      </c>
      <c r="AW58" s="10"/>
      <c r="AX58" s="7" t="s">
        <v>651</v>
      </c>
      <c r="AY58" s="10"/>
      <c r="AZ58" s="10"/>
      <c r="BA58" s="10" t="s">
        <v>652</v>
      </c>
      <c r="BB58" s="18" t="s">
        <v>653</v>
      </c>
      <c r="BC58" s="41" t="s">
        <v>654</v>
      </c>
    </row>
    <row r="59" spans="1:55" ht="70" customHeight="1" x14ac:dyDescent="0.2">
      <c r="A59" s="88" t="s">
        <v>4243</v>
      </c>
      <c r="B59" s="6" t="s">
        <v>655</v>
      </c>
      <c r="C59" s="7" t="s">
        <v>569</v>
      </c>
      <c r="D59" s="8" t="s">
        <v>49</v>
      </c>
      <c r="E59" s="8" t="s">
        <v>50</v>
      </c>
      <c r="F59" s="9" t="s">
        <v>570</v>
      </c>
      <c r="G59" s="9" t="s">
        <v>571</v>
      </c>
      <c r="H59" s="10" t="s">
        <v>572</v>
      </c>
      <c r="I59" s="10" t="s">
        <v>140</v>
      </c>
      <c r="J59" s="7" t="s">
        <v>647</v>
      </c>
      <c r="K59" s="10" t="s">
        <v>55</v>
      </c>
      <c r="L59" s="30" t="s">
        <v>2042</v>
      </c>
      <c r="M59" s="30" t="s">
        <v>537</v>
      </c>
      <c r="N59" s="30" t="s">
        <v>4185</v>
      </c>
      <c r="O59" s="30" t="s">
        <v>4185</v>
      </c>
      <c r="P59" s="8" t="s">
        <v>56</v>
      </c>
      <c r="Q59" s="10" t="s">
        <v>648</v>
      </c>
      <c r="R59" s="10" t="s">
        <v>177</v>
      </c>
      <c r="S59" s="18"/>
      <c r="T59" s="8" t="s">
        <v>60</v>
      </c>
      <c r="U59" s="11" t="s">
        <v>649</v>
      </c>
      <c r="V59" s="12">
        <v>1867</v>
      </c>
      <c r="W59" s="13" t="s">
        <v>94</v>
      </c>
      <c r="X59" s="14">
        <v>2005</v>
      </c>
      <c r="Y59" s="13">
        <v>38353</v>
      </c>
      <c r="Z59" s="15">
        <v>2005</v>
      </c>
      <c r="AA59" s="13">
        <v>40179</v>
      </c>
      <c r="AB59" s="14">
        <v>2010</v>
      </c>
      <c r="AC59" s="40">
        <v>5</v>
      </c>
      <c r="AD59" s="15">
        <v>2005</v>
      </c>
      <c r="AE59" s="27" t="s">
        <v>656</v>
      </c>
      <c r="AF59" s="8" t="s">
        <v>575</v>
      </c>
      <c r="AG59" s="16">
        <v>109600000</v>
      </c>
      <c r="AH59" s="16">
        <v>90473448.480000004</v>
      </c>
      <c r="AI59" s="16">
        <v>145317591.30000001</v>
      </c>
      <c r="AJ59" s="16" t="s">
        <v>76</v>
      </c>
      <c r="AK59" s="16">
        <v>109600000</v>
      </c>
      <c r="AL59" s="16">
        <v>90473448.480000004</v>
      </c>
      <c r="AM59" s="16">
        <v>145317591.30000001</v>
      </c>
      <c r="AN59" s="10" t="s">
        <v>149</v>
      </c>
      <c r="AO59" s="8" t="s">
        <v>150</v>
      </c>
      <c r="AP59" s="15" t="s">
        <v>151</v>
      </c>
      <c r="AQ59" s="15" t="s">
        <v>151</v>
      </c>
      <c r="AR59" s="8" t="s">
        <v>3765</v>
      </c>
      <c r="AS59" s="10" t="s">
        <v>3776</v>
      </c>
      <c r="AT59" s="10" t="s">
        <v>3795</v>
      </c>
      <c r="AU59" s="98"/>
      <c r="AV59" s="17" t="s">
        <v>657</v>
      </c>
      <c r="AW59" s="10" t="s">
        <v>569</v>
      </c>
      <c r="AX59" s="7" t="s">
        <v>651</v>
      </c>
      <c r="AY59" s="10" t="s">
        <v>658</v>
      </c>
      <c r="AZ59" s="18" t="s">
        <v>659</v>
      </c>
      <c r="BA59" s="10" t="s">
        <v>660</v>
      </c>
      <c r="BB59" s="18" t="s">
        <v>157</v>
      </c>
      <c r="BC59" s="41" t="s">
        <v>654</v>
      </c>
    </row>
    <row r="60" spans="1:55" ht="70" customHeight="1" x14ac:dyDescent="0.2">
      <c r="A60" s="88" t="s">
        <v>4244</v>
      </c>
      <c r="B60" s="6" t="s">
        <v>661</v>
      </c>
      <c r="C60" s="7" t="s">
        <v>662</v>
      </c>
      <c r="D60" s="8" t="s">
        <v>49</v>
      </c>
      <c r="E60" s="8" t="s">
        <v>50</v>
      </c>
      <c r="F60" s="9" t="s">
        <v>570</v>
      </c>
      <c r="G60" s="9" t="s">
        <v>571</v>
      </c>
      <c r="H60" s="10" t="s">
        <v>572</v>
      </c>
      <c r="I60" s="10" t="s">
        <v>140</v>
      </c>
      <c r="J60" s="7" t="s">
        <v>663</v>
      </c>
      <c r="K60" s="10" t="s">
        <v>55</v>
      </c>
      <c r="L60" s="9" t="s">
        <v>570</v>
      </c>
      <c r="M60" s="9" t="s">
        <v>571</v>
      </c>
      <c r="N60" s="10" t="s">
        <v>572</v>
      </c>
      <c r="O60" s="8" t="s">
        <v>140</v>
      </c>
      <c r="P60" s="8" t="s">
        <v>56</v>
      </c>
      <c r="Q60" s="10" t="s">
        <v>664</v>
      </c>
      <c r="R60" s="10" t="s">
        <v>58</v>
      </c>
      <c r="S60" s="10"/>
      <c r="T60" s="8" t="s">
        <v>60</v>
      </c>
      <c r="U60" s="11">
        <v>20455</v>
      </c>
      <c r="V60" s="12">
        <v>1956</v>
      </c>
      <c r="W60" s="13">
        <v>38374</v>
      </c>
      <c r="X60" s="14">
        <v>2005</v>
      </c>
      <c r="Y60" s="13">
        <v>38353</v>
      </c>
      <c r="Z60" s="15">
        <v>2005</v>
      </c>
      <c r="AA60" s="13">
        <v>38353</v>
      </c>
      <c r="AB60" s="15">
        <v>2005</v>
      </c>
      <c r="AC60" s="15">
        <v>0</v>
      </c>
      <c r="AD60" s="15">
        <v>2005</v>
      </c>
      <c r="AE60" s="27"/>
      <c r="AF60" s="8" t="s">
        <v>575</v>
      </c>
      <c r="AG60" s="16">
        <v>130000000</v>
      </c>
      <c r="AH60" s="16">
        <v>107313396.93000001</v>
      </c>
      <c r="AI60" s="16">
        <v>172365756.12</v>
      </c>
      <c r="AJ60" s="16" t="s">
        <v>76</v>
      </c>
      <c r="AK60" s="28">
        <v>130000000</v>
      </c>
      <c r="AL60" s="16">
        <v>107313396.93000001</v>
      </c>
      <c r="AM60" s="16">
        <v>172365756.12</v>
      </c>
      <c r="AN60" s="54" t="s">
        <v>3755</v>
      </c>
      <c r="AO60" s="8" t="s">
        <v>3756</v>
      </c>
      <c r="AP60" s="43">
        <v>2000</v>
      </c>
      <c r="AQ60" s="15" t="s">
        <v>94</v>
      </c>
      <c r="AR60" s="8" t="s">
        <v>3769</v>
      </c>
      <c r="AS60" s="10" t="s">
        <v>3776</v>
      </c>
      <c r="AT60" s="10" t="s">
        <v>3795</v>
      </c>
      <c r="AU60" s="96"/>
      <c r="AV60" s="17" t="s">
        <v>665</v>
      </c>
      <c r="AW60" s="10"/>
      <c r="AX60" s="7" t="s">
        <v>641</v>
      </c>
      <c r="AY60" s="10" t="s">
        <v>666</v>
      </c>
      <c r="AZ60" s="18" t="s">
        <v>667</v>
      </c>
      <c r="BA60" s="10" t="s">
        <v>668</v>
      </c>
      <c r="BB60" s="18"/>
      <c r="BC60" s="41" t="s">
        <v>669</v>
      </c>
    </row>
    <row r="61" spans="1:55" ht="70" customHeight="1" x14ac:dyDescent="0.2">
      <c r="A61" s="88" t="s">
        <v>4245</v>
      </c>
      <c r="B61" s="6" t="s">
        <v>670</v>
      </c>
      <c r="C61" s="7" t="s">
        <v>671</v>
      </c>
      <c r="D61" s="10" t="s">
        <v>672</v>
      </c>
      <c r="E61" s="10" t="s">
        <v>280</v>
      </c>
      <c r="F61" s="9" t="s">
        <v>570</v>
      </c>
      <c r="G61" s="9" t="s">
        <v>571</v>
      </c>
      <c r="H61" s="10" t="s">
        <v>572</v>
      </c>
      <c r="I61" s="10" t="s">
        <v>140</v>
      </c>
      <c r="J61" s="7" t="s">
        <v>673</v>
      </c>
      <c r="K61" s="10" t="s">
        <v>55</v>
      </c>
      <c r="L61" s="9" t="s">
        <v>570</v>
      </c>
      <c r="M61" s="9" t="s">
        <v>571</v>
      </c>
      <c r="N61" s="10" t="s">
        <v>572</v>
      </c>
      <c r="O61" s="8" t="s">
        <v>140</v>
      </c>
      <c r="P61" s="8" t="s">
        <v>56</v>
      </c>
      <c r="Q61" s="10" t="s">
        <v>583</v>
      </c>
      <c r="R61" s="10" t="s">
        <v>584</v>
      </c>
      <c r="S61" s="10"/>
      <c r="T61" s="8" t="s">
        <v>73</v>
      </c>
      <c r="U61" s="11">
        <v>29221</v>
      </c>
      <c r="V61" s="12">
        <v>1980</v>
      </c>
      <c r="W61" s="13">
        <v>38502</v>
      </c>
      <c r="X61" s="14">
        <v>2005</v>
      </c>
      <c r="Y61" s="13">
        <v>38353</v>
      </c>
      <c r="Z61" s="14">
        <v>2005</v>
      </c>
      <c r="AA61" s="13">
        <v>38353</v>
      </c>
      <c r="AB61" s="14">
        <v>2005</v>
      </c>
      <c r="AC61" s="15">
        <v>0</v>
      </c>
      <c r="AD61" s="15">
        <v>2005</v>
      </c>
      <c r="AE61" s="27"/>
      <c r="AF61" s="8" t="s">
        <v>575</v>
      </c>
      <c r="AG61" s="16">
        <v>1500000</v>
      </c>
      <c r="AH61" s="16">
        <v>1238231.5</v>
      </c>
      <c r="AI61" s="16">
        <v>1988835.64</v>
      </c>
      <c r="AJ61" s="16" t="s">
        <v>76</v>
      </c>
      <c r="AK61" s="28">
        <v>1500000</v>
      </c>
      <c r="AL61" s="16">
        <v>1238231.5</v>
      </c>
      <c r="AM61" s="16">
        <v>1988835.64</v>
      </c>
      <c r="AN61" s="54" t="s">
        <v>3755</v>
      </c>
      <c r="AO61" s="8" t="s">
        <v>3757</v>
      </c>
      <c r="AP61" s="15" t="s">
        <v>94</v>
      </c>
      <c r="AQ61" s="15" t="s">
        <v>94</v>
      </c>
      <c r="AR61" s="8" t="s">
        <v>3773</v>
      </c>
      <c r="AS61" s="10" t="s">
        <v>3811</v>
      </c>
      <c r="AT61" s="10" t="s">
        <v>674</v>
      </c>
      <c r="AU61" s="96" t="s">
        <v>675</v>
      </c>
      <c r="AV61" s="17" t="s">
        <v>676</v>
      </c>
      <c r="AW61" s="10" t="s">
        <v>671</v>
      </c>
      <c r="AX61" s="7" t="s">
        <v>615</v>
      </c>
      <c r="AY61" s="10" t="s">
        <v>677</v>
      </c>
      <c r="AZ61" s="10" t="s">
        <v>4113</v>
      </c>
      <c r="BA61" s="10" t="s">
        <v>678</v>
      </c>
      <c r="BB61" s="18" t="s">
        <v>679</v>
      </c>
      <c r="BC61" s="41" t="s">
        <v>680</v>
      </c>
    </row>
    <row r="62" spans="1:55" ht="70" customHeight="1" x14ac:dyDescent="0.2">
      <c r="A62" s="88" t="s">
        <v>4246</v>
      </c>
      <c r="B62" s="6" t="s">
        <v>681</v>
      </c>
      <c r="C62" s="7" t="s">
        <v>671</v>
      </c>
      <c r="D62" s="10" t="s">
        <v>672</v>
      </c>
      <c r="E62" s="10" t="s">
        <v>280</v>
      </c>
      <c r="F62" s="9" t="s">
        <v>570</v>
      </c>
      <c r="G62" s="9" t="s">
        <v>571</v>
      </c>
      <c r="H62" s="10" t="s">
        <v>572</v>
      </c>
      <c r="I62" s="10" t="s">
        <v>140</v>
      </c>
      <c r="J62" s="7" t="s">
        <v>673</v>
      </c>
      <c r="K62" s="10" t="s">
        <v>55</v>
      </c>
      <c r="L62" s="9" t="s">
        <v>570</v>
      </c>
      <c r="M62" s="9" t="s">
        <v>571</v>
      </c>
      <c r="N62" s="10" t="s">
        <v>572</v>
      </c>
      <c r="O62" s="8" t="s">
        <v>140</v>
      </c>
      <c r="P62" s="8" t="s">
        <v>56</v>
      </c>
      <c r="Q62" s="10" t="s">
        <v>583</v>
      </c>
      <c r="R62" s="10" t="s">
        <v>584</v>
      </c>
      <c r="S62" s="10"/>
      <c r="T62" s="8" t="s">
        <v>73</v>
      </c>
      <c r="U62" s="11">
        <v>29221</v>
      </c>
      <c r="V62" s="12">
        <v>1980</v>
      </c>
      <c r="W62" s="13">
        <v>38502</v>
      </c>
      <c r="X62" s="14">
        <v>2005</v>
      </c>
      <c r="Y62" s="13">
        <v>38353</v>
      </c>
      <c r="Z62" s="14">
        <v>2005</v>
      </c>
      <c r="AA62" s="13">
        <v>38353</v>
      </c>
      <c r="AB62" s="14">
        <v>2005</v>
      </c>
      <c r="AC62" s="15">
        <v>0</v>
      </c>
      <c r="AD62" s="15">
        <v>2005</v>
      </c>
      <c r="AE62" s="27"/>
      <c r="AF62" s="8" t="s">
        <v>575</v>
      </c>
      <c r="AG62" s="16">
        <v>70000000</v>
      </c>
      <c r="AH62" s="16">
        <v>57784136.810000002</v>
      </c>
      <c r="AI62" s="16">
        <v>92812330.219999999</v>
      </c>
      <c r="AJ62" s="16" t="s">
        <v>76</v>
      </c>
      <c r="AK62" s="28">
        <v>70000000</v>
      </c>
      <c r="AL62" s="16">
        <v>57784136.810000002</v>
      </c>
      <c r="AM62" s="16">
        <v>92812330.219999999</v>
      </c>
      <c r="AN62" s="10" t="s">
        <v>64</v>
      </c>
      <c r="AO62" s="8" t="s">
        <v>3756</v>
      </c>
      <c r="AP62" s="15" t="s">
        <v>94</v>
      </c>
      <c r="AQ62" s="15" t="s">
        <v>94</v>
      </c>
      <c r="AR62" s="8" t="s">
        <v>3773</v>
      </c>
      <c r="AS62" s="10" t="s">
        <v>3781</v>
      </c>
      <c r="AT62" s="10" t="s">
        <v>3795</v>
      </c>
      <c r="AU62" s="96" t="s">
        <v>586</v>
      </c>
      <c r="AV62" s="17" t="s">
        <v>676</v>
      </c>
      <c r="AW62" s="10" t="s">
        <v>671</v>
      </c>
      <c r="AX62" s="7"/>
      <c r="AY62" s="10" t="s">
        <v>682</v>
      </c>
      <c r="AZ62" s="10" t="s">
        <v>4114</v>
      </c>
      <c r="BA62" s="10" t="s">
        <v>683</v>
      </c>
      <c r="BB62" s="18" t="s">
        <v>679</v>
      </c>
      <c r="BC62" s="41" t="s">
        <v>684</v>
      </c>
    </row>
    <row r="63" spans="1:55" ht="70" customHeight="1" x14ac:dyDescent="0.2">
      <c r="A63" s="88" t="s">
        <v>4247</v>
      </c>
      <c r="B63" s="6" t="s">
        <v>685</v>
      </c>
      <c r="C63" s="7" t="s">
        <v>569</v>
      </c>
      <c r="D63" s="8" t="s">
        <v>49</v>
      </c>
      <c r="E63" s="8" t="s">
        <v>50</v>
      </c>
      <c r="F63" s="9" t="s">
        <v>570</v>
      </c>
      <c r="G63" s="9" t="s">
        <v>571</v>
      </c>
      <c r="H63" s="10" t="s">
        <v>572</v>
      </c>
      <c r="I63" s="10" t="s">
        <v>140</v>
      </c>
      <c r="J63" s="7" t="s">
        <v>686</v>
      </c>
      <c r="K63" s="10" t="s">
        <v>55</v>
      </c>
      <c r="L63" s="30" t="s">
        <v>2042</v>
      </c>
      <c r="M63" s="30" t="s">
        <v>537</v>
      </c>
      <c r="N63" s="30" t="s">
        <v>4185</v>
      </c>
      <c r="O63" s="30" t="s">
        <v>4185</v>
      </c>
      <c r="P63" s="8" t="s">
        <v>144</v>
      </c>
      <c r="Q63" s="10" t="s">
        <v>687</v>
      </c>
      <c r="R63" s="10" t="s">
        <v>72</v>
      </c>
      <c r="S63" s="10"/>
      <c r="T63" s="8" t="s">
        <v>73</v>
      </c>
      <c r="U63" s="11">
        <v>5323</v>
      </c>
      <c r="V63" s="12">
        <v>1914</v>
      </c>
      <c r="W63" s="13">
        <v>38588</v>
      </c>
      <c r="X63" s="14">
        <v>2005</v>
      </c>
      <c r="Y63" s="13" t="s">
        <v>94</v>
      </c>
      <c r="Z63" s="13" t="s">
        <v>94</v>
      </c>
      <c r="AA63" s="13" t="s">
        <v>94</v>
      </c>
      <c r="AB63" s="13" t="s">
        <v>94</v>
      </c>
      <c r="AC63" s="13" t="s">
        <v>94</v>
      </c>
      <c r="AD63" s="13"/>
      <c r="AE63" s="27"/>
      <c r="AF63" s="8" t="s">
        <v>575</v>
      </c>
      <c r="AG63" s="16">
        <v>2500000</v>
      </c>
      <c r="AH63" s="16">
        <v>2063719.17</v>
      </c>
      <c r="AI63" s="16">
        <v>3314726.08</v>
      </c>
      <c r="AJ63" s="16" t="s">
        <v>76</v>
      </c>
      <c r="AK63" s="28" t="s">
        <v>94</v>
      </c>
      <c r="AL63" s="16" t="s">
        <v>94</v>
      </c>
      <c r="AM63" s="16" t="s">
        <v>94</v>
      </c>
      <c r="AN63" s="10" t="s">
        <v>149</v>
      </c>
      <c r="AO63" s="8" t="s">
        <v>150</v>
      </c>
      <c r="AP63" s="15" t="s">
        <v>151</v>
      </c>
      <c r="AQ63" s="15" t="s">
        <v>151</v>
      </c>
      <c r="AR63" s="8" t="s">
        <v>3765</v>
      </c>
      <c r="AS63" s="10" t="s">
        <v>3776</v>
      </c>
      <c r="AT63" s="10" t="s">
        <v>3795</v>
      </c>
      <c r="AU63" s="96"/>
      <c r="AV63" s="17" t="s">
        <v>688</v>
      </c>
      <c r="AW63" s="10"/>
      <c r="AX63" s="7" t="s">
        <v>641</v>
      </c>
      <c r="AY63" s="10" t="s">
        <v>689</v>
      </c>
      <c r="AZ63" s="10" t="s">
        <v>690</v>
      </c>
      <c r="BA63" s="10" t="s">
        <v>691</v>
      </c>
      <c r="BB63" s="18"/>
      <c r="BC63" s="41" t="s">
        <v>692</v>
      </c>
    </row>
    <row r="64" spans="1:55" ht="70" customHeight="1" x14ac:dyDescent="0.2">
      <c r="A64" s="88" t="s">
        <v>4248</v>
      </c>
      <c r="B64" s="6" t="s">
        <v>693</v>
      </c>
      <c r="C64" s="7" t="s">
        <v>569</v>
      </c>
      <c r="D64" s="8" t="s">
        <v>49</v>
      </c>
      <c r="E64" s="8" t="s">
        <v>50</v>
      </c>
      <c r="F64" s="9" t="s">
        <v>570</v>
      </c>
      <c r="G64" s="9" t="s">
        <v>571</v>
      </c>
      <c r="H64" s="10" t="s">
        <v>572</v>
      </c>
      <c r="I64" s="10" t="s">
        <v>140</v>
      </c>
      <c r="J64" s="7" t="s">
        <v>694</v>
      </c>
      <c r="K64" s="10" t="s">
        <v>55</v>
      </c>
      <c r="L64" s="9" t="s">
        <v>570</v>
      </c>
      <c r="M64" s="9" t="s">
        <v>571</v>
      </c>
      <c r="N64" s="10" t="s">
        <v>572</v>
      </c>
      <c r="O64" s="8" t="s">
        <v>140</v>
      </c>
      <c r="P64" s="8" t="s">
        <v>56</v>
      </c>
      <c r="Q64" s="10" t="s">
        <v>695</v>
      </c>
      <c r="R64" s="10" t="s">
        <v>162</v>
      </c>
      <c r="S64" s="10" t="s">
        <v>163</v>
      </c>
      <c r="T64" s="8" t="s">
        <v>60</v>
      </c>
      <c r="U64" s="11" t="s">
        <v>696</v>
      </c>
      <c r="V64" s="12">
        <v>1500</v>
      </c>
      <c r="W64" s="13">
        <v>38681</v>
      </c>
      <c r="X64" s="14">
        <v>2005</v>
      </c>
      <c r="Y64" s="28" t="s">
        <v>384</v>
      </c>
      <c r="Z64" s="28" t="s">
        <v>384</v>
      </c>
      <c r="AA64" s="28" t="s">
        <v>384</v>
      </c>
      <c r="AB64" s="28" t="s">
        <v>384</v>
      </c>
      <c r="AC64" s="13" t="s">
        <v>94</v>
      </c>
      <c r="AD64" s="15"/>
      <c r="AE64" s="27"/>
      <c r="AF64" s="8" t="s">
        <v>575</v>
      </c>
      <c r="AG64" s="16">
        <v>5000000000</v>
      </c>
      <c r="AH64" s="16">
        <v>4127438343.2800002</v>
      </c>
      <c r="AI64" s="16">
        <v>6629452158.04</v>
      </c>
      <c r="AJ64" s="16" t="s">
        <v>76</v>
      </c>
      <c r="AK64" s="28" t="s">
        <v>384</v>
      </c>
      <c r="AL64" s="28" t="s">
        <v>384</v>
      </c>
      <c r="AM64" s="28" t="s">
        <v>384</v>
      </c>
      <c r="AN64" s="10" t="s">
        <v>149</v>
      </c>
      <c r="AO64" s="8" t="s">
        <v>150</v>
      </c>
      <c r="AP64" s="15" t="s">
        <v>151</v>
      </c>
      <c r="AQ64" s="15" t="s">
        <v>151</v>
      </c>
      <c r="AR64" s="8" t="s">
        <v>3765</v>
      </c>
      <c r="AS64" s="10" t="s">
        <v>3776</v>
      </c>
      <c r="AT64" s="10" t="s">
        <v>3795</v>
      </c>
      <c r="AU64" s="96"/>
      <c r="AV64" s="17" t="s">
        <v>697</v>
      </c>
      <c r="AW64" s="10"/>
      <c r="AX64" s="7" t="s">
        <v>3996</v>
      </c>
      <c r="AY64" s="10" t="s">
        <v>698</v>
      </c>
      <c r="AZ64" s="10" t="s">
        <v>699</v>
      </c>
      <c r="BA64" s="10" t="s">
        <v>700</v>
      </c>
      <c r="BB64" s="18"/>
      <c r="BC64" s="41" t="s">
        <v>701</v>
      </c>
    </row>
    <row r="65" spans="1:55" ht="70" customHeight="1" x14ac:dyDescent="0.2">
      <c r="A65" s="88" t="s">
        <v>4249</v>
      </c>
      <c r="B65" s="6" t="s">
        <v>702</v>
      </c>
      <c r="C65" s="7" t="s">
        <v>703</v>
      </c>
      <c r="D65" s="10" t="s">
        <v>192</v>
      </c>
      <c r="E65" s="8" t="s">
        <v>337</v>
      </c>
      <c r="F65" s="9" t="s">
        <v>570</v>
      </c>
      <c r="G65" s="9" t="s">
        <v>571</v>
      </c>
      <c r="H65" s="10" t="s">
        <v>572</v>
      </c>
      <c r="I65" s="10" t="s">
        <v>140</v>
      </c>
      <c r="J65" s="7" t="s">
        <v>694</v>
      </c>
      <c r="K65" s="10" t="s">
        <v>55</v>
      </c>
      <c r="L65" s="9" t="s">
        <v>570</v>
      </c>
      <c r="M65" s="9" t="s">
        <v>571</v>
      </c>
      <c r="N65" s="10" t="s">
        <v>572</v>
      </c>
      <c r="O65" s="8" t="s">
        <v>140</v>
      </c>
      <c r="P65" s="8" t="s">
        <v>56</v>
      </c>
      <c r="Q65" s="10" t="s">
        <v>704</v>
      </c>
      <c r="R65" s="10" t="s">
        <v>162</v>
      </c>
      <c r="S65" s="10" t="s">
        <v>163</v>
      </c>
      <c r="T65" s="8" t="s">
        <v>60</v>
      </c>
      <c r="U65" s="11" t="s">
        <v>612</v>
      </c>
      <c r="V65" s="12">
        <v>1857</v>
      </c>
      <c r="W65" s="13">
        <v>38847</v>
      </c>
      <c r="X65" s="14">
        <v>2006</v>
      </c>
      <c r="Y65" s="13">
        <v>39344</v>
      </c>
      <c r="Z65" s="15">
        <v>2007</v>
      </c>
      <c r="AA65" s="13">
        <v>42460</v>
      </c>
      <c r="AB65" s="15">
        <v>2016</v>
      </c>
      <c r="AC65" s="15">
        <v>9</v>
      </c>
      <c r="AD65" s="15">
        <v>2016</v>
      </c>
      <c r="AE65" s="27"/>
      <c r="AF65" s="8" t="s">
        <v>575</v>
      </c>
      <c r="AG65" s="16">
        <v>1900000000</v>
      </c>
      <c r="AH65" s="16">
        <v>1674975831.1800001</v>
      </c>
      <c r="AI65" s="16">
        <v>2606257408.27</v>
      </c>
      <c r="AJ65" s="16" t="s">
        <v>76</v>
      </c>
      <c r="AK65" s="28">
        <v>1622422106</v>
      </c>
      <c r="AL65" s="16">
        <v>1223901287.77</v>
      </c>
      <c r="AM65" s="16">
        <v>1599638223.3</v>
      </c>
      <c r="AN65" s="10" t="s">
        <v>64</v>
      </c>
      <c r="AO65" s="8" t="s">
        <v>3756</v>
      </c>
      <c r="AP65" s="43">
        <v>79309</v>
      </c>
      <c r="AQ65" s="43">
        <v>79309</v>
      </c>
      <c r="AR65" s="10" t="s">
        <v>3775</v>
      </c>
      <c r="AS65" s="10" t="s">
        <v>3781</v>
      </c>
      <c r="AT65" s="10" t="s">
        <v>3795</v>
      </c>
      <c r="AU65" s="96"/>
      <c r="AV65" s="17" t="s">
        <v>705</v>
      </c>
      <c r="AW65" s="10" t="s">
        <v>569</v>
      </c>
      <c r="AX65" s="7" t="s">
        <v>3997</v>
      </c>
      <c r="AY65" s="10" t="s">
        <v>706</v>
      </c>
      <c r="AZ65" s="10" t="s">
        <v>707</v>
      </c>
      <c r="BA65" s="10" t="s">
        <v>708</v>
      </c>
      <c r="BB65" s="18" t="s">
        <v>709</v>
      </c>
      <c r="BC65" s="41" t="s">
        <v>710</v>
      </c>
    </row>
    <row r="66" spans="1:55" ht="70" customHeight="1" x14ac:dyDescent="0.2">
      <c r="A66" s="88" t="s">
        <v>4250</v>
      </c>
      <c r="B66" s="6" t="s">
        <v>711</v>
      </c>
      <c r="C66" s="7" t="s">
        <v>703</v>
      </c>
      <c r="D66" s="10" t="s">
        <v>192</v>
      </c>
      <c r="E66" s="8" t="s">
        <v>337</v>
      </c>
      <c r="F66" s="9" t="s">
        <v>570</v>
      </c>
      <c r="G66" s="9" t="s">
        <v>571</v>
      </c>
      <c r="H66" s="10" t="s">
        <v>572</v>
      </c>
      <c r="I66" s="10" t="s">
        <v>140</v>
      </c>
      <c r="J66" s="7" t="s">
        <v>694</v>
      </c>
      <c r="K66" s="10" t="s">
        <v>55</v>
      </c>
      <c r="L66" s="9" t="s">
        <v>570</v>
      </c>
      <c r="M66" s="9" t="s">
        <v>571</v>
      </c>
      <c r="N66" s="10" t="s">
        <v>572</v>
      </c>
      <c r="O66" s="8" t="s">
        <v>140</v>
      </c>
      <c r="P66" s="8" t="s">
        <v>56</v>
      </c>
      <c r="Q66" s="10" t="s">
        <v>704</v>
      </c>
      <c r="R66" s="10" t="s">
        <v>162</v>
      </c>
      <c r="S66" s="10" t="s">
        <v>163</v>
      </c>
      <c r="T66" s="8" t="s">
        <v>60</v>
      </c>
      <c r="U66" s="11" t="s">
        <v>612</v>
      </c>
      <c r="V66" s="12">
        <v>1857</v>
      </c>
      <c r="W66" s="13">
        <v>38847</v>
      </c>
      <c r="X66" s="14">
        <v>2006</v>
      </c>
      <c r="Y66" s="13">
        <v>39344</v>
      </c>
      <c r="Z66" s="15">
        <v>2007</v>
      </c>
      <c r="AA66" s="13">
        <v>43555</v>
      </c>
      <c r="AB66" s="15">
        <v>2019</v>
      </c>
      <c r="AC66" s="15">
        <v>12</v>
      </c>
      <c r="AD66" s="15">
        <v>2019</v>
      </c>
      <c r="AE66" s="27"/>
      <c r="AF66" s="8" t="s">
        <v>575</v>
      </c>
      <c r="AG66" s="28">
        <v>3180000000</v>
      </c>
      <c r="AH66" s="16">
        <v>2396756035.6399999</v>
      </c>
      <c r="AI66" s="16">
        <v>2940799602.8400002</v>
      </c>
      <c r="AJ66" s="16" t="s">
        <v>76</v>
      </c>
      <c r="AK66" s="28">
        <v>3180000000</v>
      </c>
      <c r="AL66" s="16">
        <v>2396756035.6399999</v>
      </c>
      <c r="AM66" s="16">
        <v>2940799602.8400002</v>
      </c>
      <c r="AN66" s="10" t="s">
        <v>64</v>
      </c>
      <c r="AO66" s="8" t="s">
        <v>3756</v>
      </c>
      <c r="AP66" s="43">
        <v>38178</v>
      </c>
      <c r="AQ66" s="43">
        <v>38178</v>
      </c>
      <c r="AR66" s="8" t="s">
        <v>3769</v>
      </c>
      <c r="AS66" s="10" t="s">
        <v>3781</v>
      </c>
      <c r="AT66" s="10" t="s">
        <v>3795</v>
      </c>
      <c r="AU66" s="96"/>
      <c r="AV66" s="17" t="s">
        <v>712</v>
      </c>
      <c r="AW66" s="10" t="s">
        <v>569</v>
      </c>
      <c r="AX66" s="7"/>
      <c r="AY66" s="10" t="s">
        <v>713</v>
      </c>
      <c r="AZ66" s="10" t="s">
        <v>714</v>
      </c>
      <c r="BA66" s="10" t="s">
        <v>715</v>
      </c>
      <c r="BB66" s="18" t="s">
        <v>716</v>
      </c>
      <c r="BC66" s="41" t="s">
        <v>717</v>
      </c>
    </row>
    <row r="67" spans="1:55" ht="70" customHeight="1" x14ac:dyDescent="0.2">
      <c r="A67" s="88" t="s">
        <v>4251</v>
      </c>
      <c r="B67" s="6" t="s">
        <v>718</v>
      </c>
      <c r="C67" s="7" t="s">
        <v>569</v>
      </c>
      <c r="D67" s="8" t="s">
        <v>49</v>
      </c>
      <c r="E67" s="8" t="s">
        <v>50</v>
      </c>
      <c r="F67" s="9" t="s">
        <v>570</v>
      </c>
      <c r="G67" s="9" t="s">
        <v>571</v>
      </c>
      <c r="H67" s="10" t="s">
        <v>572</v>
      </c>
      <c r="I67" s="10" t="s">
        <v>140</v>
      </c>
      <c r="J67" s="7" t="s">
        <v>719</v>
      </c>
      <c r="K67" s="10" t="s">
        <v>55</v>
      </c>
      <c r="L67" s="9" t="s">
        <v>570</v>
      </c>
      <c r="M67" s="9" t="s">
        <v>571</v>
      </c>
      <c r="N67" s="10" t="s">
        <v>572</v>
      </c>
      <c r="O67" s="8" t="s">
        <v>140</v>
      </c>
      <c r="P67" s="8" t="s">
        <v>56</v>
      </c>
      <c r="Q67" s="10" t="s">
        <v>720</v>
      </c>
      <c r="R67" s="10" t="s">
        <v>177</v>
      </c>
      <c r="S67" s="10" t="s">
        <v>59</v>
      </c>
      <c r="T67" s="8" t="s">
        <v>60</v>
      </c>
      <c r="U67" s="11" t="s">
        <v>721</v>
      </c>
      <c r="V67" s="12">
        <v>1885</v>
      </c>
      <c r="W67" s="13">
        <v>38890</v>
      </c>
      <c r="X67" s="14">
        <v>2006</v>
      </c>
      <c r="Y67" s="13">
        <v>38718</v>
      </c>
      <c r="Z67" s="15">
        <v>2006</v>
      </c>
      <c r="AA67" s="13">
        <v>38718</v>
      </c>
      <c r="AB67" s="15">
        <v>2006</v>
      </c>
      <c r="AC67" s="15">
        <v>0</v>
      </c>
      <c r="AD67" s="15">
        <v>2006</v>
      </c>
      <c r="AE67" s="27"/>
      <c r="AF67" s="8" t="s">
        <v>575</v>
      </c>
      <c r="AG67" s="16">
        <v>52000000</v>
      </c>
      <c r="AH67" s="16">
        <v>45841443.799999997</v>
      </c>
      <c r="AI67" s="16">
        <v>71329150.120000005</v>
      </c>
      <c r="AJ67" s="16" t="s">
        <v>63</v>
      </c>
      <c r="AK67" s="16">
        <v>52000000</v>
      </c>
      <c r="AL67" s="16">
        <v>45841443.799999997</v>
      </c>
      <c r="AM67" s="16">
        <v>71329150.120000005</v>
      </c>
      <c r="AN67" s="54" t="s">
        <v>3755</v>
      </c>
      <c r="AO67" s="8" t="s">
        <v>3757</v>
      </c>
      <c r="AP67" s="15">
        <v>400</v>
      </c>
      <c r="AQ67" s="15">
        <v>400</v>
      </c>
      <c r="AR67" s="8" t="s">
        <v>3765</v>
      </c>
      <c r="AS67" s="10" t="s">
        <v>3813</v>
      </c>
      <c r="AT67" s="10" t="s">
        <v>3795</v>
      </c>
      <c r="AU67" s="96"/>
      <c r="AV67" s="17" t="s">
        <v>3880</v>
      </c>
      <c r="AW67" s="10" t="s">
        <v>569</v>
      </c>
      <c r="AX67" s="7" t="s">
        <v>3998</v>
      </c>
      <c r="AY67" s="10" t="s">
        <v>722</v>
      </c>
      <c r="AZ67" s="10" t="s">
        <v>723</v>
      </c>
      <c r="BA67" s="10" t="s">
        <v>724</v>
      </c>
      <c r="BB67" s="18" t="s">
        <v>725</v>
      </c>
      <c r="BC67" s="41" t="s">
        <v>726</v>
      </c>
    </row>
    <row r="68" spans="1:55" ht="70" customHeight="1" x14ac:dyDescent="0.2">
      <c r="A68" s="88" t="s">
        <v>4252</v>
      </c>
      <c r="B68" s="6" t="s">
        <v>727</v>
      </c>
      <c r="C68" s="7" t="s">
        <v>569</v>
      </c>
      <c r="D68" s="8" t="s">
        <v>49</v>
      </c>
      <c r="E68" s="8" t="s">
        <v>50</v>
      </c>
      <c r="F68" s="9" t="s">
        <v>570</v>
      </c>
      <c r="G68" s="9" t="s">
        <v>571</v>
      </c>
      <c r="H68" s="10" t="s">
        <v>572</v>
      </c>
      <c r="I68" s="10" t="s">
        <v>140</v>
      </c>
      <c r="J68" s="7" t="s">
        <v>728</v>
      </c>
      <c r="K68" s="10" t="s">
        <v>55</v>
      </c>
      <c r="L68" s="9" t="s">
        <v>570</v>
      </c>
      <c r="M68" s="9" t="s">
        <v>571</v>
      </c>
      <c r="N68" s="10" t="s">
        <v>572</v>
      </c>
      <c r="O68" s="8" t="s">
        <v>140</v>
      </c>
      <c r="P68" s="8" t="s">
        <v>56</v>
      </c>
      <c r="Q68" s="10" t="s">
        <v>583</v>
      </c>
      <c r="R68" s="10" t="s">
        <v>584</v>
      </c>
      <c r="S68" s="10"/>
      <c r="T68" s="8" t="s">
        <v>73</v>
      </c>
      <c r="U68" s="11">
        <v>29221</v>
      </c>
      <c r="V68" s="12">
        <v>1980</v>
      </c>
      <c r="W68" s="13">
        <v>38923</v>
      </c>
      <c r="X68" s="14">
        <v>2006</v>
      </c>
      <c r="Y68" s="13">
        <v>39083</v>
      </c>
      <c r="Z68" s="14">
        <v>2007</v>
      </c>
      <c r="AA68" s="13">
        <v>44562</v>
      </c>
      <c r="AB68" s="14">
        <v>2022</v>
      </c>
      <c r="AC68" s="15">
        <v>15</v>
      </c>
      <c r="AD68" s="15">
        <v>2007</v>
      </c>
      <c r="AE68" s="27"/>
      <c r="AF68" s="8" t="s">
        <v>575</v>
      </c>
      <c r="AG68" s="16">
        <v>1000000000</v>
      </c>
      <c r="AH68" s="16">
        <v>881566226.94000006</v>
      </c>
      <c r="AI68" s="16">
        <v>1371714425.4100001</v>
      </c>
      <c r="AJ68" s="16" t="s">
        <v>76</v>
      </c>
      <c r="AK68" s="28">
        <v>999975000</v>
      </c>
      <c r="AL68" s="16">
        <v>931035870.20000005</v>
      </c>
      <c r="AM68" s="16">
        <v>1408569952.48</v>
      </c>
      <c r="AN68" s="10" t="s">
        <v>64</v>
      </c>
      <c r="AO68" s="8" t="s">
        <v>3756</v>
      </c>
      <c r="AP68" s="43">
        <v>5500</v>
      </c>
      <c r="AQ68" s="15" t="s">
        <v>94</v>
      </c>
      <c r="AR68" s="10" t="s">
        <v>3774</v>
      </c>
      <c r="AS68" s="10" t="s">
        <v>3819</v>
      </c>
      <c r="AT68" s="10" t="s">
        <v>3795</v>
      </c>
      <c r="AU68" s="96" t="s">
        <v>586</v>
      </c>
      <c r="AV68" s="17" t="s">
        <v>729</v>
      </c>
      <c r="AW68" s="10" t="s">
        <v>569</v>
      </c>
      <c r="AX68" s="7" t="s">
        <v>3999</v>
      </c>
      <c r="AY68" s="10" t="s">
        <v>730</v>
      </c>
      <c r="AZ68" s="10" t="s">
        <v>731</v>
      </c>
      <c r="BA68" s="10" t="s">
        <v>732</v>
      </c>
      <c r="BB68" s="18" t="s">
        <v>157</v>
      </c>
      <c r="BC68" s="41" t="s">
        <v>733</v>
      </c>
    </row>
    <row r="69" spans="1:55" ht="70" customHeight="1" x14ac:dyDescent="0.2">
      <c r="A69" s="88" t="s">
        <v>4253</v>
      </c>
      <c r="B69" s="6" t="s">
        <v>734</v>
      </c>
      <c r="C69" s="7" t="s">
        <v>622</v>
      </c>
      <c r="D69" s="8" t="s">
        <v>49</v>
      </c>
      <c r="E69" s="8" t="s">
        <v>50</v>
      </c>
      <c r="F69" s="9" t="s">
        <v>570</v>
      </c>
      <c r="G69" s="9" t="s">
        <v>571</v>
      </c>
      <c r="H69" s="10" t="s">
        <v>572</v>
      </c>
      <c r="I69" s="10" t="s">
        <v>140</v>
      </c>
      <c r="J69" s="7" t="s">
        <v>623</v>
      </c>
      <c r="K69" s="10" t="s">
        <v>55</v>
      </c>
      <c r="L69" s="9" t="s">
        <v>570</v>
      </c>
      <c r="M69" s="9" t="s">
        <v>571</v>
      </c>
      <c r="N69" s="10" t="s">
        <v>572</v>
      </c>
      <c r="O69" s="8" t="s">
        <v>140</v>
      </c>
      <c r="P69" s="8" t="s">
        <v>56</v>
      </c>
      <c r="Q69" s="10" t="s">
        <v>624</v>
      </c>
      <c r="R69" s="10" t="s">
        <v>163</v>
      </c>
      <c r="S69" s="10"/>
      <c r="T69" s="8" t="s">
        <v>60</v>
      </c>
      <c r="U69" s="11">
        <v>12785</v>
      </c>
      <c r="V69" s="12">
        <v>1935</v>
      </c>
      <c r="W69" s="13">
        <v>39072</v>
      </c>
      <c r="X69" s="14">
        <v>2006</v>
      </c>
      <c r="Y69" s="13" t="s">
        <v>94</v>
      </c>
      <c r="Z69" s="13" t="s">
        <v>94</v>
      </c>
      <c r="AA69" s="13" t="s">
        <v>94</v>
      </c>
      <c r="AB69" s="13" t="s">
        <v>94</v>
      </c>
      <c r="AC69" s="13" t="s">
        <v>94</v>
      </c>
      <c r="AD69" s="13"/>
      <c r="AE69" s="27"/>
      <c r="AF69" s="8" t="s">
        <v>575</v>
      </c>
      <c r="AG69" s="16">
        <v>26000000</v>
      </c>
      <c r="AH69" s="16">
        <v>22920721.899999999</v>
      </c>
      <c r="AI69" s="16">
        <v>35664575.060000002</v>
      </c>
      <c r="AJ69" s="16" t="s">
        <v>76</v>
      </c>
      <c r="AK69" s="28" t="s">
        <v>94</v>
      </c>
      <c r="AL69" s="28" t="s">
        <v>94</v>
      </c>
      <c r="AM69" s="28" t="s">
        <v>94</v>
      </c>
      <c r="AN69" s="10" t="s">
        <v>64</v>
      </c>
      <c r="AO69" s="8" t="s">
        <v>3756</v>
      </c>
      <c r="AP69" s="43">
        <v>1270</v>
      </c>
      <c r="AQ69" s="15" t="s">
        <v>94</v>
      </c>
      <c r="AR69" s="8" t="s">
        <v>3765</v>
      </c>
      <c r="AS69" s="10" t="s">
        <v>3781</v>
      </c>
      <c r="AT69" s="10" t="s">
        <v>3795</v>
      </c>
      <c r="AU69" s="96"/>
      <c r="AV69" s="17" t="s">
        <v>632</v>
      </c>
      <c r="AW69" s="10"/>
      <c r="AX69" s="7" t="s">
        <v>4000</v>
      </c>
      <c r="AY69" s="10" t="s">
        <v>735</v>
      </c>
      <c r="AZ69" s="10" t="s">
        <v>736</v>
      </c>
      <c r="BA69" s="10" t="s">
        <v>737</v>
      </c>
      <c r="BB69" s="18"/>
      <c r="BC69" s="41" t="s">
        <v>636</v>
      </c>
    </row>
    <row r="70" spans="1:55" ht="69" customHeight="1" x14ac:dyDescent="0.2">
      <c r="A70" s="88" t="s">
        <v>4254</v>
      </c>
      <c r="B70" s="6" t="s">
        <v>738</v>
      </c>
      <c r="C70" s="7" t="s">
        <v>569</v>
      </c>
      <c r="D70" s="8" t="s">
        <v>49</v>
      </c>
      <c r="E70" s="8" t="s">
        <v>50</v>
      </c>
      <c r="F70" s="9" t="s">
        <v>570</v>
      </c>
      <c r="G70" s="9" t="s">
        <v>571</v>
      </c>
      <c r="H70" s="10" t="s">
        <v>572</v>
      </c>
      <c r="I70" s="10" t="s">
        <v>140</v>
      </c>
      <c r="J70" s="7" t="s">
        <v>739</v>
      </c>
      <c r="K70" s="10" t="s">
        <v>55</v>
      </c>
      <c r="L70" s="9" t="s">
        <v>570</v>
      </c>
      <c r="M70" s="9" t="s">
        <v>571</v>
      </c>
      <c r="N70" s="10" t="s">
        <v>572</v>
      </c>
      <c r="O70" s="8" t="s">
        <v>140</v>
      </c>
      <c r="P70" s="8" t="s">
        <v>56</v>
      </c>
      <c r="Q70" s="10" t="s">
        <v>740</v>
      </c>
      <c r="R70" s="10" t="s">
        <v>72</v>
      </c>
      <c r="S70" s="10"/>
      <c r="T70" s="8" t="s">
        <v>60</v>
      </c>
      <c r="U70" s="11">
        <v>37500</v>
      </c>
      <c r="V70" s="12">
        <v>2002</v>
      </c>
      <c r="W70" s="13">
        <v>39108</v>
      </c>
      <c r="X70" s="14">
        <v>2007</v>
      </c>
      <c r="Y70" s="13">
        <v>39108</v>
      </c>
      <c r="Z70" s="15">
        <v>2007</v>
      </c>
      <c r="AA70" s="13">
        <v>39108</v>
      </c>
      <c r="AB70" s="15">
        <v>2007</v>
      </c>
      <c r="AC70" s="15">
        <v>0</v>
      </c>
      <c r="AD70" s="15">
        <v>2007</v>
      </c>
      <c r="AE70" s="27"/>
      <c r="AF70" s="8" t="s">
        <v>575</v>
      </c>
      <c r="AG70" s="16">
        <v>11500000</v>
      </c>
      <c r="AH70" s="16">
        <v>10707180.189999999</v>
      </c>
      <c r="AI70" s="16">
        <v>16198959.43</v>
      </c>
      <c r="AJ70" s="16" t="s">
        <v>76</v>
      </c>
      <c r="AK70" s="28">
        <v>11500000</v>
      </c>
      <c r="AL70" s="16">
        <v>10707180.189999999</v>
      </c>
      <c r="AM70" s="16">
        <v>16198959.43</v>
      </c>
      <c r="AN70" s="10" t="s">
        <v>64</v>
      </c>
      <c r="AO70" s="8" t="s">
        <v>3756</v>
      </c>
      <c r="AP70" s="15">
        <v>1</v>
      </c>
      <c r="AQ70" s="15">
        <v>1</v>
      </c>
      <c r="AR70" s="8" t="s">
        <v>3765</v>
      </c>
      <c r="AS70" s="10" t="s">
        <v>3781</v>
      </c>
      <c r="AT70" s="10" t="s">
        <v>3795</v>
      </c>
      <c r="AU70" s="96"/>
      <c r="AV70" s="17" t="s">
        <v>3881</v>
      </c>
      <c r="AW70" s="10"/>
      <c r="AX70" s="7" t="s">
        <v>4001</v>
      </c>
      <c r="AY70" s="10" t="s">
        <v>741</v>
      </c>
      <c r="AZ70" s="10" t="s">
        <v>4115</v>
      </c>
      <c r="BA70" s="10" t="s">
        <v>742</v>
      </c>
      <c r="BB70" s="18"/>
      <c r="BC70" s="41" t="s">
        <v>743</v>
      </c>
    </row>
    <row r="71" spans="1:55" ht="70" customHeight="1" x14ac:dyDescent="0.2">
      <c r="A71" s="88" t="s">
        <v>4255</v>
      </c>
      <c r="B71" s="6" t="s">
        <v>744</v>
      </c>
      <c r="C71" s="7" t="s">
        <v>569</v>
      </c>
      <c r="D71" s="8" t="s">
        <v>49</v>
      </c>
      <c r="E71" s="8" t="s">
        <v>50</v>
      </c>
      <c r="F71" s="9" t="s">
        <v>570</v>
      </c>
      <c r="G71" s="9" t="s">
        <v>571</v>
      </c>
      <c r="H71" s="10" t="s">
        <v>572</v>
      </c>
      <c r="I71" s="10" t="s">
        <v>140</v>
      </c>
      <c r="J71" s="7" t="s">
        <v>745</v>
      </c>
      <c r="K71" s="10" t="s">
        <v>55</v>
      </c>
      <c r="L71" s="9" t="s">
        <v>746</v>
      </c>
      <c r="M71" s="9" t="s">
        <v>747</v>
      </c>
      <c r="N71" s="10" t="s">
        <v>748</v>
      </c>
      <c r="O71" s="8" t="s">
        <v>103</v>
      </c>
      <c r="P71" s="8" t="s">
        <v>144</v>
      </c>
      <c r="Q71" s="10" t="s">
        <v>749</v>
      </c>
      <c r="R71" s="10" t="s">
        <v>584</v>
      </c>
      <c r="S71" s="10"/>
      <c r="T71" s="8" t="s">
        <v>73</v>
      </c>
      <c r="U71" s="11">
        <v>5257</v>
      </c>
      <c r="V71" s="12">
        <v>1914</v>
      </c>
      <c r="W71" s="13">
        <v>39578</v>
      </c>
      <c r="X71" s="14">
        <v>2008</v>
      </c>
      <c r="Y71" s="13" t="s">
        <v>94</v>
      </c>
      <c r="Z71" s="13" t="s">
        <v>94</v>
      </c>
      <c r="AA71" s="13" t="s">
        <v>94</v>
      </c>
      <c r="AB71" s="13" t="s">
        <v>94</v>
      </c>
      <c r="AC71" s="13" t="s">
        <v>94</v>
      </c>
      <c r="AD71" s="13"/>
      <c r="AE71" s="27"/>
      <c r="AF71" s="8" t="s">
        <v>575</v>
      </c>
      <c r="AG71" s="16">
        <v>2500000</v>
      </c>
      <c r="AH71" s="16">
        <v>2342826.96</v>
      </c>
      <c r="AI71" s="16">
        <v>3413417.58</v>
      </c>
      <c r="AJ71" s="16" t="s">
        <v>76</v>
      </c>
      <c r="AK71" s="28" t="s">
        <v>94</v>
      </c>
      <c r="AL71" s="28" t="s">
        <v>94</v>
      </c>
      <c r="AM71" s="28" t="s">
        <v>94</v>
      </c>
      <c r="AN71" s="10" t="s">
        <v>149</v>
      </c>
      <c r="AO71" s="8" t="s">
        <v>150</v>
      </c>
      <c r="AP71" s="15" t="s">
        <v>151</v>
      </c>
      <c r="AQ71" s="15" t="s">
        <v>151</v>
      </c>
      <c r="AR71" s="8" t="s">
        <v>3765</v>
      </c>
      <c r="AS71" s="10" t="s">
        <v>3811</v>
      </c>
      <c r="AT71" s="10" t="s">
        <v>3795</v>
      </c>
      <c r="AU71" s="96"/>
      <c r="AV71" s="17" t="s">
        <v>3882</v>
      </c>
      <c r="AW71" s="10"/>
      <c r="AX71" s="7" t="s">
        <v>641</v>
      </c>
      <c r="AY71" s="10" t="s">
        <v>750</v>
      </c>
      <c r="AZ71" s="10" t="s">
        <v>751</v>
      </c>
      <c r="BA71" s="10" t="s">
        <v>752</v>
      </c>
      <c r="BB71" s="18"/>
      <c r="BC71" s="41" t="s">
        <v>753</v>
      </c>
    </row>
    <row r="72" spans="1:55" ht="70" customHeight="1" x14ac:dyDescent="0.2">
      <c r="A72" s="88" t="s">
        <v>4256</v>
      </c>
      <c r="B72" s="6" t="s">
        <v>754</v>
      </c>
      <c r="C72" s="7" t="s">
        <v>755</v>
      </c>
      <c r="D72" s="8" t="s">
        <v>49</v>
      </c>
      <c r="E72" s="8" t="s">
        <v>50</v>
      </c>
      <c r="F72" s="9" t="s">
        <v>570</v>
      </c>
      <c r="G72" s="9" t="s">
        <v>571</v>
      </c>
      <c r="H72" s="10" t="s">
        <v>572</v>
      </c>
      <c r="I72" s="10" t="s">
        <v>140</v>
      </c>
      <c r="J72" s="7" t="s">
        <v>756</v>
      </c>
      <c r="K72" s="10" t="s">
        <v>55</v>
      </c>
      <c r="L72" s="9" t="s">
        <v>570</v>
      </c>
      <c r="M72" s="9" t="s">
        <v>571</v>
      </c>
      <c r="N72" s="10" t="s">
        <v>572</v>
      </c>
      <c r="O72" s="8" t="s">
        <v>140</v>
      </c>
      <c r="P72" s="8" t="s">
        <v>56</v>
      </c>
      <c r="Q72" s="10" t="s">
        <v>757</v>
      </c>
      <c r="R72" s="10" t="s">
        <v>584</v>
      </c>
      <c r="S72" s="10"/>
      <c r="T72" s="8" t="s">
        <v>60</v>
      </c>
      <c r="U72" s="11">
        <v>17899</v>
      </c>
      <c r="V72" s="12">
        <v>1949</v>
      </c>
      <c r="W72" s="13">
        <v>41611</v>
      </c>
      <c r="X72" s="14">
        <v>2013</v>
      </c>
      <c r="Y72" s="13">
        <v>41275</v>
      </c>
      <c r="Z72" s="15">
        <v>2013</v>
      </c>
      <c r="AA72" s="13">
        <v>41275</v>
      </c>
      <c r="AB72" s="15">
        <v>2013</v>
      </c>
      <c r="AC72" s="36">
        <v>0</v>
      </c>
      <c r="AD72" s="36">
        <v>2013</v>
      </c>
      <c r="AE72" s="27"/>
      <c r="AF72" s="8" t="s">
        <v>575</v>
      </c>
      <c r="AG72" s="16">
        <v>35000000</v>
      </c>
      <c r="AH72" s="16">
        <v>33976051.380000003</v>
      </c>
      <c r="AI72" s="16">
        <v>45750561.609999999</v>
      </c>
      <c r="AJ72" s="16" t="s">
        <v>76</v>
      </c>
      <c r="AK72" s="16">
        <v>35000000</v>
      </c>
      <c r="AL72" s="16">
        <v>33976051.380000003</v>
      </c>
      <c r="AM72" s="16">
        <v>45750561.609999999</v>
      </c>
      <c r="AN72" s="54" t="s">
        <v>3755</v>
      </c>
      <c r="AO72" s="8" t="s">
        <v>3756</v>
      </c>
      <c r="AP72" s="15" t="s">
        <v>94</v>
      </c>
      <c r="AQ72" s="15" t="s">
        <v>94</v>
      </c>
      <c r="AR72" s="8" t="s">
        <v>3769</v>
      </c>
      <c r="AS72" s="10" t="s">
        <v>3819</v>
      </c>
      <c r="AT72" s="10" t="s">
        <v>3795</v>
      </c>
      <c r="AU72" s="98"/>
      <c r="AV72" s="17" t="s">
        <v>758</v>
      </c>
      <c r="AW72" s="10"/>
      <c r="AX72" s="7" t="s">
        <v>4002</v>
      </c>
      <c r="AY72" s="10" t="s">
        <v>759</v>
      </c>
      <c r="AZ72" s="10" t="s">
        <v>760</v>
      </c>
      <c r="BA72" s="10" t="s">
        <v>761</v>
      </c>
      <c r="BB72" s="18"/>
      <c r="BC72" s="41" t="s">
        <v>762</v>
      </c>
    </row>
    <row r="73" spans="1:55" ht="70" customHeight="1" x14ac:dyDescent="0.2">
      <c r="A73" s="88" t="s">
        <v>4257</v>
      </c>
      <c r="B73" s="6" t="s">
        <v>763</v>
      </c>
      <c r="C73" s="7" t="s">
        <v>764</v>
      </c>
      <c r="D73" s="10" t="s">
        <v>672</v>
      </c>
      <c r="E73" s="31" t="s">
        <v>280</v>
      </c>
      <c r="F73" s="9" t="s">
        <v>570</v>
      </c>
      <c r="G73" s="9" t="s">
        <v>571</v>
      </c>
      <c r="H73" s="10" t="s">
        <v>572</v>
      </c>
      <c r="I73" s="10" t="s">
        <v>140</v>
      </c>
      <c r="J73" s="7" t="s">
        <v>765</v>
      </c>
      <c r="K73" s="10" t="s">
        <v>55</v>
      </c>
      <c r="L73" s="9" t="s">
        <v>570</v>
      </c>
      <c r="M73" s="9" t="s">
        <v>571</v>
      </c>
      <c r="N73" s="10" t="s">
        <v>572</v>
      </c>
      <c r="O73" s="8" t="s">
        <v>140</v>
      </c>
      <c r="P73" s="8" t="s">
        <v>56</v>
      </c>
      <c r="Q73" s="10" t="s">
        <v>766</v>
      </c>
      <c r="R73" s="10" t="s">
        <v>177</v>
      </c>
      <c r="S73" s="10" t="s">
        <v>163</v>
      </c>
      <c r="T73" s="8" t="s">
        <v>60</v>
      </c>
      <c r="U73" s="11">
        <v>7828</v>
      </c>
      <c r="V73" s="12">
        <v>1921</v>
      </c>
      <c r="W73" s="13">
        <v>41389</v>
      </c>
      <c r="X73" s="14">
        <v>2013</v>
      </c>
      <c r="Y73" s="13" t="s">
        <v>94</v>
      </c>
      <c r="Z73" s="13" t="s">
        <v>94</v>
      </c>
      <c r="AA73" s="13" t="s">
        <v>94</v>
      </c>
      <c r="AB73" s="13" t="s">
        <v>94</v>
      </c>
      <c r="AC73" s="13" t="s">
        <v>94</v>
      </c>
      <c r="AD73" s="13"/>
      <c r="AE73" s="27"/>
      <c r="AF73" s="8" t="s">
        <v>575</v>
      </c>
      <c r="AG73" s="16">
        <v>5000000</v>
      </c>
      <c r="AH73" s="16">
        <v>4853721.63</v>
      </c>
      <c r="AI73" s="16">
        <v>6535794.5199999996</v>
      </c>
      <c r="AJ73" s="16" t="s">
        <v>76</v>
      </c>
      <c r="AK73" s="28" t="s">
        <v>94</v>
      </c>
      <c r="AL73" s="28" t="s">
        <v>94</v>
      </c>
      <c r="AM73" s="28" t="s">
        <v>94</v>
      </c>
      <c r="AN73" s="10" t="s">
        <v>64</v>
      </c>
      <c r="AO73" s="8" t="s">
        <v>3756</v>
      </c>
      <c r="AP73" s="15">
        <v>140</v>
      </c>
      <c r="AQ73" s="15" t="s">
        <v>94</v>
      </c>
      <c r="AR73" s="10" t="s">
        <v>3796</v>
      </c>
      <c r="AS73" s="10" t="s">
        <v>3781</v>
      </c>
      <c r="AT73" s="10" t="s">
        <v>3795</v>
      </c>
      <c r="AU73" s="98"/>
      <c r="AV73" s="17" t="s">
        <v>767</v>
      </c>
      <c r="AW73" s="10"/>
      <c r="AX73" s="7" t="s">
        <v>768</v>
      </c>
      <c r="AY73" s="10" t="s">
        <v>769</v>
      </c>
      <c r="AZ73" s="10" t="s">
        <v>770</v>
      </c>
      <c r="BA73" s="10" t="s">
        <v>771</v>
      </c>
      <c r="BB73" s="18"/>
      <c r="BC73" s="18" t="s">
        <v>4085</v>
      </c>
    </row>
    <row r="74" spans="1:55" ht="70" customHeight="1" x14ac:dyDescent="0.2">
      <c r="A74" s="88" t="s">
        <v>4258</v>
      </c>
      <c r="B74" s="6" t="s">
        <v>772</v>
      </c>
      <c r="C74" s="7" t="s">
        <v>773</v>
      </c>
      <c r="D74" s="8" t="s">
        <v>49</v>
      </c>
      <c r="E74" s="8" t="s">
        <v>50</v>
      </c>
      <c r="F74" s="9" t="s">
        <v>570</v>
      </c>
      <c r="G74" s="9" t="s">
        <v>571</v>
      </c>
      <c r="H74" s="10" t="s">
        <v>572</v>
      </c>
      <c r="I74" s="10" t="s">
        <v>140</v>
      </c>
      <c r="J74" s="7" t="s">
        <v>765</v>
      </c>
      <c r="K74" s="10" t="s">
        <v>55</v>
      </c>
      <c r="L74" s="9" t="s">
        <v>570</v>
      </c>
      <c r="M74" s="9" t="s">
        <v>571</v>
      </c>
      <c r="N74" s="10" t="s">
        <v>572</v>
      </c>
      <c r="O74" s="8" t="s">
        <v>140</v>
      </c>
      <c r="P74" s="8" t="s">
        <v>56</v>
      </c>
      <c r="Q74" s="10" t="s">
        <v>766</v>
      </c>
      <c r="R74" s="10" t="s">
        <v>177</v>
      </c>
      <c r="S74" s="10" t="s">
        <v>163</v>
      </c>
      <c r="T74" s="8" t="s">
        <v>60</v>
      </c>
      <c r="U74" s="11">
        <v>7828</v>
      </c>
      <c r="V74" s="12">
        <v>1921</v>
      </c>
      <c r="W74" s="13">
        <v>41827</v>
      </c>
      <c r="X74" s="14">
        <v>2014</v>
      </c>
      <c r="Y74" s="13" t="s">
        <v>94</v>
      </c>
      <c r="Z74" s="13" t="s">
        <v>94</v>
      </c>
      <c r="AA74" s="13" t="s">
        <v>94</v>
      </c>
      <c r="AB74" s="13" t="s">
        <v>94</v>
      </c>
      <c r="AC74" s="13" t="s">
        <v>94</v>
      </c>
      <c r="AD74" s="13"/>
      <c r="AE74" s="27"/>
      <c r="AF74" s="8" t="s">
        <v>575</v>
      </c>
      <c r="AG74" s="16">
        <v>29000000</v>
      </c>
      <c r="AH74" s="16">
        <v>26250351.010000002</v>
      </c>
      <c r="AI74" s="16">
        <v>34783245.289999999</v>
      </c>
      <c r="AJ74" s="16" t="s">
        <v>76</v>
      </c>
      <c r="AK74" s="28" t="s">
        <v>94</v>
      </c>
      <c r="AL74" s="28" t="s">
        <v>94</v>
      </c>
      <c r="AM74" s="28" t="s">
        <v>94</v>
      </c>
      <c r="AN74" s="10" t="s">
        <v>64</v>
      </c>
      <c r="AO74" s="8" t="s">
        <v>3756</v>
      </c>
      <c r="AP74" s="15">
        <v>300</v>
      </c>
      <c r="AQ74" s="15" t="s">
        <v>94</v>
      </c>
      <c r="AR74" s="10" t="s">
        <v>3796</v>
      </c>
      <c r="AS74" s="10" t="s">
        <v>3781</v>
      </c>
      <c r="AT74" s="10" t="s">
        <v>3795</v>
      </c>
      <c r="AU74" s="96"/>
      <c r="AV74" s="17" t="s">
        <v>767</v>
      </c>
      <c r="AW74" s="10" t="s">
        <v>774</v>
      </c>
      <c r="AX74" s="10" t="s">
        <v>153</v>
      </c>
      <c r="AY74" s="10" t="s">
        <v>775</v>
      </c>
      <c r="AZ74" s="10" t="s">
        <v>776</v>
      </c>
      <c r="BA74" s="10" t="s">
        <v>777</v>
      </c>
      <c r="BB74" s="18"/>
      <c r="BC74" s="41" t="s">
        <v>778</v>
      </c>
    </row>
    <row r="75" spans="1:55" ht="70" customHeight="1" x14ac:dyDescent="0.2">
      <c r="A75" s="88" t="s">
        <v>4259</v>
      </c>
      <c r="B75" s="6" t="s">
        <v>779</v>
      </c>
      <c r="C75" s="7" t="s">
        <v>569</v>
      </c>
      <c r="D75" s="8" t="s">
        <v>49</v>
      </c>
      <c r="E75" s="8" t="s">
        <v>50</v>
      </c>
      <c r="F75" s="9" t="s">
        <v>570</v>
      </c>
      <c r="G75" s="9" t="s">
        <v>571</v>
      </c>
      <c r="H75" s="10" t="s">
        <v>572</v>
      </c>
      <c r="I75" s="10" t="s">
        <v>140</v>
      </c>
      <c r="J75" s="7" t="s">
        <v>780</v>
      </c>
      <c r="K75" s="10" t="s">
        <v>55</v>
      </c>
      <c r="L75" s="9" t="s">
        <v>570</v>
      </c>
      <c r="M75" s="9" t="s">
        <v>571</v>
      </c>
      <c r="N75" s="10" t="s">
        <v>572</v>
      </c>
      <c r="O75" s="8" t="s">
        <v>140</v>
      </c>
      <c r="P75" s="8" t="s">
        <v>56</v>
      </c>
      <c r="Q75" s="10" t="s">
        <v>781</v>
      </c>
      <c r="R75" s="10" t="s">
        <v>58</v>
      </c>
      <c r="S75" s="10"/>
      <c r="T75" s="8" t="s">
        <v>73</v>
      </c>
      <c r="U75" s="11">
        <v>15342</v>
      </c>
      <c r="V75" s="12">
        <v>1942</v>
      </c>
      <c r="W75" s="13">
        <v>42452</v>
      </c>
      <c r="X75" s="14">
        <v>2016</v>
      </c>
      <c r="Y75" s="13">
        <v>42370</v>
      </c>
      <c r="Z75" s="14">
        <v>2016</v>
      </c>
      <c r="AA75" s="13">
        <v>42370</v>
      </c>
      <c r="AB75" s="14">
        <v>2016</v>
      </c>
      <c r="AC75" s="36">
        <v>0</v>
      </c>
      <c r="AD75" s="36">
        <v>2016</v>
      </c>
      <c r="AE75" s="27" t="s">
        <v>782</v>
      </c>
      <c r="AF75" s="8" t="s">
        <v>575</v>
      </c>
      <c r="AG75" s="16">
        <v>95000000</v>
      </c>
      <c r="AH75" s="16">
        <v>71664841.049999997</v>
      </c>
      <c r="AI75" s="16">
        <v>93665902.760000005</v>
      </c>
      <c r="AJ75" s="16" t="s">
        <v>76</v>
      </c>
      <c r="AK75" s="16">
        <v>95000000</v>
      </c>
      <c r="AL75" s="28">
        <v>71664841.049999997</v>
      </c>
      <c r="AM75" s="28">
        <v>93665902.760000005</v>
      </c>
      <c r="AN75" s="54" t="s">
        <v>3755</v>
      </c>
      <c r="AO75" s="8" t="s">
        <v>3756</v>
      </c>
      <c r="AP75" s="15" t="s">
        <v>94</v>
      </c>
      <c r="AQ75" s="15" t="s">
        <v>94</v>
      </c>
      <c r="AR75" s="8" t="s">
        <v>3769</v>
      </c>
      <c r="AS75" s="10" t="s">
        <v>3783</v>
      </c>
      <c r="AT75" s="10" t="s">
        <v>3795</v>
      </c>
      <c r="AU75" s="96"/>
      <c r="AV75" s="17" t="s">
        <v>783</v>
      </c>
      <c r="AW75" s="10"/>
      <c r="AX75" s="7" t="s">
        <v>4003</v>
      </c>
      <c r="AY75" s="10" t="s">
        <v>784</v>
      </c>
      <c r="AZ75" s="10" t="s">
        <v>785</v>
      </c>
      <c r="BA75" s="10" t="s">
        <v>786</v>
      </c>
      <c r="BB75" s="18"/>
      <c r="BC75" s="41" t="s">
        <v>787</v>
      </c>
    </row>
    <row r="76" spans="1:55" ht="70" customHeight="1" x14ac:dyDescent="0.2">
      <c r="A76" s="88" t="s">
        <v>4260</v>
      </c>
      <c r="B76" s="6" t="s">
        <v>788</v>
      </c>
      <c r="C76" s="7" t="s">
        <v>569</v>
      </c>
      <c r="D76" s="8" t="s">
        <v>49</v>
      </c>
      <c r="E76" s="8" t="s">
        <v>50</v>
      </c>
      <c r="F76" s="9" t="s">
        <v>570</v>
      </c>
      <c r="G76" s="9" t="s">
        <v>571</v>
      </c>
      <c r="H76" s="10" t="s">
        <v>572</v>
      </c>
      <c r="I76" s="10" t="s">
        <v>140</v>
      </c>
      <c r="J76" s="7" t="s">
        <v>789</v>
      </c>
      <c r="K76" s="10" t="s">
        <v>55</v>
      </c>
      <c r="L76" s="9" t="s">
        <v>570</v>
      </c>
      <c r="M76" s="9" t="s">
        <v>571</v>
      </c>
      <c r="N76" s="10" t="s">
        <v>572</v>
      </c>
      <c r="O76" s="8" t="s">
        <v>140</v>
      </c>
      <c r="P76" s="8" t="s">
        <v>56</v>
      </c>
      <c r="Q76" s="10" t="s">
        <v>790</v>
      </c>
      <c r="R76" s="10" t="s">
        <v>162</v>
      </c>
      <c r="S76" s="10" t="s">
        <v>163</v>
      </c>
      <c r="T76" s="8" t="s">
        <v>60</v>
      </c>
      <c r="U76" s="11">
        <v>18629</v>
      </c>
      <c r="V76" s="12">
        <v>1951</v>
      </c>
      <c r="W76" s="13">
        <v>42780</v>
      </c>
      <c r="X76" s="14">
        <v>2017</v>
      </c>
      <c r="Y76" s="13">
        <v>43435</v>
      </c>
      <c r="Z76" s="15">
        <v>2018</v>
      </c>
      <c r="AA76" s="13" t="s">
        <v>94</v>
      </c>
      <c r="AB76" s="13" t="s">
        <v>94</v>
      </c>
      <c r="AC76" s="13" t="s">
        <v>94</v>
      </c>
      <c r="AD76" s="15"/>
      <c r="AE76" s="27"/>
      <c r="AF76" s="8" t="s">
        <v>575</v>
      </c>
      <c r="AG76" s="16">
        <v>800000000</v>
      </c>
      <c r="AH76" s="16">
        <v>635000000</v>
      </c>
      <c r="AI76" s="16">
        <v>812632649.30999994</v>
      </c>
      <c r="AJ76" s="16" t="s">
        <v>76</v>
      </c>
      <c r="AK76" s="28" t="s">
        <v>94</v>
      </c>
      <c r="AL76" s="28" t="s">
        <v>94</v>
      </c>
      <c r="AM76" s="28" t="s">
        <v>94</v>
      </c>
      <c r="AN76" s="54" t="s">
        <v>3755</v>
      </c>
      <c r="AO76" s="8" t="s">
        <v>3757</v>
      </c>
      <c r="AP76" s="43">
        <v>21214</v>
      </c>
      <c r="AQ76" s="15" t="s">
        <v>94</v>
      </c>
      <c r="AR76" s="10" t="s">
        <v>3796</v>
      </c>
      <c r="AS76" s="10" t="s">
        <v>3816</v>
      </c>
      <c r="AT76" s="10" t="s">
        <v>791</v>
      </c>
      <c r="AU76" s="96"/>
      <c r="AV76" s="17"/>
      <c r="AW76" s="10"/>
      <c r="AX76" s="7" t="s">
        <v>4004</v>
      </c>
      <c r="AY76" s="10" t="s">
        <v>792</v>
      </c>
      <c r="AZ76" s="10" t="s">
        <v>793</v>
      </c>
      <c r="BA76" s="10" t="s">
        <v>794</v>
      </c>
      <c r="BB76" s="18"/>
      <c r="BC76" s="41" t="s">
        <v>795</v>
      </c>
    </row>
    <row r="77" spans="1:55" ht="70" customHeight="1" x14ac:dyDescent="0.2">
      <c r="A77" s="88" t="s">
        <v>4261</v>
      </c>
      <c r="B77" s="6" t="s">
        <v>796</v>
      </c>
      <c r="C77" s="7" t="s">
        <v>569</v>
      </c>
      <c r="D77" s="8" t="s">
        <v>49</v>
      </c>
      <c r="E77" s="8" t="s">
        <v>50</v>
      </c>
      <c r="F77" s="9" t="s">
        <v>570</v>
      </c>
      <c r="G77" s="9" t="s">
        <v>571</v>
      </c>
      <c r="H77" s="10" t="s">
        <v>572</v>
      </c>
      <c r="I77" s="10" t="s">
        <v>140</v>
      </c>
      <c r="J77" s="7" t="s">
        <v>797</v>
      </c>
      <c r="K77" s="10" t="s">
        <v>55</v>
      </c>
      <c r="L77" s="9" t="s">
        <v>570</v>
      </c>
      <c r="M77" s="9" t="s">
        <v>571</v>
      </c>
      <c r="N77" s="10" t="s">
        <v>572</v>
      </c>
      <c r="O77" s="8" t="s">
        <v>140</v>
      </c>
      <c r="P77" s="8" t="s">
        <v>56</v>
      </c>
      <c r="Q77" s="10" t="s">
        <v>798</v>
      </c>
      <c r="R77" s="10" t="s">
        <v>177</v>
      </c>
      <c r="S77" s="18" t="s">
        <v>59</v>
      </c>
      <c r="T77" s="8" t="s">
        <v>60</v>
      </c>
      <c r="U77" s="11">
        <v>18264</v>
      </c>
      <c r="V77" s="12">
        <v>1950</v>
      </c>
      <c r="W77" s="13">
        <v>43067</v>
      </c>
      <c r="X77" s="14">
        <v>2017</v>
      </c>
      <c r="Y77" s="13">
        <v>43466</v>
      </c>
      <c r="Z77" s="14">
        <v>2019</v>
      </c>
      <c r="AA77" s="13" t="s">
        <v>94</v>
      </c>
      <c r="AB77" s="13" t="s">
        <v>94</v>
      </c>
      <c r="AC77" s="13" t="s">
        <v>94</v>
      </c>
      <c r="AD77" s="15"/>
      <c r="AE77" s="27"/>
      <c r="AF77" s="8" t="s">
        <v>575</v>
      </c>
      <c r="AG77" s="16">
        <v>110000000</v>
      </c>
      <c r="AH77" s="16">
        <v>85000000</v>
      </c>
      <c r="AI77" s="16">
        <v>108777598.73</v>
      </c>
      <c r="AJ77" s="16" t="s">
        <v>76</v>
      </c>
      <c r="AK77" s="28" t="s">
        <v>94</v>
      </c>
      <c r="AL77" s="28" t="s">
        <v>94</v>
      </c>
      <c r="AM77" s="28" t="s">
        <v>94</v>
      </c>
      <c r="AN77" s="10" t="s">
        <v>64</v>
      </c>
      <c r="AO77" s="8" t="s">
        <v>3756</v>
      </c>
      <c r="AP77" s="15">
        <v>719</v>
      </c>
      <c r="AQ77" s="15" t="s">
        <v>94</v>
      </c>
      <c r="AR77" s="10" t="s">
        <v>3796</v>
      </c>
      <c r="AS77" s="10" t="s">
        <v>3781</v>
      </c>
      <c r="AT77" s="10" t="s">
        <v>3795</v>
      </c>
      <c r="AU77" s="96"/>
      <c r="AV77" s="17"/>
      <c r="AW77" s="10" t="s">
        <v>569</v>
      </c>
      <c r="AX77" s="7" t="s">
        <v>4005</v>
      </c>
      <c r="AY77" s="10" t="s">
        <v>799</v>
      </c>
      <c r="AZ77" s="10" t="s">
        <v>800</v>
      </c>
      <c r="BA77" s="10" t="s">
        <v>801</v>
      </c>
      <c r="BB77" s="18"/>
      <c r="BC77" s="41" t="s">
        <v>802</v>
      </c>
    </row>
    <row r="78" spans="1:55" ht="70" customHeight="1" x14ac:dyDescent="0.2">
      <c r="A78" s="88" t="s">
        <v>4262</v>
      </c>
      <c r="B78" s="6" t="s">
        <v>803</v>
      </c>
      <c r="C78" s="7" t="s">
        <v>569</v>
      </c>
      <c r="D78" s="8" t="s">
        <v>49</v>
      </c>
      <c r="E78" s="8" t="s">
        <v>50</v>
      </c>
      <c r="F78" s="9" t="s">
        <v>570</v>
      </c>
      <c r="G78" s="9" t="s">
        <v>571</v>
      </c>
      <c r="H78" s="10" t="s">
        <v>572</v>
      </c>
      <c r="I78" s="10" t="s">
        <v>140</v>
      </c>
      <c r="J78" s="7" t="s">
        <v>804</v>
      </c>
      <c r="K78" s="10" t="s">
        <v>55</v>
      </c>
      <c r="L78" s="9" t="s">
        <v>570</v>
      </c>
      <c r="M78" s="9" t="s">
        <v>571</v>
      </c>
      <c r="N78" s="10" t="s">
        <v>572</v>
      </c>
      <c r="O78" s="8" t="s">
        <v>140</v>
      </c>
      <c r="P78" s="8" t="s">
        <v>56</v>
      </c>
      <c r="Q78" s="10" t="s">
        <v>805</v>
      </c>
      <c r="R78" s="10" t="s">
        <v>584</v>
      </c>
      <c r="S78" s="10"/>
      <c r="T78" s="8" t="s">
        <v>60</v>
      </c>
      <c r="U78" s="11">
        <v>35023</v>
      </c>
      <c r="V78" s="12">
        <v>1995</v>
      </c>
      <c r="W78" s="13">
        <v>44552</v>
      </c>
      <c r="X78" s="14">
        <v>2021</v>
      </c>
      <c r="Y78" s="13" t="s">
        <v>94</v>
      </c>
      <c r="Z78" s="13" t="s">
        <v>94</v>
      </c>
      <c r="AA78" s="13" t="s">
        <v>94</v>
      </c>
      <c r="AB78" s="13" t="s">
        <v>94</v>
      </c>
      <c r="AC78" s="13" t="s">
        <v>94</v>
      </c>
      <c r="AD78" s="15"/>
      <c r="AE78" s="27" t="s">
        <v>806</v>
      </c>
      <c r="AF78" s="8" t="s">
        <v>575</v>
      </c>
      <c r="AG78" s="16">
        <v>7900000000</v>
      </c>
      <c r="AH78" s="16">
        <v>6300458989.71</v>
      </c>
      <c r="AI78" s="16">
        <v>7293739823.6800003</v>
      </c>
      <c r="AJ78" s="16" t="s">
        <v>76</v>
      </c>
      <c r="AK78" s="28" t="s">
        <v>94</v>
      </c>
      <c r="AL78" s="16" t="s">
        <v>94</v>
      </c>
      <c r="AM78" s="16" t="s">
        <v>94</v>
      </c>
      <c r="AN78" s="54" t="s">
        <v>3755</v>
      </c>
      <c r="AO78" s="8" t="s">
        <v>3756</v>
      </c>
      <c r="AP78" s="43">
        <v>142000</v>
      </c>
      <c r="AQ78" s="15" t="s">
        <v>94</v>
      </c>
      <c r="AR78" s="10" t="s">
        <v>3796</v>
      </c>
      <c r="AS78" s="10" t="s">
        <v>3816</v>
      </c>
      <c r="AT78" s="10" t="s">
        <v>3795</v>
      </c>
      <c r="AU78" s="96"/>
      <c r="AV78" s="17"/>
      <c r="AW78" s="10" t="s">
        <v>569</v>
      </c>
      <c r="AX78" s="7" t="s">
        <v>4006</v>
      </c>
      <c r="AY78" s="10" t="s">
        <v>807</v>
      </c>
      <c r="AZ78" s="10" t="s">
        <v>808</v>
      </c>
      <c r="BA78" s="10" t="s">
        <v>809</v>
      </c>
      <c r="BB78" s="18"/>
      <c r="BC78" s="41" t="s">
        <v>810</v>
      </c>
    </row>
    <row r="79" spans="1:55" ht="70" customHeight="1" x14ac:dyDescent="0.2">
      <c r="A79" s="88" t="s">
        <v>4263</v>
      </c>
      <c r="B79" s="6" t="s">
        <v>811</v>
      </c>
      <c r="C79" s="7" t="s">
        <v>569</v>
      </c>
      <c r="D79" s="8" t="s">
        <v>49</v>
      </c>
      <c r="E79" s="8" t="s">
        <v>50</v>
      </c>
      <c r="F79" s="9" t="s">
        <v>570</v>
      </c>
      <c r="G79" s="9" t="s">
        <v>571</v>
      </c>
      <c r="H79" s="10" t="s">
        <v>572</v>
      </c>
      <c r="I79" s="10" t="s">
        <v>140</v>
      </c>
      <c r="J79" s="7" t="s">
        <v>812</v>
      </c>
      <c r="K79" s="10" t="s">
        <v>55</v>
      </c>
      <c r="L79" s="9" t="s">
        <v>570</v>
      </c>
      <c r="M79" s="9" t="s">
        <v>571</v>
      </c>
      <c r="N79" s="10" t="s">
        <v>572</v>
      </c>
      <c r="O79" s="8" t="s">
        <v>140</v>
      </c>
      <c r="P79" s="8" t="s">
        <v>56</v>
      </c>
      <c r="Q79" s="10" t="s">
        <v>813</v>
      </c>
      <c r="R79" s="10" t="s">
        <v>162</v>
      </c>
      <c r="S79" s="10" t="s">
        <v>163</v>
      </c>
      <c r="T79" s="8" t="s">
        <v>60</v>
      </c>
      <c r="U79" s="11" t="s">
        <v>612</v>
      </c>
      <c r="V79" s="12">
        <v>1857</v>
      </c>
      <c r="W79" s="13">
        <v>44947</v>
      </c>
      <c r="X79" s="14">
        <v>2023</v>
      </c>
      <c r="Y79" s="13" t="s">
        <v>94</v>
      </c>
      <c r="Z79" s="13" t="s">
        <v>94</v>
      </c>
      <c r="AA79" s="13" t="s">
        <v>94</v>
      </c>
      <c r="AB79" s="13" t="s">
        <v>94</v>
      </c>
      <c r="AC79" s="13" t="s">
        <v>94</v>
      </c>
      <c r="AD79" s="13"/>
      <c r="AE79" s="27" t="s">
        <v>814</v>
      </c>
      <c r="AF79" s="8" t="s">
        <v>575</v>
      </c>
      <c r="AG79" s="16">
        <v>2800000000</v>
      </c>
      <c r="AH79" s="16">
        <v>2090000000</v>
      </c>
      <c r="AI79" s="16">
        <v>2151643277.6900001</v>
      </c>
      <c r="AJ79" s="16" t="s">
        <v>76</v>
      </c>
      <c r="AK79" s="28" t="s">
        <v>94</v>
      </c>
      <c r="AL79" s="16" t="s">
        <v>94</v>
      </c>
      <c r="AM79" s="16" t="s">
        <v>94</v>
      </c>
      <c r="AN79" s="54" t="s">
        <v>3755</v>
      </c>
      <c r="AO79" s="8" t="s">
        <v>3757</v>
      </c>
      <c r="AP79" s="15" t="s">
        <v>94</v>
      </c>
      <c r="AQ79" s="15" t="s">
        <v>94</v>
      </c>
      <c r="AR79" s="10" t="s">
        <v>3796</v>
      </c>
      <c r="AS79" s="10" t="s">
        <v>3816</v>
      </c>
      <c r="AT79" s="10" t="s">
        <v>3795</v>
      </c>
      <c r="AU79" s="96"/>
      <c r="AV79" s="17" t="s">
        <v>712</v>
      </c>
      <c r="AW79" s="10" t="s">
        <v>569</v>
      </c>
      <c r="AX79" s="7" t="s">
        <v>4007</v>
      </c>
      <c r="AY79" s="10" t="s">
        <v>815</v>
      </c>
      <c r="AZ79" s="10" t="s">
        <v>816</v>
      </c>
      <c r="BA79" s="10" t="s">
        <v>817</v>
      </c>
      <c r="BB79" s="18" t="s">
        <v>818</v>
      </c>
      <c r="BC79" s="41" t="s">
        <v>819</v>
      </c>
    </row>
    <row r="80" spans="1:55" ht="70" customHeight="1" x14ac:dyDescent="0.2">
      <c r="A80" s="88" t="s">
        <v>4264</v>
      </c>
      <c r="B80" s="6" t="s">
        <v>820</v>
      </c>
      <c r="C80" s="7" t="s">
        <v>569</v>
      </c>
      <c r="D80" s="8" t="s">
        <v>49</v>
      </c>
      <c r="E80" s="8" t="s">
        <v>50</v>
      </c>
      <c r="F80" s="9" t="s">
        <v>570</v>
      </c>
      <c r="G80" s="9" t="s">
        <v>571</v>
      </c>
      <c r="H80" s="10" t="s">
        <v>572</v>
      </c>
      <c r="I80" s="10" t="s">
        <v>140</v>
      </c>
      <c r="J80" s="7" t="s">
        <v>821</v>
      </c>
      <c r="K80" s="10" t="s">
        <v>55</v>
      </c>
      <c r="L80" s="9" t="s">
        <v>570</v>
      </c>
      <c r="M80" s="9" t="s">
        <v>571</v>
      </c>
      <c r="N80" s="10" t="s">
        <v>572</v>
      </c>
      <c r="O80" s="8" t="s">
        <v>140</v>
      </c>
      <c r="P80" s="8" t="s">
        <v>56</v>
      </c>
      <c r="Q80" s="10" t="s">
        <v>822</v>
      </c>
      <c r="R80" s="10" t="s">
        <v>177</v>
      </c>
      <c r="S80" s="10" t="s">
        <v>163</v>
      </c>
      <c r="T80" s="8" t="s">
        <v>60</v>
      </c>
      <c r="U80" s="11" t="s">
        <v>269</v>
      </c>
      <c r="V80" s="12" t="s">
        <v>269</v>
      </c>
      <c r="W80" s="13">
        <v>45021</v>
      </c>
      <c r="X80" s="14">
        <v>2023</v>
      </c>
      <c r="Y80" s="13" t="s">
        <v>94</v>
      </c>
      <c r="Z80" s="13" t="s">
        <v>94</v>
      </c>
      <c r="AA80" s="13" t="s">
        <v>94</v>
      </c>
      <c r="AB80" s="13" t="s">
        <v>94</v>
      </c>
      <c r="AC80" s="13" t="s">
        <v>94</v>
      </c>
      <c r="AD80" s="15"/>
      <c r="AE80" s="27" t="s">
        <v>823</v>
      </c>
      <c r="AF80" s="8" t="s">
        <v>575</v>
      </c>
      <c r="AG80" s="16">
        <v>23340000000</v>
      </c>
      <c r="AH80" s="16">
        <v>17350000000</v>
      </c>
      <c r="AI80" s="16">
        <v>17861727688.040001</v>
      </c>
      <c r="AJ80" s="16" t="s">
        <v>76</v>
      </c>
      <c r="AK80" s="28" t="s">
        <v>94</v>
      </c>
      <c r="AL80" s="16" t="s">
        <v>94</v>
      </c>
      <c r="AM80" s="16" t="s">
        <v>94</v>
      </c>
      <c r="AN80" s="54" t="s">
        <v>3755</v>
      </c>
      <c r="AO80" s="8" t="s">
        <v>3757</v>
      </c>
      <c r="AP80" s="43">
        <v>300000</v>
      </c>
      <c r="AQ80" s="15" t="s">
        <v>94</v>
      </c>
      <c r="AR80" s="10" t="s">
        <v>3796</v>
      </c>
      <c r="AS80" s="10" t="s">
        <v>269</v>
      </c>
      <c r="AT80" s="10" t="s">
        <v>3795</v>
      </c>
      <c r="AU80" s="96"/>
      <c r="AV80" s="17"/>
      <c r="AW80" s="10" t="s">
        <v>569</v>
      </c>
      <c r="AX80" s="7" t="s">
        <v>285</v>
      </c>
      <c r="AY80" s="10" t="s">
        <v>824</v>
      </c>
      <c r="AZ80" s="10" t="s">
        <v>825</v>
      </c>
      <c r="BA80" s="10" t="s">
        <v>826</v>
      </c>
      <c r="BB80" s="18" t="s">
        <v>827</v>
      </c>
      <c r="BC80" s="41" t="s">
        <v>828</v>
      </c>
    </row>
    <row r="81" spans="1:55" ht="70" customHeight="1" x14ac:dyDescent="0.2">
      <c r="A81" s="88" t="s">
        <v>4265</v>
      </c>
      <c r="B81" s="6" t="s">
        <v>829</v>
      </c>
      <c r="C81" s="7" t="s">
        <v>569</v>
      </c>
      <c r="D81" s="8" t="s">
        <v>49</v>
      </c>
      <c r="E81" s="8" t="s">
        <v>50</v>
      </c>
      <c r="F81" s="9" t="s">
        <v>570</v>
      </c>
      <c r="G81" s="9" t="s">
        <v>571</v>
      </c>
      <c r="H81" s="10" t="s">
        <v>572</v>
      </c>
      <c r="I81" s="10" t="s">
        <v>140</v>
      </c>
      <c r="J81" s="7" t="s">
        <v>830</v>
      </c>
      <c r="K81" s="10" t="s">
        <v>55</v>
      </c>
      <c r="L81" s="9" t="s">
        <v>570</v>
      </c>
      <c r="M81" s="9" t="s">
        <v>571</v>
      </c>
      <c r="N81" s="10" t="s">
        <v>572</v>
      </c>
      <c r="O81" s="8" t="s">
        <v>140</v>
      </c>
      <c r="P81" s="8" t="s">
        <v>56</v>
      </c>
      <c r="Q81" s="10" t="s">
        <v>831</v>
      </c>
      <c r="R81" s="18" t="s">
        <v>59</v>
      </c>
      <c r="S81" s="10"/>
      <c r="T81" s="8" t="s">
        <v>73</v>
      </c>
      <c r="U81" s="11">
        <v>18264</v>
      </c>
      <c r="V81" s="12">
        <v>1950</v>
      </c>
      <c r="W81" s="13">
        <v>45619</v>
      </c>
      <c r="X81" s="14">
        <v>2024</v>
      </c>
      <c r="Y81" s="13">
        <v>45292</v>
      </c>
      <c r="Z81" s="14">
        <v>2024</v>
      </c>
      <c r="AA81" s="13">
        <v>45292</v>
      </c>
      <c r="AB81" s="14">
        <v>2024</v>
      </c>
      <c r="AC81" s="14">
        <v>0</v>
      </c>
      <c r="AD81" s="14">
        <v>2024</v>
      </c>
      <c r="AE81" s="27"/>
      <c r="AF81" s="8" t="s">
        <v>575</v>
      </c>
      <c r="AG81" s="16">
        <v>45000000</v>
      </c>
      <c r="AH81" s="16">
        <v>32862072.57</v>
      </c>
      <c r="AI81" s="16">
        <v>32862072.57</v>
      </c>
      <c r="AJ81" s="16" t="s">
        <v>76</v>
      </c>
      <c r="AK81" s="16">
        <v>45000000</v>
      </c>
      <c r="AL81" s="16">
        <v>32862072.57</v>
      </c>
      <c r="AM81" s="16">
        <v>32862072.57</v>
      </c>
      <c r="AN81" s="10" t="s">
        <v>149</v>
      </c>
      <c r="AO81" s="8" t="s">
        <v>150</v>
      </c>
      <c r="AP81" s="15" t="s">
        <v>151</v>
      </c>
      <c r="AQ81" s="15" t="s">
        <v>151</v>
      </c>
      <c r="AR81" s="8" t="s">
        <v>3765</v>
      </c>
      <c r="AS81" s="10" t="s">
        <v>3776</v>
      </c>
      <c r="AT81" s="10" t="s">
        <v>3795</v>
      </c>
      <c r="AU81" s="96"/>
      <c r="AV81" s="17"/>
      <c r="AW81" s="10" t="s">
        <v>569</v>
      </c>
      <c r="AX81" s="7" t="s">
        <v>768</v>
      </c>
      <c r="AY81" s="10" t="s">
        <v>832</v>
      </c>
      <c r="AZ81" s="10" t="s">
        <v>833</v>
      </c>
      <c r="BA81" s="10" t="s">
        <v>834</v>
      </c>
      <c r="BB81" s="18"/>
      <c r="BC81" s="41" t="s">
        <v>835</v>
      </c>
    </row>
    <row r="82" spans="1:55" ht="70" customHeight="1" x14ac:dyDescent="0.2">
      <c r="A82" s="88" t="s">
        <v>4266</v>
      </c>
      <c r="B82" s="6" t="s">
        <v>836</v>
      </c>
      <c r="C82" s="7" t="s">
        <v>837</v>
      </c>
      <c r="D82" s="8" t="s">
        <v>838</v>
      </c>
      <c r="E82" s="8" t="s">
        <v>280</v>
      </c>
      <c r="F82" s="9" t="s">
        <v>570</v>
      </c>
      <c r="G82" s="9" t="s">
        <v>571</v>
      </c>
      <c r="H82" s="10" t="s">
        <v>572</v>
      </c>
      <c r="I82" s="10" t="s">
        <v>140</v>
      </c>
      <c r="J82" s="7" t="s">
        <v>839</v>
      </c>
      <c r="K82" s="10" t="s">
        <v>55</v>
      </c>
      <c r="L82" s="9" t="s">
        <v>570</v>
      </c>
      <c r="M82" s="9" t="s">
        <v>571</v>
      </c>
      <c r="N82" s="10" t="s">
        <v>572</v>
      </c>
      <c r="O82" s="8" t="s">
        <v>140</v>
      </c>
      <c r="P82" s="8" t="s">
        <v>56</v>
      </c>
      <c r="Q82" s="10" t="s">
        <v>840</v>
      </c>
      <c r="R82" s="10" t="s">
        <v>58</v>
      </c>
      <c r="S82" s="18"/>
      <c r="T82" s="8" t="s">
        <v>60</v>
      </c>
      <c r="U82" s="11" t="s">
        <v>269</v>
      </c>
      <c r="V82" s="12" t="s">
        <v>269</v>
      </c>
      <c r="W82" s="13" t="s">
        <v>94</v>
      </c>
      <c r="X82" s="14">
        <v>2021</v>
      </c>
      <c r="Y82" s="13">
        <v>44197</v>
      </c>
      <c r="Z82" s="14">
        <v>2021</v>
      </c>
      <c r="AA82" s="13" t="s">
        <v>841</v>
      </c>
      <c r="AB82" s="13" t="s">
        <v>841</v>
      </c>
      <c r="AC82" s="13" t="s">
        <v>94</v>
      </c>
      <c r="AD82" s="15"/>
      <c r="AE82" s="27" t="s">
        <v>842</v>
      </c>
      <c r="AF82" s="8" t="s">
        <v>575</v>
      </c>
      <c r="AG82" s="16">
        <v>13700</v>
      </c>
      <c r="AH82" s="16">
        <v>10926.11</v>
      </c>
      <c r="AI82" s="28">
        <v>12648.63</v>
      </c>
      <c r="AJ82" s="16" t="s">
        <v>76</v>
      </c>
      <c r="AK82" s="28" t="s">
        <v>94</v>
      </c>
      <c r="AL82" s="28" t="s">
        <v>94</v>
      </c>
      <c r="AM82" s="28" t="s">
        <v>94</v>
      </c>
      <c r="AN82" s="10" t="s">
        <v>149</v>
      </c>
      <c r="AO82" s="8" t="s">
        <v>150</v>
      </c>
      <c r="AP82" s="15" t="s">
        <v>151</v>
      </c>
      <c r="AQ82" s="15" t="s">
        <v>151</v>
      </c>
      <c r="AR82" s="8" t="s">
        <v>3773</v>
      </c>
      <c r="AS82" s="10" t="s">
        <v>3776</v>
      </c>
      <c r="AT82" s="10" t="s">
        <v>3795</v>
      </c>
      <c r="AU82" s="96"/>
      <c r="AV82" s="17"/>
      <c r="AW82" s="10"/>
      <c r="AX82" s="7" t="s">
        <v>843</v>
      </c>
      <c r="AY82" s="10" t="s">
        <v>844</v>
      </c>
      <c r="AZ82" s="10" t="s">
        <v>845</v>
      </c>
      <c r="BA82" s="10" t="s">
        <v>846</v>
      </c>
      <c r="BB82" s="18" t="s">
        <v>847</v>
      </c>
      <c r="BC82" s="41" t="s">
        <v>848</v>
      </c>
    </row>
    <row r="83" spans="1:55" ht="70" customHeight="1" x14ac:dyDescent="0.2">
      <c r="A83" s="88" t="s">
        <v>4267</v>
      </c>
      <c r="B83" s="6" t="s">
        <v>849</v>
      </c>
      <c r="C83" s="7" t="s">
        <v>850</v>
      </c>
      <c r="D83" s="8" t="s">
        <v>49</v>
      </c>
      <c r="E83" s="8" t="s">
        <v>50</v>
      </c>
      <c r="F83" s="9" t="s">
        <v>851</v>
      </c>
      <c r="G83" s="9" t="s">
        <v>852</v>
      </c>
      <c r="H83" s="10" t="s">
        <v>380</v>
      </c>
      <c r="I83" s="10" t="s">
        <v>381</v>
      </c>
      <c r="J83" s="7" t="s">
        <v>853</v>
      </c>
      <c r="K83" s="10" t="s">
        <v>55</v>
      </c>
      <c r="L83" s="9" t="s">
        <v>851</v>
      </c>
      <c r="M83" s="9" t="s">
        <v>852</v>
      </c>
      <c r="N83" s="10" t="s">
        <v>380</v>
      </c>
      <c r="O83" s="8" t="s">
        <v>381</v>
      </c>
      <c r="P83" s="8" t="s">
        <v>56</v>
      </c>
      <c r="Q83" s="10" t="s">
        <v>854</v>
      </c>
      <c r="R83" s="10" t="s">
        <v>72</v>
      </c>
      <c r="S83" s="10"/>
      <c r="T83" s="8" t="s">
        <v>73</v>
      </c>
      <c r="U83" s="11">
        <v>30109</v>
      </c>
      <c r="V83" s="12">
        <v>1982</v>
      </c>
      <c r="W83" s="13">
        <v>44823</v>
      </c>
      <c r="X83" s="14">
        <v>2022</v>
      </c>
      <c r="Y83" s="13">
        <v>45345</v>
      </c>
      <c r="Z83" s="15">
        <v>2024</v>
      </c>
      <c r="AA83" s="13">
        <v>45292</v>
      </c>
      <c r="AB83" s="15">
        <v>2024</v>
      </c>
      <c r="AC83" s="14">
        <v>0</v>
      </c>
      <c r="AD83" s="15">
        <v>2024</v>
      </c>
      <c r="AE83" s="27" t="s">
        <v>855</v>
      </c>
      <c r="AF83" s="8" t="s">
        <v>856</v>
      </c>
      <c r="AG83" s="16">
        <v>10000000000</v>
      </c>
      <c r="AH83" s="16">
        <v>16500000</v>
      </c>
      <c r="AI83" s="16">
        <v>17685904.91</v>
      </c>
      <c r="AJ83" s="16" t="s">
        <v>76</v>
      </c>
      <c r="AK83" s="16">
        <v>10000000000</v>
      </c>
      <c r="AL83" s="16">
        <v>16500000</v>
      </c>
      <c r="AM83" s="16">
        <v>16500000</v>
      </c>
      <c r="AN83" s="10" t="s">
        <v>64</v>
      </c>
      <c r="AO83" s="8" t="s">
        <v>3757</v>
      </c>
      <c r="AP83" s="43">
        <v>10700</v>
      </c>
      <c r="AQ83" s="15">
        <v>10700</v>
      </c>
      <c r="AR83" s="8" t="s">
        <v>3762</v>
      </c>
      <c r="AS83" s="10" t="s">
        <v>3819</v>
      </c>
      <c r="AT83" s="10" t="s">
        <v>857</v>
      </c>
      <c r="AU83" s="96"/>
      <c r="AV83" s="17"/>
      <c r="AW83" s="10"/>
      <c r="AX83" s="7" t="s">
        <v>4008</v>
      </c>
      <c r="AY83" s="10" t="s">
        <v>858</v>
      </c>
      <c r="AZ83" s="10" t="s">
        <v>859</v>
      </c>
      <c r="BA83" s="10" t="s">
        <v>860</v>
      </c>
      <c r="BB83" s="18" t="s">
        <v>861</v>
      </c>
      <c r="BC83" s="41" t="s">
        <v>862</v>
      </c>
    </row>
    <row r="84" spans="1:55" ht="70" customHeight="1" x14ac:dyDescent="0.2">
      <c r="A84" s="88" t="s">
        <v>4268</v>
      </c>
      <c r="B84" s="6" t="s">
        <v>863</v>
      </c>
      <c r="C84" s="7" t="s">
        <v>864</v>
      </c>
      <c r="D84" s="8" t="s">
        <v>49</v>
      </c>
      <c r="E84" s="8" t="s">
        <v>50</v>
      </c>
      <c r="F84" s="9" t="s">
        <v>282</v>
      </c>
      <c r="G84" s="9" t="s">
        <v>283</v>
      </c>
      <c r="H84" s="10" t="s">
        <v>4155</v>
      </c>
      <c r="I84" s="10" t="s">
        <v>140</v>
      </c>
      <c r="J84" s="7" t="s">
        <v>865</v>
      </c>
      <c r="K84" s="10" t="s">
        <v>55</v>
      </c>
      <c r="L84" s="9" t="s">
        <v>282</v>
      </c>
      <c r="M84" s="9" t="s">
        <v>283</v>
      </c>
      <c r="N84" s="10" t="s">
        <v>4592</v>
      </c>
      <c r="O84" s="8" t="s">
        <v>140</v>
      </c>
      <c r="P84" s="8" t="s">
        <v>56</v>
      </c>
      <c r="Q84" s="10" t="s">
        <v>866</v>
      </c>
      <c r="R84" s="10" t="s">
        <v>72</v>
      </c>
      <c r="S84" s="10"/>
      <c r="T84" s="8" t="s">
        <v>73</v>
      </c>
      <c r="U84" s="11">
        <v>26918</v>
      </c>
      <c r="V84" s="12">
        <v>1973</v>
      </c>
      <c r="W84" s="13">
        <v>33642</v>
      </c>
      <c r="X84" s="14">
        <v>1992</v>
      </c>
      <c r="Y84" s="13">
        <v>33604</v>
      </c>
      <c r="Z84" s="15">
        <v>1992</v>
      </c>
      <c r="AA84" s="13">
        <v>45292</v>
      </c>
      <c r="AB84" s="14">
        <v>2024</v>
      </c>
      <c r="AC84" s="15">
        <v>32</v>
      </c>
      <c r="AD84" s="15">
        <v>1992</v>
      </c>
      <c r="AE84" s="27" t="s">
        <v>74</v>
      </c>
      <c r="AF84" s="8" t="s">
        <v>106</v>
      </c>
      <c r="AG84" s="28">
        <v>9389913</v>
      </c>
      <c r="AH84" s="16">
        <v>9389913</v>
      </c>
      <c r="AI84" s="16">
        <v>20994386.449999999</v>
      </c>
      <c r="AJ84" s="16" t="s">
        <v>76</v>
      </c>
      <c r="AK84" s="28">
        <v>9389913</v>
      </c>
      <c r="AL84" s="16">
        <v>9389913</v>
      </c>
      <c r="AM84" s="16">
        <v>20994386.449999999</v>
      </c>
      <c r="AN84" s="10" t="s">
        <v>64</v>
      </c>
      <c r="AO84" s="8" t="s">
        <v>3757</v>
      </c>
      <c r="AP84" s="43">
        <v>4397</v>
      </c>
      <c r="AQ84" s="43">
        <v>4397</v>
      </c>
      <c r="AR84" s="8" t="s">
        <v>3765</v>
      </c>
      <c r="AS84" s="10" t="s">
        <v>3787</v>
      </c>
      <c r="AT84" s="10" t="s">
        <v>3795</v>
      </c>
      <c r="AU84" s="96" t="s">
        <v>576</v>
      </c>
      <c r="AV84" s="17" t="s">
        <v>3892</v>
      </c>
      <c r="AW84" s="10" t="s">
        <v>867</v>
      </c>
      <c r="AX84" s="7" t="s">
        <v>4009</v>
      </c>
      <c r="AY84" s="10" t="s">
        <v>868</v>
      </c>
      <c r="AZ84" s="10" t="s">
        <v>869</v>
      </c>
      <c r="BA84" s="10" t="s">
        <v>870</v>
      </c>
      <c r="BB84" s="18" t="s">
        <v>157</v>
      </c>
      <c r="BC84" s="41" t="s">
        <v>871</v>
      </c>
    </row>
    <row r="85" spans="1:55" ht="70" customHeight="1" x14ac:dyDescent="0.2">
      <c r="A85" s="88" t="s">
        <v>4269</v>
      </c>
      <c r="B85" s="6" t="s">
        <v>872</v>
      </c>
      <c r="C85" s="7" t="s">
        <v>864</v>
      </c>
      <c r="D85" s="8" t="s">
        <v>49</v>
      </c>
      <c r="E85" s="8" t="s">
        <v>50</v>
      </c>
      <c r="F85" s="9" t="s">
        <v>282</v>
      </c>
      <c r="G85" s="9" t="s">
        <v>283</v>
      </c>
      <c r="H85" s="10" t="s">
        <v>4155</v>
      </c>
      <c r="I85" s="10" t="s">
        <v>140</v>
      </c>
      <c r="J85" s="7" t="s">
        <v>873</v>
      </c>
      <c r="K85" s="10" t="s">
        <v>55</v>
      </c>
      <c r="L85" s="9" t="s">
        <v>282</v>
      </c>
      <c r="M85" s="9" t="s">
        <v>283</v>
      </c>
      <c r="N85" s="10" t="s">
        <v>4592</v>
      </c>
      <c r="O85" s="8" t="s">
        <v>140</v>
      </c>
      <c r="P85" s="8" t="s">
        <v>56</v>
      </c>
      <c r="Q85" s="10" t="s">
        <v>874</v>
      </c>
      <c r="R85" s="10" t="s">
        <v>72</v>
      </c>
      <c r="S85" s="10"/>
      <c r="T85" s="8" t="s">
        <v>73</v>
      </c>
      <c r="U85" s="11">
        <v>26918</v>
      </c>
      <c r="V85" s="12">
        <v>1973</v>
      </c>
      <c r="W85" s="13">
        <v>38338</v>
      </c>
      <c r="X85" s="14">
        <v>2004</v>
      </c>
      <c r="Y85" s="13">
        <v>38353</v>
      </c>
      <c r="Z85" s="15">
        <v>2005</v>
      </c>
      <c r="AA85" s="13">
        <v>45292</v>
      </c>
      <c r="AB85" s="14">
        <v>2024</v>
      </c>
      <c r="AC85" s="15">
        <v>19</v>
      </c>
      <c r="AD85" s="15">
        <v>2005</v>
      </c>
      <c r="AE85" s="27" t="s">
        <v>74</v>
      </c>
      <c r="AF85" s="8" t="s">
        <v>106</v>
      </c>
      <c r="AG85" s="16">
        <v>6800000000</v>
      </c>
      <c r="AH85" s="16">
        <v>6800000000</v>
      </c>
      <c r="AI85" s="16">
        <v>11292139756.48</v>
      </c>
      <c r="AJ85" s="16" t="s">
        <v>76</v>
      </c>
      <c r="AK85" s="28">
        <v>6800000000</v>
      </c>
      <c r="AL85" s="16">
        <v>6800000000</v>
      </c>
      <c r="AM85" s="16">
        <v>10922095238.1</v>
      </c>
      <c r="AN85" s="10" t="s">
        <v>64</v>
      </c>
      <c r="AO85" s="8" t="s">
        <v>3756</v>
      </c>
      <c r="AP85" s="43">
        <v>28459</v>
      </c>
      <c r="AQ85" s="43">
        <v>27255</v>
      </c>
      <c r="AR85" s="8" t="s">
        <v>3765</v>
      </c>
      <c r="AS85" s="10" t="s">
        <v>3779</v>
      </c>
      <c r="AT85" s="10" t="s">
        <v>3795</v>
      </c>
      <c r="AU85" s="96" t="s">
        <v>576</v>
      </c>
      <c r="AV85" s="17" t="s">
        <v>3893</v>
      </c>
      <c r="AW85" s="10" t="s">
        <v>875</v>
      </c>
      <c r="AX85" s="7" t="s">
        <v>4010</v>
      </c>
      <c r="AY85" s="10" t="s">
        <v>876</v>
      </c>
      <c r="AZ85" s="10" t="s">
        <v>877</v>
      </c>
      <c r="BA85" s="10" t="s">
        <v>878</v>
      </c>
      <c r="BB85" s="18" t="s">
        <v>157</v>
      </c>
      <c r="BC85" s="41" t="s">
        <v>879</v>
      </c>
    </row>
    <row r="86" spans="1:55" ht="70" customHeight="1" x14ac:dyDescent="0.2">
      <c r="A86" s="88" t="s">
        <v>4270</v>
      </c>
      <c r="B86" s="6" t="s">
        <v>880</v>
      </c>
      <c r="C86" s="7" t="s">
        <v>864</v>
      </c>
      <c r="D86" s="8" t="s">
        <v>49</v>
      </c>
      <c r="E86" s="8" t="s">
        <v>50</v>
      </c>
      <c r="F86" s="9" t="s">
        <v>282</v>
      </c>
      <c r="G86" s="9" t="s">
        <v>283</v>
      </c>
      <c r="H86" s="10" t="s">
        <v>4155</v>
      </c>
      <c r="I86" s="10" t="s">
        <v>140</v>
      </c>
      <c r="J86" s="7" t="s">
        <v>881</v>
      </c>
      <c r="K86" s="10" t="s">
        <v>55</v>
      </c>
      <c r="L86" s="30" t="s">
        <v>2042</v>
      </c>
      <c r="M86" s="30" t="s">
        <v>537</v>
      </c>
      <c r="N86" s="30" t="s">
        <v>4185</v>
      </c>
      <c r="O86" s="30" t="s">
        <v>4185</v>
      </c>
      <c r="P86" s="8" t="s">
        <v>144</v>
      </c>
      <c r="Q86" s="10" t="s">
        <v>882</v>
      </c>
      <c r="R86" s="10" t="s">
        <v>72</v>
      </c>
      <c r="S86" s="10"/>
      <c r="T86" s="8" t="s">
        <v>73</v>
      </c>
      <c r="U86" s="11">
        <v>26665</v>
      </c>
      <c r="V86" s="12">
        <v>1973</v>
      </c>
      <c r="W86" s="13">
        <v>41402</v>
      </c>
      <c r="X86" s="14">
        <v>2013</v>
      </c>
      <c r="Y86" s="13" t="s">
        <v>94</v>
      </c>
      <c r="Z86" s="13" t="s">
        <v>94</v>
      </c>
      <c r="AA86" s="13" t="s">
        <v>94</v>
      </c>
      <c r="AB86" s="13" t="s">
        <v>94</v>
      </c>
      <c r="AC86" s="13" t="s">
        <v>94</v>
      </c>
      <c r="AD86" s="15"/>
      <c r="AE86" s="27"/>
      <c r="AF86" s="8" t="s">
        <v>106</v>
      </c>
      <c r="AG86" s="16">
        <v>100000</v>
      </c>
      <c r="AH86" s="16">
        <v>100000</v>
      </c>
      <c r="AI86" s="16">
        <v>134655.32</v>
      </c>
      <c r="AJ86" s="16" t="s">
        <v>76</v>
      </c>
      <c r="AK86" s="28" t="s">
        <v>94</v>
      </c>
      <c r="AL86" s="16" t="s">
        <v>94</v>
      </c>
      <c r="AM86" s="16" t="s">
        <v>94</v>
      </c>
      <c r="AN86" s="10" t="s">
        <v>64</v>
      </c>
      <c r="AO86" s="8" t="s">
        <v>3758</v>
      </c>
      <c r="AP86" s="15">
        <v>1</v>
      </c>
      <c r="AQ86" s="15" t="s">
        <v>94</v>
      </c>
      <c r="AR86" s="8" t="s">
        <v>3762</v>
      </c>
      <c r="AS86" s="10" t="s">
        <v>3781</v>
      </c>
      <c r="AT86" s="10" t="s">
        <v>3795</v>
      </c>
      <c r="AU86" s="96"/>
      <c r="AV86" s="17"/>
      <c r="AW86" s="10"/>
      <c r="AX86" s="7" t="s">
        <v>883</v>
      </c>
      <c r="AY86" s="10" t="s">
        <v>884</v>
      </c>
      <c r="AZ86" s="10" t="s">
        <v>885</v>
      </c>
      <c r="BA86" s="10" t="s">
        <v>886</v>
      </c>
      <c r="BB86" s="18"/>
      <c r="BC86" s="41" t="s">
        <v>887</v>
      </c>
    </row>
    <row r="87" spans="1:55" ht="70" customHeight="1" x14ac:dyDescent="0.2">
      <c r="A87" s="88" t="s">
        <v>4271</v>
      </c>
      <c r="B87" s="6" t="s">
        <v>888</v>
      </c>
      <c r="C87" s="7" t="s">
        <v>864</v>
      </c>
      <c r="D87" s="8" t="s">
        <v>49</v>
      </c>
      <c r="E87" s="8" t="s">
        <v>50</v>
      </c>
      <c r="F87" s="9" t="s">
        <v>282</v>
      </c>
      <c r="G87" s="9" t="s">
        <v>283</v>
      </c>
      <c r="H87" s="10" t="s">
        <v>4155</v>
      </c>
      <c r="I87" s="10" t="s">
        <v>140</v>
      </c>
      <c r="J87" s="7" t="s">
        <v>889</v>
      </c>
      <c r="K87" s="10" t="s">
        <v>55</v>
      </c>
      <c r="L87" s="9" t="s">
        <v>282</v>
      </c>
      <c r="M87" s="9" t="s">
        <v>283</v>
      </c>
      <c r="N87" s="10" t="s">
        <v>4592</v>
      </c>
      <c r="O87" s="8" t="s">
        <v>140</v>
      </c>
      <c r="P87" s="8" t="s">
        <v>56</v>
      </c>
      <c r="Q87" s="10" t="s">
        <v>890</v>
      </c>
      <c r="R87" s="10" t="s">
        <v>72</v>
      </c>
      <c r="S87" s="10"/>
      <c r="T87" s="8" t="s">
        <v>60</v>
      </c>
      <c r="U87" s="11">
        <v>26918</v>
      </c>
      <c r="V87" s="12">
        <v>1973</v>
      </c>
      <c r="W87" s="13">
        <v>41514</v>
      </c>
      <c r="X87" s="14">
        <v>2013</v>
      </c>
      <c r="Y87" s="13">
        <v>41705</v>
      </c>
      <c r="Z87" s="15">
        <v>2014</v>
      </c>
      <c r="AA87" s="13">
        <v>41705</v>
      </c>
      <c r="AB87" s="15">
        <v>2014</v>
      </c>
      <c r="AC87" s="15">
        <v>0</v>
      </c>
      <c r="AD87" s="15">
        <v>2014</v>
      </c>
      <c r="AE87" s="27"/>
      <c r="AF87" s="8" t="s">
        <v>891</v>
      </c>
      <c r="AG87" s="16">
        <v>20000</v>
      </c>
      <c r="AH87" s="16">
        <v>32909.370000000003</v>
      </c>
      <c r="AI87" s="16">
        <v>43606.83</v>
      </c>
      <c r="AJ87" s="16" t="s">
        <v>63</v>
      </c>
      <c r="AK87" s="16">
        <v>20000</v>
      </c>
      <c r="AL87" s="16">
        <v>32909.370000000003</v>
      </c>
      <c r="AM87" s="16">
        <v>43606.83</v>
      </c>
      <c r="AN87" s="10" t="s">
        <v>64</v>
      </c>
      <c r="AO87" s="8" t="s">
        <v>3756</v>
      </c>
      <c r="AP87" s="15">
        <v>1</v>
      </c>
      <c r="AQ87" s="15">
        <v>1</v>
      </c>
      <c r="AR87" s="8" t="s">
        <v>3761</v>
      </c>
      <c r="AS87" s="10" t="s">
        <v>3781</v>
      </c>
      <c r="AT87" s="10" t="s">
        <v>892</v>
      </c>
      <c r="AU87" s="96"/>
      <c r="AV87" s="17"/>
      <c r="AW87" s="10"/>
      <c r="AX87" s="7" t="s">
        <v>4011</v>
      </c>
      <c r="AY87" s="10" t="s">
        <v>893</v>
      </c>
      <c r="AZ87" s="10" t="s">
        <v>894</v>
      </c>
      <c r="BA87" s="10" t="s">
        <v>895</v>
      </c>
      <c r="BB87" s="18" t="s">
        <v>896</v>
      </c>
      <c r="BC87" s="41" t="s">
        <v>897</v>
      </c>
    </row>
    <row r="88" spans="1:55" ht="70" customHeight="1" x14ac:dyDescent="0.2">
      <c r="A88" s="88" t="s">
        <v>4272</v>
      </c>
      <c r="B88" s="6" t="s">
        <v>898</v>
      </c>
      <c r="C88" s="7" t="s">
        <v>864</v>
      </c>
      <c r="D88" s="8" t="s">
        <v>49</v>
      </c>
      <c r="E88" s="8" t="s">
        <v>50</v>
      </c>
      <c r="F88" s="9" t="s">
        <v>282</v>
      </c>
      <c r="G88" s="9" t="s">
        <v>283</v>
      </c>
      <c r="H88" s="10" t="s">
        <v>4155</v>
      </c>
      <c r="I88" s="10" t="s">
        <v>140</v>
      </c>
      <c r="J88" s="7" t="s">
        <v>899</v>
      </c>
      <c r="K88" s="10" t="s">
        <v>55</v>
      </c>
      <c r="L88" s="9" t="s">
        <v>282</v>
      </c>
      <c r="M88" s="9" t="s">
        <v>283</v>
      </c>
      <c r="N88" s="10" t="s">
        <v>4592</v>
      </c>
      <c r="O88" s="8" t="s">
        <v>140</v>
      </c>
      <c r="P88" s="8" t="s">
        <v>56</v>
      </c>
      <c r="Q88" s="10" t="s">
        <v>900</v>
      </c>
      <c r="R88" s="10" t="s">
        <v>72</v>
      </c>
      <c r="S88" s="10"/>
      <c r="T88" s="8" t="s">
        <v>60</v>
      </c>
      <c r="U88" s="11">
        <v>26918</v>
      </c>
      <c r="V88" s="12">
        <v>1973</v>
      </c>
      <c r="W88" s="13">
        <v>42262</v>
      </c>
      <c r="X88" s="14">
        <v>2015</v>
      </c>
      <c r="Y88" s="13" t="s">
        <v>94</v>
      </c>
      <c r="Z88" s="13" t="s">
        <v>94</v>
      </c>
      <c r="AA88" s="13" t="s">
        <v>94</v>
      </c>
      <c r="AB88" s="13" t="s">
        <v>94</v>
      </c>
      <c r="AC88" s="13" t="s">
        <v>94</v>
      </c>
      <c r="AD88" s="15"/>
      <c r="AE88" s="27"/>
      <c r="AF88" s="8" t="s">
        <v>106</v>
      </c>
      <c r="AG88" s="16">
        <v>6600000</v>
      </c>
      <c r="AH88" s="16">
        <v>6600000</v>
      </c>
      <c r="AI88" s="16">
        <v>8735016.4800000004</v>
      </c>
      <c r="AJ88" s="16" t="s">
        <v>76</v>
      </c>
      <c r="AK88" s="28" t="s">
        <v>94</v>
      </c>
      <c r="AL88" s="16" t="s">
        <v>94</v>
      </c>
      <c r="AM88" s="16" t="s">
        <v>94</v>
      </c>
      <c r="AN88" s="10" t="s">
        <v>64</v>
      </c>
      <c r="AO88" s="8" t="s">
        <v>3756</v>
      </c>
      <c r="AP88" s="15">
        <v>31</v>
      </c>
      <c r="AQ88" s="15" t="s">
        <v>94</v>
      </c>
      <c r="AR88" s="8" t="s">
        <v>3762</v>
      </c>
      <c r="AS88" s="10" t="s">
        <v>3781</v>
      </c>
      <c r="AT88" s="10" t="s">
        <v>901</v>
      </c>
      <c r="AU88" s="96"/>
      <c r="AV88" s="17"/>
      <c r="AW88" s="10"/>
      <c r="AX88" s="7" t="s">
        <v>902</v>
      </c>
      <c r="AY88" s="10" t="s">
        <v>903</v>
      </c>
      <c r="AZ88" s="10" t="s">
        <v>904</v>
      </c>
      <c r="BA88" s="10" t="s">
        <v>905</v>
      </c>
      <c r="BB88" s="18"/>
      <c r="BC88" s="41" t="s">
        <v>906</v>
      </c>
    </row>
    <row r="89" spans="1:55" ht="70" customHeight="1" x14ac:dyDescent="0.2">
      <c r="A89" s="88" t="s">
        <v>4273</v>
      </c>
      <c r="B89" s="6" t="s">
        <v>907</v>
      </c>
      <c r="C89" s="7" t="s">
        <v>864</v>
      </c>
      <c r="D89" s="8" t="s">
        <v>49</v>
      </c>
      <c r="E89" s="8" t="s">
        <v>50</v>
      </c>
      <c r="F89" s="9" t="s">
        <v>282</v>
      </c>
      <c r="G89" s="9" t="s">
        <v>283</v>
      </c>
      <c r="H89" s="10" t="s">
        <v>4155</v>
      </c>
      <c r="I89" s="10" t="s">
        <v>140</v>
      </c>
      <c r="J89" s="7" t="s">
        <v>908</v>
      </c>
      <c r="K89" s="10" t="s">
        <v>55</v>
      </c>
      <c r="L89" s="9" t="s">
        <v>282</v>
      </c>
      <c r="M89" s="9" t="s">
        <v>283</v>
      </c>
      <c r="N89" s="10" t="s">
        <v>4592</v>
      </c>
      <c r="O89" s="8" t="s">
        <v>140</v>
      </c>
      <c r="P89" s="8" t="s">
        <v>56</v>
      </c>
      <c r="Q89" s="10" t="s">
        <v>909</v>
      </c>
      <c r="R89" s="10" t="s">
        <v>72</v>
      </c>
      <c r="S89" s="10"/>
      <c r="T89" s="8" t="s">
        <v>73</v>
      </c>
      <c r="U89" s="11">
        <v>26923</v>
      </c>
      <c r="V89" s="12">
        <v>1973</v>
      </c>
      <c r="W89" s="13">
        <v>45167</v>
      </c>
      <c r="X89" s="14">
        <v>2023</v>
      </c>
      <c r="Y89" s="13" t="s">
        <v>94</v>
      </c>
      <c r="Z89" s="13" t="s">
        <v>94</v>
      </c>
      <c r="AA89" s="13" t="s">
        <v>94</v>
      </c>
      <c r="AB89" s="13" t="s">
        <v>94</v>
      </c>
      <c r="AC89" s="13" t="s">
        <v>94</v>
      </c>
      <c r="AD89" s="15"/>
      <c r="AE89" s="27"/>
      <c r="AF89" s="8" t="s">
        <v>910</v>
      </c>
      <c r="AG89" s="16">
        <v>530000000</v>
      </c>
      <c r="AH89" s="16">
        <v>620100</v>
      </c>
      <c r="AI89" s="16">
        <v>638389.47</v>
      </c>
      <c r="AJ89" s="16" t="s">
        <v>76</v>
      </c>
      <c r="AK89" s="28" t="s">
        <v>94</v>
      </c>
      <c r="AL89" s="16" t="s">
        <v>94</v>
      </c>
      <c r="AM89" s="16" t="s">
        <v>94</v>
      </c>
      <c r="AN89" s="10" t="s">
        <v>64</v>
      </c>
      <c r="AO89" s="8" t="s">
        <v>3758</v>
      </c>
      <c r="AP89" s="15">
        <v>4</v>
      </c>
      <c r="AQ89" s="15" t="s">
        <v>94</v>
      </c>
      <c r="AR89" s="8" t="s">
        <v>3762</v>
      </c>
      <c r="AS89" s="10" t="s">
        <v>3781</v>
      </c>
      <c r="AT89" s="10" t="s">
        <v>901</v>
      </c>
      <c r="AU89" s="96"/>
      <c r="AV89" s="17"/>
      <c r="AW89" s="10"/>
      <c r="AX89" s="7" t="s">
        <v>911</v>
      </c>
      <c r="AY89" s="10" t="s">
        <v>912</v>
      </c>
      <c r="AZ89" s="10" t="s">
        <v>913</v>
      </c>
      <c r="BA89" s="10" t="s">
        <v>914</v>
      </c>
      <c r="BB89" s="18" t="s">
        <v>915</v>
      </c>
      <c r="BC89" s="41" t="s">
        <v>916</v>
      </c>
    </row>
    <row r="90" spans="1:55" ht="70" customHeight="1" x14ac:dyDescent="0.2">
      <c r="A90" s="88" t="s">
        <v>4274</v>
      </c>
      <c r="B90" s="6" t="s">
        <v>917</v>
      </c>
      <c r="C90" s="7" t="s">
        <v>918</v>
      </c>
      <c r="D90" s="8" t="s">
        <v>49</v>
      </c>
      <c r="E90" s="8" t="s">
        <v>50</v>
      </c>
      <c r="F90" s="9" t="s">
        <v>919</v>
      </c>
      <c r="G90" s="9" t="s">
        <v>920</v>
      </c>
      <c r="H90" s="10" t="s">
        <v>4153</v>
      </c>
      <c r="I90" s="10" t="s">
        <v>53</v>
      </c>
      <c r="J90" s="7" t="s">
        <v>921</v>
      </c>
      <c r="K90" s="10" t="s">
        <v>49</v>
      </c>
      <c r="L90" s="9" t="s">
        <v>922</v>
      </c>
      <c r="M90" s="9" t="s">
        <v>923</v>
      </c>
      <c r="N90" s="10" t="s">
        <v>572</v>
      </c>
      <c r="O90" s="8" t="s">
        <v>140</v>
      </c>
      <c r="P90" s="8" t="s">
        <v>144</v>
      </c>
      <c r="Q90" s="10" t="s">
        <v>924</v>
      </c>
      <c r="R90" s="10" t="s">
        <v>529</v>
      </c>
      <c r="S90" s="10"/>
      <c r="T90" s="8" t="s">
        <v>60</v>
      </c>
      <c r="U90" s="11">
        <v>36287</v>
      </c>
      <c r="V90" s="12">
        <v>1999</v>
      </c>
      <c r="W90" s="13">
        <v>36510</v>
      </c>
      <c r="X90" s="14">
        <v>1999</v>
      </c>
      <c r="Y90" s="13">
        <v>36161</v>
      </c>
      <c r="Z90" s="14">
        <v>1999</v>
      </c>
      <c r="AA90" s="13">
        <v>36161</v>
      </c>
      <c r="AB90" s="14">
        <v>1999</v>
      </c>
      <c r="AC90" s="15">
        <v>0</v>
      </c>
      <c r="AD90" s="15">
        <v>1999</v>
      </c>
      <c r="AE90" s="27"/>
      <c r="AF90" s="8" t="s">
        <v>106</v>
      </c>
      <c r="AG90" s="16">
        <v>2870000</v>
      </c>
      <c r="AH90" s="16">
        <v>2870000</v>
      </c>
      <c r="AI90" s="16">
        <v>5403886.1299999999</v>
      </c>
      <c r="AJ90" s="16" t="s">
        <v>76</v>
      </c>
      <c r="AK90" s="28">
        <v>2870000</v>
      </c>
      <c r="AL90" s="16">
        <v>2870000</v>
      </c>
      <c r="AM90" s="16">
        <v>5403886.1299999999</v>
      </c>
      <c r="AN90" s="10" t="s">
        <v>149</v>
      </c>
      <c r="AO90" s="8" t="s">
        <v>150</v>
      </c>
      <c r="AP90" s="15" t="s">
        <v>151</v>
      </c>
      <c r="AQ90" s="15" t="s">
        <v>151</v>
      </c>
      <c r="AR90" s="8" t="s">
        <v>3759</v>
      </c>
      <c r="AS90" s="10" t="s">
        <v>3803</v>
      </c>
      <c r="AT90" s="10" t="s">
        <v>3795</v>
      </c>
      <c r="AU90" s="96"/>
      <c r="AV90" s="17" t="s">
        <v>925</v>
      </c>
      <c r="AW90" s="10"/>
      <c r="AX90" s="7" t="s">
        <v>4012</v>
      </c>
      <c r="AY90" s="10" t="s">
        <v>926</v>
      </c>
      <c r="AZ90" s="10" t="s">
        <v>927</v>
      </c>
      <c r="BA90" s="10" t="s">
        <v>928</v>
      </c>
      <c r="BB90" s="18"/>
      <c r="BC90" s="41" t="s">
        <v>929</v>
      </c>
    </row>
    <row r="91" spans="1:55" ht="70" customHeight="1" x14ac:dyDescent="0.2">
      <c r="A91" s="88" t="s">
        <v>4275</v>
      </c>
      <c r="B91" s="6" t="s">
        <v>930</v>
      </c>
      <c r="C91" s="7" t="s">
        <v>918</v>
      </c>
      <c r="D91" s="8" t="s">
        <v>49</v>
      </c>
      <c r="E91" s="8" t="s">
        <v>50</v>
      </c>
      <c r="F91" s="9" t="s">
        <v>919</v>
      </c>
      <c r="G91" s="9" t="s">
        <v>920</v>
      </c>
      <c r="H91" s="10" t="s">
        <v>4153</v>
      </c>
      <c r="I91" s="10" t="s">
        <v>53</v>
      </c>
      <c r="J91" s="7" t="s">
        <v>931</v>
      </c>
      <c r="K91" s="10" t="s">
        <v>55</v>
      </c>
      <c r="L91" s="9" t="s">
        <v>919</v>
      </c>
      <c r="M91" s="9" t="s">
        <v>920</v>
      </c>
      <c r="N91" s="10" t="s">
        <v>4153</v>
      </c>
      <c r="O91" s="8" t="s">
        <v>53</v>
      </c>
      <c r="P91" s="8" t="s">
        <v>56</v>
      </c>
      <c r="Q91" s="10" t="s">
        <v>932</v>
      </c>
      <c r="R91" s="10" t="s">
        <v>72</v>
      </c>
      <c r="S91" s="10"/>
      <c r="T91" s="8" t="s">
        <v>73</v>
      </c>
      <c r="U91" s="11">
        <v>32662</v>
      </c>
      <c r="V91" s="12">
        <v>1989</v>
      </c>
      <c r="W91" s="13" t="s">
        <v>94</v>
      </c>
      <c r="X91" s="14">
        <v>2006</v>
      </c>
      <c r="Y91" s="13">
        <v>38718</v>
      </c>
      <c r="Z91" s="14">
        <v>2006</v>
      </c>
      <c r="AA91" s="13">
        <v>38718</v>
      </c>
      <c r="AB91" s="36">
        <v>2006</v>
      </c>
      <c r="AC91" s="15">
        <v>0</v>
      </c>
      <c r="AD91" s="36">
        <v>2006</v>
      </c>
      <c r="AE91" s="27"/>
      <c r="AF91" s="8" t="s">
        <v>933</v>
      </c>
      <c r="AG91" s="16">
        <v>70000</v>
      </c>
      <c r="AH91" s="16">
        <v>8779.15</v>
      </c>
      <c r="AI91" s="16">
        <v>13660.33</v>
      </c>
      <c r="AJ91" s="16" t="s">
        <v>76</v>
      </c>
      <c r="AK91" s="16">
        <v>70000</v>
      </c>
      <c r="AL91" s="16">
        <v>8779.15</v>
      </c>
      <c r="AM91" s="16">
        <v>13660.33</v>
      </c>
      <c r="AN91" s="10" t="s">
        <v>64</v>
      </c>
      <c r="AO91" s="8" t="s">
        <v>3758</v>
      </c>
      <c r="AP91" s="15">
        <v>1</v>
      </c>
      <c r="AQ91" s="15">
        <v>1</v>
      </c>
      <c r="AR91" s="8" t="s">
        <v>3765</v>
      </c>
      <c r="AS91" s="8" t="s">
        <v>3778</v>
      </c>
      <c r="AT91" s="10" t="s">
        <v>3795</v>
      </c>
      <c r="AU91" s="96"/>
      <c r="AV91" s="17" t="s">
        <v>934</v>
      </c>
      <c r="AW91" s="10"/>
      <c r="AX91" s="7" t="s">
        <v>641</v>
      </c>
      <c r="AY91" s="10" t="s">
        <v>935</v>
      </c>
      <c r="AZ91" s="10" t="s">
        <v>936</v>
      </c>
      <c r="BA91" s="10" t="s">
        <v>937</v>
      </c>
      <c r="BB91" s="18"/>
      <c r="BC91" s="41" t="s">
        <v>938</v>
      </c>
    </row>
    <row r="92" spans="1:55" ht="70" customHeight="1" x14ac:dyDescent="0.2">
      <c r="A92" s="88" t="s">
        <v>4276</v>
      </c>
      <c r="B92" s="6" t="s">
        <v>939</v>
      </c>
      <c r="C92" s="7" t="s">
        <v>940</v>
      </c>
      <c r="D92" s="8" t="s">
        <v>49</v>
      </c>
      <c r="E92" s="8" t="s">
        <v>50</v>
      </c>
      <c r="F92" s="9" t="s">
        <v>941</v>
      </c>
      <c r="G92" s="9" t="s">
        <v>942</v>
      </c>
      <c r="H92" s="10" t="s">
        <v>4155</v>
      </c>
      <c r="I92" s="10" t="s">
        <v>53</v>
      </c>
      <c r="J92" s="7" t="s">
        <v>943</v>
      </c>
      <c r="K92" s="10" t="s">
        <v>55</v>
      </c>
      <c r="L92" s="9" t="s">
        <v>941</v>
      </c>
      <c r="M92" s="9" t="s">
        <v>942</v>
      </c>
      <c r="N92" s="10" t="s">
        <v>4592</v>
      </c>
      <c r="O92" s="8" t="s">
        <v>53</v>
      </c>
      <c r="P92" s="8" t="s">
        <v>56</v>
      </c>
      <c r="Q92" s="10" t="s">
        <v>944</v>
      </c>
      <c r="R92" s="10" t="s">
        <v>72</v>
      </c>
      <c r="S92" s="10"/>
      <c r="T92" s="8" t="s">
        <v>73</v>
      </c>
      <c r="U92" s="11">
        <v>31048</v>
      </c>
      <c r="V92" s="12">
        <v>1985</v>
      </c>
      <c r="W92" s="13">
        <v>38558</v>
      </c>
      <c r="X92" s="14">
        <v>2005</v>
      </c>
      <c r="Y92" s="13">
        <v>38718</v>
      </c>
      <c r="Z92" s="15">
        <v>2006</v>
      </c>
      <c r="AA92" s="13">
        <v>42370</v>
      </c>
      <c r="AB92" s="14">
        <v>2016</v>
      </c>
      <c r="AC92" s="14">
        <v>10</v>
      </c>
      <c r="AD92" s="14">
        <v>2016</v>
      </c>
      <c r="AE92" s="27"/>
      <c r="AF92" s="8" t="s">
        <v>945</v>
      </c>
      <c r="AG92" s="28">
        <v>80000000000</v>
      </c>
      <c r="AH92" s="16">
        <v>25100000</v>
      </c>
      <c r="AI92" s="16">
        <v>32805684.420000002</v>
      </c>
      <c r="AJ92" s="16" t="s">
        <v>63</v>
      </c>
      <c r="AK92" s="28">
        <v>80000000000</v>
      </c>
      <c r="AL92" s="16">
        <v>25100000</v>
      </c>
      <c r="AM92" s="16">
        <v>32805684.420000002</v>
      </c>
      <c r="AN92" s="54" t="s">
        <v>3755</v>
      </c>
      <c r="AO92" s="8" t="s">
        <v>3757</v>
      </c>
      <c r="AP92" s="43">
        <v>4000</v>
      </c>
      <c r="AQ92" s="43">
        <v>4000</v>
      </c>
      <c r="AR92" s="8" t="s">
        <v>3765</v>
      </c>
      <c r="AS92" s="10" t="s">
        <v>3783</v>
      </c>
      <c r="AT92" s="10" t="s">
        <v>946</v>
      </c>
      <c r="AU92" s="96"/>
      <c r="AV92" s="17" t="s">
        <v>3883</v>
      </c>
      <c r="AW92" s="10" t="s">
        <v>947</v>
      </c>
      <c r="AX92" s="7" t="s">
        <v>3825</v>
      </c>
      <c r="AY92" s="10" t="s">
        <v>948</v>
      </c>
      <c r="AZ92" s="10" t="s">
        <v>949</v>
      </c>
      <c r="BA92" s="10" t="s">
        <v>950</v>
      </c>
      <c r="BB92" s="18" t="s">
        <v>951</v>
      </c>
      <c r="BC92" s="41" t="s">
        <v>952</v>
      </c>
    </row>
    <row r="93" spans="1:55" ht="70" customHeight="1" x14ac:dyDescent="0.2">
      <c r="A93" s="88" t="s">
        <v>4277</v>
      </c>
      <c r="B93" s="6" t="s">
        <v>953</v>
      </c>
      <c r="C93" s="7" t="s">
        <v>940</v>
      </c>
      <c r="D93" s="8" t="s">
        <v>49</v>
      </c>
      <c r="E93" s="8" t="s">
        <v>50</v>
      </c>
      <c r="F93" s="9" t="s">
        <v>941</v>
      </c>
      <c r="G93" s="9" t="s">
        <v>942</v>
      </c>
      <c r="H93" s="10" t="s">
        <v>4155</v>
      </c>
      <c r="I93" s="10" t="s">
        <v>53</v>
      </c>
      <c r="J93" s="7" t="s">
        <v>954</v>
      </c>
      <c r="K93" s="10" t="s">
        <v>55</v>
      </c>
      <c r="L93" s="9" t="s">
        <v>941</v>
      </c>
      <c r="M93" s="9" t="s">
        <v>942</v>
      </c>
      <c r="N93" s="10" t="s">
        <v>4592</v>
      </c>
      <c r="O93" s="8" t="s">
        <v>53</v>
      </c>
      <c r="P93" s="8" t="s">
        <v>56</v>
      </c>
      <c r="Q93" s="10" t="s">
        <v>955</v>
      </c>
      <c r="R93" s="10" t="s">
        <v>72</v>
      </c>
      <c r="S93" s="10"/>
      <c r="T93" s="8" t="s">
        <v>73</v>
      </c>
      <c r="U93" s="11">
        <v>31048</v>
      </c>
      <c r="V93" s="12">
        <v>1985</v>
      </c>
      <c r="W93" s="13">
        <v>40705</v>
      </c>
      <c r="X93" s="14">
        <v>2011</v>
      </c>
      <c r="Y93" s="13">
        <v>40544</v>
      </c>
      <c r="Z93" s="14">
        <v>2011</v>
      </c>
      <c r="AA93" s="13">
        <v>44197</v>
      </c>
      <c r="AB93" s="14">
        <v>2021</v>
      </c>
      <c r="AC93" s="15">
        <v>10</v>
      </c>
      <c r="AD93" s="15">
        <v>2021</v>
      </c>
      <c r="AE93" s="27" t="s">
        <v>956</v>
      </c>
      <c r="AF93" s="8" t="s">
        <v>945</v>
      </c>
      <c r="AG93" s="28">
        <v>8400000000000</v>
      </c>
      <c r="AH93" s="37">
        <v>2200000000</v>
      </c>
      <c r="AI93" s="16">
        <v>2546834704.9499998</v>
      </c>
      <c r="AJ93" s="16" t="s">
        <v>63</v>
      </c>
      <c r="AK93" s="28">
        <v>8400000000000</v>
      </c>
      <c r="AL93" s="37">
        <v>2200000000</v>
      </c>
      <c r="AM93" s="16">
        <v>2546834704.9499998</v>
      </c>
      <c r="AN93" s="10" t="s">
        <v>64</v>
      </c>
      <c r="AO93" s="8" t="s">
        <v>3757</v>
      </c>
      <c r="AP93" s="43">
        <v>1100000</v>
      </c>
      <c r="AQ93" s="43">
        <v>1100000</v>
      </c>
      <c r="AR93" s="8" t="s">
        <v>3765</v>
      </c>
      <c r="AS93" s="10" t="s">
        <v>3781</v>
      </c>
      <c r="AT93" s="10" t="s">
        <v>3795</v>
      </c>
      <c r="AU93" s="96" t="s">
        <v>107</v>
      </c>
      <c r="AV93" s="17" t="s">
        <v>957</v>
      </c>
      <c r="AW93" s="10" t="s">
        <v>958</v>
      </c>
      <c r="AX93" s="7" t="s">
        <v>3826</v>
      </c>
      <c r="AY93" s="10" t="s">
        <v>959</v>
      </c>
      <c r="AZ93" s="10" t="s">
        <v>960</v>
      </c>
      <c r="BA93" s="10" t="s">
        <v>961</v>
      </c>
      <c r="BB93" s="18" t="s">
        <v>962</v>
      </c>
      <c r="BC93" s="41" t="s">
        <v>963</v>
      </c>
    </row>
    <row r="94" spans="1:55" ht="70" customHeight="1" x14ac:dyDescent="0.2">
      <c r="A94" s="88" t="s">
        <v>4278</v>
      </c>
      <c r="B94" s="6" t="s">
        <v>964</v>
      </c>
      <c r="C94" s="7" t="s">
        <v>965</v>
      </c>
      <c r="D94" s="8" t="s">
        <v>49</v>
      </c>
      <c r="E94" s="8" t="s">
        <v>50</v>
      </c>
      <c r="F94" s="9" t="s">
        <v>4587</v>
      </c>
      <c r="G94" s="9" t="s">
        <v>966</v>
      </c>
      <c r="H94" s="10" t="s">
        <v>380</v>
      </c>
      <c r="I94" s="10" t="s">
        <v>103</v>
      </c>
      <c r="J94" s="7" t="s">
        <v>967</v>
      </c>
      <c r="K94" s="10" t="s">
        <v>55</v>
      </c>
      <c r="L94" s="9" t="s">
        <v>4587</v>
      </c>
      <c r="M94" s="9" t="s">
        <v>966</v>
      </c>
      <c r="N94" s="10" t="s">
        <v>380</v>
      </c>
      <c r="O94" s="8" t="s">
        <v>103</v>
      </c>
      <c r="P94" s="8" t="s">
        <v>56</v>
      </c>
      <c r="Q94" s="10" t="s">
        <v>968</v>
      </c>
      <c r="R94" s="10" t="s">
        <v>72</v>
      </c>
      <c r="S94" s="10"/>
      <c r="T94" s="8" t="s">
        <v>73</v>
      </c>
      <c r="U94" s="11">
        <v>32874</v>
      </c>
      <c r="V94" s="12">
        <v>1990</v>
      </c>
      <c r="W94" s="13">
        <v>42148</v>
      </c>
      <c r="X94" s="14">
        <v>2015</v>
      </c>
      <c r="Y94" s="13">
        <v>42005</v>
      </c>
      <c r="Z94" s="14">
        <v>2015</v>
      </c>
      <c r="AA94" s="13">
        <v>42005</v>
      </c>
      <c r="AB94" s="14">
        <v>2015</v>
      </c>
      <c r="AC94" s="15">
        <v>0</v>
      </c>
      <c r="AD94" s="15">
        <v>2015</v>
      </c>
      <c r="AE94" s="27"/>
      <c r="AF94" s="8" t="s">
        <v>562</v>
      </c>
      <c r="AG94" s="28">
        <v>8000000000</v>
      </c>
      <c r="AH94" s="28">
        <v>13000000</v>
      </c>
      <c r="AI94" s="16">
        <v>17205335.48</v>
      </c>
      <c r="AJ94" s="16" t="s">
        <v>76</v>
      </c>
      <c r="AK94" s="28">
        <v>8000000000</v>
      </c>
      <c r="AL94" s="28">
        <v>13000000</v>
      </c>
      <c r="AM94" s="16">
        <v>17205335.48</v>
      </c>
      <c r="AN94" s="10" t="s">
        <v>64</v>
      </c>
      <c r="AO94" s="8" t="s">
        <v>3756</v>
      </c>
      <c r="AP94" s="43">
        <v>4500</v>
      </c>
      <c r="AQ94" s="43">
        <v>4500</v>
      </c>
      <c r="AR94" s="8" t="s">
        <v>3765</v>
      </c>
      <c r="AS94" s="10" t="s">
        <v>3781</v>
      </c>
      <c r="AT94" s="10" t="s">
        <v>3795</v>
      </c>
      <c r="AU94" s="96"/>
      <c r="AV94" s="17" t="s">
        <v>969</v>
      </c>
      <c r="AW94" s="10"/>
      <c r="AX94" s="7" t="s">
        <v>4013</v>
      </c>
      <c r="AY94" s="10" t="s">
        <v>970</v>
      </c>
      <c r="AZ94" s="10" t="s">
        <v>971</v>
      </c>
      <c r="BA94" s="10" t="s">
        <v>972</v>
      </c>
      <c r="BB94" s="18"/>
      <c r="BC94" s="41" t="s">
        <v>973</v>
      </c>
    </row>
    <row r="95" spans="1:55" ht="70" customHeight="1" x14ac:dyDescent="0.2">
      <c r="A95" s="88" t="s">
        <v>4279</v>
      </c>
      <c r="B95" s="6" t="s">
        <v>974</v>
      </c>
      <c r="C95" s="7" t="s">
        <v>975</v>
      </c>
      <c r="D95" s="8" t="s">
        <v>49</v>
      </c>
      <c r="E95" s="8" t="s">
        <v>50</v>
      </c>
      <c r="F95" s="9" t="s">
        <v>976</v>
      </c>
      <c r="G95" s="9" t="s">
        <v>977</v>
      </c>
      <c r="H95" s="10" t="s">
        <v>4154</v>
      </c>
      <c r="I95" s="10" t="s">
        <v>140</v>
      </c>
      <c r="J95" s="7" t="s">
        <v>978</v>
      </c>
      <c r="K95" s="10" t="s">
        <v>55</v>
      </c>
      <c r="L95" s="9" t="s">
        <v>976</v>
      </c>
      <c r="M95" s="9" t="s">
        <v>977</v>
      </c>
      <c r="N95" s="10" t="s">
        <v>4154</v>
      </c>
      <c r="O95" s="8" t="s">
        <v>140</v>
      </c>
      <c r="P95" s="8" t="s">
        <v>56</v>
      </c>
      <c r="Q95" s="10" t="s">
        <v>979</v>
      </c>
      <c r="R95" s="10" t="s">
        <v>240</v>
      </c>
      <c r="S95" s="10"/>
      <c r="T95" s="8" t="s">
        <v>73</v>
      </c>
      <c r="U95" s="11">
        <v>33090</v>
      </c>
      <c r="V95" s="12">
        <v>1990</v>
      </c>
      <c r="W95" s="13">
        <v>42153</v>
      </c>
      <c r="X95" s="14">
        <v>2015</v>
      </c>
      <c r="Y95" s="13">
        <v>42370</v>
      </c>
      <c r="Z95" s="15">
        <v>2016</v>
      </c>
      <c r="AA95" s="13" t="s">
        <v>94</v>
      </c>
      <c r="AB95" s="13" t="s">
        <v>94</v>
      </c>
      <c r="AC95" s="13" t="s">
        <v>94</v>
      </c>
      <c r="AD95" s="15"/>
      <c r="AE95" s="27"/>
      <c r="AF95" s="8" t="s">
        <v>75</v>
      </c>
      <c r="AG95" s="16">
        <v>900000</v>
      </c>
      <c r="AH95" s="16">
        <v>998561.6</v>
      </c>
      <c r="AI95" s="16">
        <v>1321583.6399999999</v>
      </c>
      <c r="AJ95" s="16" t="s">
        <v>76</v>
      </c>
      <c r="AK95" s="28" t="s">
        <v>94</v>
      </c>
      <c r="AL95" s="28" t="s">
        <v>94</v>
      </c>
      <c r="AM95" s="28" t="s">
        <v>94</v>
      </c>
      <c r="AN95" s="10" t="s">
        <v>64</v>
      </c>
      <c r="AO95" s="8" t="s">
        <v>3757</v>
      </c>
      <c r="AP95" s="15">
        <v>146</v>
      </c>
      <c r="AQ95" s="15" t="s">
        <v>94</v>
      </c>
      <c r="AR95" s="8" t="s">
        <v>3765</v>
      </c>
      <c r="AS95" s="10" t="s">
        <v>3785</v>
      </c>
      <c r="AT95" s="10" t="s">
        <v>3795</v>
      </c>
      <c r="AU95" s="96"/>
      <c r="AV95" s="17" t="s">
        <v>980</v>
      </c>
      <c r="AW95" s="10" t="s">
        <v>3951</v>
      </c>
      <c r="AX95" s="7" t="s">
        <v>981</v>
      </c>
      <c r="AY95" s="10" t="s">
        <v>982</v>
      </c>
      <c r="AZ95" s="10" t="s">
        <v>983</v>
      </c>
      <c r="BA95" s="10" t="s">
        <v>984</v>
      </c>
      <c r="BB95" s="18"/>
      <c r="BC95" s="41" t="s">
        <v>985</v>
      </c>
    </row>
    <row r="96" spans="1:55" ht="70" customHeight="1" x14ac:dyDescent="0.2">
      <c r="A96" s="88" t="s">
        <v>4280</v>
      </c>
      <c r="B96" s="6" t="s">
        <v>986</v>
      </c>
      <c r="C96" s="7" t="s">
        <v>975</v>
      </c>
      <c r="D96" s="8" t="s">
        <v>49</v>
      </c>
      <c r="E96" s="8" t="s">
        <v>50</v>
      </c>
      <c r="F96" s="9" t="s">
        <v>976</v>
      </c>
      <c r="G96" s="9" t="s">
        <v>977</v>
      </c>
      <c r="H96" s="10" t="s">
        <v>4154</v>
      </c>
      <c r="I96" s="10" t="s">
        <v>140</v>
      </c>
      <c r="J96" s="7" t="s">
        <v>987</v>
      </c>
      <c r="K96" s="10" t="s">
        <v>55</v>
      </c>
      <c r="L96" s="9" t="s">
        <v>976</v>
      </c>
      <c r="M96" s="9" t="s">
        <v>977</v>
      </c>
      <c r="N96" s="10" t="s">
        <v>4154</v>
      </c>
      <c r="O96" s="8" t="s">
        <v>140</v>
      </c>
      <c r="P96" s="8" t="s">
        <v>56</v>
      </c>
      <c r="Q96" s="10" t="s">
        <v>988</v>
      </c>
      <c r="R96" s="10" t="s">
        <v>72</v>
      </c>
      <c r="S96" s="10"/>
      <c r="T96" s="8" t="s">
        <v>60</v>
      </c>
      <c r="U96" s="11">
        <v>33623</v>
      </c>
      <c r="V96" s="12">
        <v>1992</v>
      </c>
      <c r="W96" s="13">
        <v>42768</v>
      </c>
      <c r="X96" s="14">
        <v>2017</v>
      </c>
      <c r="Y96" s="13" t="s">
        <v>94</v>
      </c>
      <c r="Z96" s="13" t="s">
        <v>94</v>
      </c>
      <c r="AA96" s="13" t="s">
        <v>94</v>
      </c>
      <c r="AB96" s="13" t="s">
        <v>94</v>
      </c>
      <c r="AC96" s="13" t="s">
        <v>94</v>
      </c>
      <c r="AD96" s="15"/>
      <c r="AE96" s="27"/>
      <c r="AF96" s="8" t="s">
        <v>75</v>
      </c>
      <c r="AG96" s="16">
        <v>46000</v>
      </c>
      <c r="AH96" s="16">
        <v>51965.33</v>
      </c>
      <c r="AI96" s="16">
        <v>66501.929999999993</v>
      </c>
      <c r="AJ96" s="16" t="s">
        <v>76</v>
      </c>
      <c r="AK96" s="28" t="s">
        <v>94</v>
      </c>
      <c r="AL96" s="16" t="s">
        <v>94</v>
      </c>
      <c r="AM96" s="16" t="s">
        <v>94</v>
      </c>
      <c r="AN96" s="10" t="s">
        <v>64</v>
      </c>
      <c r="AO96" s="8" t="s">
        <v>3756</v>
      </c>
      <c r="AP96" s="15">
        <v>1</v>
      </c>
      <c r="AQ96" s="15" t="s">
        <v>94</v>
      </c>
      <c r="AR96" s="8" t="s">
        <v>3762</v>
      </c>
      <c r="AS96" s="10" t="s">
        <v>3781</v>
      </c>
      <c r="AT96" s="10" t="s">
        <v>3791</v>
      </c>
      <c r="AU96" s="96"/>
      <c r="AV96" s="17"/>
      <c r="AW96" s="10"/>
      <c r="AX96" s="7" t="s">
        <v>469</v>
      </c>
      <c r="AY96" s="10" t="s">
        <v>989</v>
      </c>
      <c r="AZ96" s="10" t="s">
        <v>990</v>
      </c>
      <c r="BA96" s="10" t="s">
        <v>991</v>
      </c>
      <c r="BB96" s="18"/>
      <c r="BC96" s="41" t="s">
        <v>992</v>
      </c>
    </row>
    <row r="97" spans="1:55" ht="70" customHeight="1" x14ac:dyDescent="0.2">
      <c r="A97" s="88" t="s">
        <v>4281</v>
      </c>
      <c r="B97" s="6" t="s">
        <v>993</v>
      </c>
      <c r="C97" s="7" t="s">
        <v>975</v>
      </c>
      <c r="D97" s="8" t="s">
        <v>49</v>
      </c>
      <c r="E97" s="8" t="s">
        <v>50</v>
      </c>
      <c r="F97" s="9" t="s">
        <v>976</v>
      </c>
      <c r="G97" s="9" t="s">
        <v>977</v>
      </c>
      <c r="H97" s="10" t="s">
        <v>4154</v>
      </c>
      <c r="I97" s="10" t="s">
        <v>140</v>
      </c>
      <c r="J97" s="7" t="s">
        <v>994</v>
      </c>
      <c r="K97" s="10" t="s">
        <v>55</v>
      </c>
      <c r="L97" s="9" t="s">
        <v>995</v>
      </c>
      <c r="M97" s="9" t="s">
        <v>996</v>
      </c>
      <c r="N97" s="10" t="s">
        <v>4154</v>
      </c>
      <c r="O97" s="8" t="s">
        <v>53</v>
      </c>
      <c r="P97" s="8" t="s">
        <v>144</v>
      </c>
      <c r="Q97" s="10" t="s">
        <v>997</v>
      </c>
      <c r="R97" s="10" t="s">
        <v>72</v>
      </c>
      <c r="S97" s="10"/>
      <c r="T97" s="8" t="s">
        <v>60</v>
      </c>
      <c r="U97" s="11">
        <v>33451</v>
      </c>
      <c r="V97" s="12">
        <v>1991</v>
      </c>
      <c r="W97" s="13">
        <v>43205</v>
      </c>
      <c r="X97" s="14">
        <v>2018</v>
      </c>
      <c r="Y97" s="13" t="s">
        <v>94</v>
      </c>
      <c r="Z97" s="13" t="s">
        <v>94</v>
      </c>
      <c r="AA97" s="13" t="s">
        <v>94</v>
      </c>
      <c r="AB97" s="13" t="s">
        <v>94</v>
      </c>
      <c r="AC97" s="13" t="s">
        <v>94</v>
      </c>
      <c r="AD97" s="15"/>
      <c r="AE97" s="27"/>
      <c r="AF97" s="8" t="s">
        <v>75</v>
      </c>
      <c r="AG97" s="16">
        <v>8000</v>
      </c>
      <c r="AH97" s="16">
        <v>9447.64</v>
      </c>
      <c r="AI97" s="16">
        <v>11802.22</v>
      </c>
      <c r="AJ97" s="16" t="s">
        <v>76</v>
      </c>
      <c r="AK97" s="28" t="s">
        <v>94</v>
      </c>
      <c r="AL97" s="16" t="s">
        <v>94</v>
      </c>
      <c r="AM97" s="16" t="s">
        <v>94</v>
      </c>
      <c r="AN97" s="10" t="s">
        <v>64</v>
      </c>
      <c r="AO97" s="8" t="s">
        <v>3756</v>
      </c>
      <c r="AP97" s="15">
        <v>1</v>
      </c>
      <c r="AQ97" s="15" t="s">
        <v>94</v>
      </c>
      <c r="AR97" s="8" t="s">
        <v>3762</v>
      </c>
      <c r="AS97" s="10" t="s">
        <v>3781</v>
      </c>
      <c r="AT97" s="10" t="s">
        <v>3792</v>
      </c>
      <c r="AU97" s="96"/>
      <c r="AV97" s="17"/>
      <c r="AW97" s="10"/>
      <c r="AX97" s="7" t="s">
        <v>469</v>
      </c>
      <c r="AY97" s="10" t="s">
        <v>998</v>
      </c>
      <c r="AZ97" s="10" t="s">
        <v>999</v>
      </c>
      <c r="BA97" s="10" t="s">
        <v>1000</v>
      </c>
      <c r="BB97" s="18"/>
      <c r="BC97" s="41" t="s">
        <v>1001</v>
      </c>
    </row>
    <row r="98" spans="1:55" ht="70" customHeight="1" x14ac:dyDescent="0.2">
      <c r="A98" s="88" t="s">
        <v>4282</v>
      </c>
      <c r="B98" s="6" t="s">
        <v>1002</v>
      </c>
      <c r="C98" s="7" t="s">
        <v>1003</v>
      </c>
      <c r="D98" s="8" t="s">
        <v>453</v>
      </c>
      <c r="E98" s="8" t="s">
        <v>280</v>
      </c>
      <c r="F98" s="9" t="s">
        <v>976</v>
      </c>
      <c r="G98" s="9" t="s">
        <v>977</v>
      </c>
      <c r="H98" s="10" t="s">
        <v>4154</v>
      </c>
      <c r="I98" s="10" t="s">
        <v>140</v>
      </c>
      <c r="J98" s="7" t="s">
        <v>1004</v>
      </c>
      <c r="K98" s="10" t="s">
        <v>55</v>
      </c>
      <c r="L98" s="9" t="s">
        <v>976</v>
      </c>
      <c r="M98" s="9" t="s">
        <v>977</v>
      </c>
      <c r="N98" s="10" t="s">
        <v>4154</v>
      </c>
      <c r="O98" s="8" t="s">
        <v>140</v>
      </c>
      <c r="P98" s="8" t="s">
        <v>56</v>
      </c>
      <c r="Q98" s="10" t="s">
        <v>1005</v>
      </c>
      <c r="R98" s="10" t="s">
        <v>72</v>
      </c>
      <c r="S98" s="10"/>
      <c r="T98" s="8" t="s">
        <v>73</v>
      </c>
      <c r="U98" s="11">
        <v>33239</v>
      </c>
      <c r="V98" s="12">
        <v>1991</v>
      </c>
      <c r="W98" s="13">
        <v>44294</v>
      </c>
      <c r="X98" s="14">
        <v>2021</v>
      </c>
      <c r="Y98" s="13" t="s">
        <v>94</v>
      </c>
      <c r="Z98" s="13" t="s">
        <v>94</v>
      </c>
      <c r="AA98" s="13" t="s">
        <v>94</v>
      </c>
      <c r="AB98" s="13" t="s">
        <v>94</v>
      </c>
      <c r="AC98" s="13" t="s">
        <v>94</v>
      </c>
      <c r="AD98" s="15"/>
      <c r="AE98" s="27"/>
      <c r="AF98" s="8" t="s">
        <v>75</v>
      </c>
      <c r="AG98" s="16">
        <v>356300</v>
      </c>
      <c r="AH98" s="16">
        <v>421468.98</v>
      </c>
      <c r="AI98" s="16">
        <v>487914.47</v>
      </c>
      <c r="AJ98" s="16" t="s">
        <v>76</v>
      </c>
      <c r="AK98" s="28" t="s">
        <v>94</v>
      </c>
      <c r="AL98" s="16" t="s">
        <v>94</v>
      </c>
      <c r="AM98" s="16" t="s">
        <v>94</v>
      </c>
      <c r="AN98" s="10" t="s">
        <v>64</v>
      </c>
      <c r="AO98" s="8" t="s">
        <v>3758</v>
      </c>
      <c r="AP98" s="15">
        <v>13</v>
      </c>
      <c r="AQ98" s="15" t="s">
        <v>94</v>
      </c>
      <c r="AR98" s="8" t="s">
        <v>3762</v>
      </c>
      <c r="AS98" s="10" t="s">
        <v>3781</v>
      </c>
      <c r="AT98" s="10" t="s">
        <v>3795</v>
      </c>
      <c r="AU98" s="96"/>
      <c r="AV98" s="17"/>
      <c r="AW98" s="10"/>
      <c r="AX98" s="7" t="s">
        <v>469</v>
      </c>
      <c r="AY98" s="10" t="s">
        <v>1006</v>
      </c>
      <c r="AZ98" s="10" t="s">
        <v>1007</v>
      </c>
      <c r="BA98" s="10" t="s">
        <v>1008</v>
      </c>
      <c r="BB98" s="18"/>
      <c r="BC98" s="41" t="s">
        <v>1009</v>
      </c>
    </row>
    <row r="99" spans="1:55" ht="70" customHeight="1" x14ac:dyDescent="0.2">
      <c r="A99" s="88" t="s">
        <v>4283</v>
      </c>
      <c r="B99" s="6" t="s">
        <v>1010</v>
      </c>
      <c r="C99" s="7" t="s">
        <v>1011</v>
      </c>
      <c r="D99" s="8" t="s">
        <v>49</v>
      </c>
      <c r="E99" s="8" t="s">
        <v>50</v>
      </c>
      <c r="F99" s="9" t="s">
        <v>4575</v>
      </c>
      <c r="G99" s="9" t="s">
        <v>1012</v>
      </c>
      <c r="H99" s="10" t="s">
        <v>4154</v>
      </c>
      <c r="I99" s="10" t="s">
        <v>140</v>
      </c>
      <c r="J99" s="7" t="s">
        <v>269</v>
      </c>
      <c r="K99" s="7" t="s">
        <v>55</v>
      </c>
      <c r="L99" s="9" t="s">
        <v>4575</v>
      </c>
      <c r="M99" s="9" t="s">
        <v>1012</v>
      </c>
      <c r="N99" s="10" t="s">
        <v>4154</v>
      </c>
      <c r="O99" s="8" t="s">
        <v>140</v>
      </c>
      <c r="P99" s="8" t="s">
        <v>56</v>
      </c>
      <c r="Q99" s="10" t="s">
        <v>1013</v>
      </c>
      <c r="R99" s="10" t="s">
        <v>72</v>
      </c>
      <c r="S99" s="10"/>
      <c r="T99" s="8" t="s">
        <v>73</v>
      </c>
      <c r="U99" s="11">
        <v>17588</v>
      </c>
      <c r="V99" s="12">
        <v>1948</v>
      </c>
      <c r="W99" s="13">
        <v>32986</v>
      </c>
      <c r="X99" s="14">
        <v>1990</v>
      </c>
      <c r="Y99" s="13">
        <v>33055</v>
      </c>
      <c r="Z99" s="15">
        <v>1990</v>
      </c>
      <c r="AA99" s="13">
        <v>33939</v>
      </c>
      <c r="AB99" s="15">
        <v>1992</v>
      </c>
      <c r="AC99" s="15">
        <v>2</v>
      </c>
      <c r="AD99" s="15">
        <v>1992</v>
      </c>
      <c r="AE99" s="27"/>
      <c r="AF99" s="8" t="s">
        <v>106</v>
      </c>
      <c r="AG99" s="28">
        <v>80000000</v>
      </c>
      <c r="AH99" s="16">
        <v>80000000</v>
      </c>
      <c r="AI99" s="16">
        <v>178867569.49000001</v>
      </c>
      <c r="AJ99" s="16" t="s">
        <v>63</v>
      </c>
      <c r="AK99" s="28">
        <v>80000000</v>
      </c>
      <c r="AL99" s="16">
        <v>80000000</v>
      </c>
      <c r="AM99" s="16">
        <v>178867569.49000001</v>
      </c>
      <c r="AN99" s="10" t="s">
        <v>64</v>
      </c>
      <c r="AO99" s="8" t="s">
        <v>3757</v>
      </c>
      <c r="AP99" s="15" t="s">
        <v>94</v>
      </c>
      <c r="AQ99" s="15" t="s">
        <v>94</v>
      </c>
      <c r="AR99" s="8" t="s">
        <v>3765</v>
      </c>
      <c r="AS99" s="10" t="s">
        <v>269</v>
      </c>
      <c r="AT99" s="10" t="s">
        <v>3795</v>
      </c>
      <c r="AU99" s="96"/>
      <c r="AV99" s="17" t="s">
        <v>1014</v>
      </c>
      <c r="AW99" s="10" t="s">
        <v>1010</v>
      </c>
      <c r="AX99" s="7" t="s">
        <v>1015</v>
      </c>
      <c r="AY99" s="10" t="s">
        <v>1016</v>
      </c>
      <c r="AZ99" s="10" t="s">
        <v>4116</v>
      </c>
      <c r="BA99" s="10" t="s">
        <v>1017</v>
      </c>
      <c r="BB99" s="18" t="s">
        <v>1018</v>
      </c>
      <c r="BC99" s="41" t="s">
        <v>1019</v>
      </c>
    </row>
    <row r="100" spans="1:55" ht="70" customHeight="1" x14ac:dyDescent="0.2">
      <c r="A100" s="88" t="s">
        <v>4284</v>
      </c>
      <c r="B100" s="6" t="s">
        <v>1020</v>
      </c>
      <c r="C100" s="7" t="s">
        <v>1021</v>
      </c>
      <c r="D100" s="8" t="s">
        <v>49</v>
      </c>
      <c r="E100" s="8" t="s">
        <v>50</v>
      </c>
      <c r="F100" s="9" t="s">
        <v>1022</v>
      </c>
      <c r="G100" s="9" t="s">
        <v>1023</v>
      </c>
      <c r="H100" s="10" t="s">
        <v>4154</v>
      </c>
      <c r="I100" s="10" t="s">
        <v>140</v>
      </c>
      <c r="J100" s="7" t="s">
        <v>1024</v>
      </c>
      <c r="K100" s="10" t="s">
        <v>55</v>
      </c>
      <c r="L100" s="9" t="s">
        <v>1022</v>
      </c>
      <c r="M100" s="9" t="s">
        <v>1023</v>
      </c>
      <c r="N100" s="10" t="s">
        <v>4154</v>
      </c>
      <c r="O100" s="8" t="s">
        <v>140</v>
      </c>
      <c r="P100" s="8" t="s">
        <v>56</v>
      </c>
      <c r="Q100" s="10" t="s">
        <v>1025</v>
      </c>
      <c r="R100" s="10" t="s">
        <v>177</v>
      </c>
      <c r="S100" s="10"/>
      <c r="T100" s="8" t="s">
        <v>73</v>
      </c>
      <c r="U100" s="11">
        <v>12055</v>
      </c>
      <c r="V100" s="12">
        <v>1933</v>
      </c>
      <c r="W100" s="13">
        <v>16711</v>
      </c>
      <c r="X100" s="14">
        <v>1945</v>
      </c>
      <c r="Y100" s="13" t="s">
        <v>94</v>
      </c>
      <c r="Z100" s="13" t="s">
        <v>94</v>
      </c>
      <c r="AA100" s="13" t="s">
        <v>94</v>
      </c>
      <c r="AB100" s="13" t="s">
        <v>94</v>
      </c>
      <c r="AC100" s="13" t="s">
        <v>94</v>
      </c>
      <c r="AD100" s="13"/>
      <c r="AE100" s="27"/>
      <c r="AF100" s="8" t="s">
        <v>1026</v>
      </c>
      <c r="AG100" s="28">
        <v>2200000</v>
      </c>
      <c r="AH100" s="16" t="s">
        <v>94</v>
      </c>
      <c r="AI100" s="16" t="s">
        <v>94</v>
      </c>
      <c r="AJ100" s="16" t="s">
        <v>63</v>
      </c>
      <c r="AK100" s="28">
        <v>2200000</v>
      </c>
      <c r="AL100" s="16" t="s">
        <v>94</v>
      </c>
      <c r="AM100" s="16" t="s">
        <v>94</v>
      </c>
      <c r="AN100" s="10" t="s">
        <v>64</v>
      </c>
      <c r="AO100" s="8" t="s">
        <v>3756</v>
      </c>
      <c r="AP100" s="43">
        <v>1280</v>
      </c>
      <c r="AQ100" s="43">
        <v>1280</v>
      </c>
      <c r="AR100" s="8" t="s">
        <v>3765</v>
      </c>
      <c r="AS100" s="10" t="s">
        <v>269</v>
      </c>
      <c r="AT100" s="10" t="s">
        <v>3795</v>
      </c>
      <c r="AU100" s="96"/>
      <c r="AV100" s="17" t="s">
        <v>1027</v>
      </c>
      <c r="AW100" s="10"/>
      <c r="AX100" s="7" t="s">
        <v>1028</v>
      </c>
      <c r="AY100" s="10" t="s">
        <v>1029</v>
      </c>
      <c r="AZ100" s="10" t="s">
        <v>1030</v>
      </c>
      <c r="BA100" s="10" t="s">
        <v>1031</v>
      </c>
      <c r="BB100" s="18" t="s">
        <v>1032</v>
      </c>
      <c r="BC100" s="41" t="s">
        <v>1033</v>
      </c>
    </row>
    <row r="101" spans="1:55" ht="70" customHeight="1" x14ac:dyDescent="0.2">
      <c r="A101" s="88" t="s">
        <v>4285</v>
      </c>
      <c r="B101" s="6" t="s">
        <v>1034</v>
      </c>
      <c r="C101" s="7" t="s">
        <v>1021</v>
      </c>
      <c r="D101" s="8" t="s">
        <v>49</v>
      </c>
      <c r="E101" s="8" t="s">
        <v>50</v>
      </c>
      <c r="F101" s="9" t="s">
        <v>1022</v>
      </c>
      <c r="G101" s="9" t="s">
        <v>1023</v>
      </c>
      <c r="H101" s="10" t="s">
        <v>4154</v>
      </c>
      <c r="I101" s="10" t="s">
        <v>140</v>
      </c>
      <c r="J101" s="7" t="s">
        <v>1035</v>
      </c>
      <c r="K101" s="10" t="s">
        <v>55</v>
      </c>
      <c r="L101" s="9" t="s">
        <v>1022</v>
      </c>
      <c r="M101" s="9" t="s">
        <v>1023</v>
      </c>
      <c r="N101" s="10" t="s">
        <v>4154</v>
      </c>
      <c r="O101" s="8" t="s">
        <v>140</v>
      </c>
      <c r="P101" s="8" t="s">
        <v>56</v>
      </c>
      <c r="Q101" s="10" t="s">
        <v>1036</v>
      </c>
      <c r="R101" s="10" t="s">
        <v>162</v>
      </c>
      <c r="S101" s="10" t="s">
        <v>163</v>
      </c>
      <c r="T101" s="8" t="s">
        <v>60</v>
      </c>
      <c r="U101" s="11">
        <v>18629</v>
      </c>
      <c r="V101" s="12">
        <v>1951</v>
      </c>
      <c r="W101" s="13">
        <v>44629</v>
      </c>
      <c r="X101" s="14">
        <v>2022</v>
      </c>
      <c r="Y101" s="13">
        <v>44562</v>
      </c>
      <c r="Z101" s="14">
        <v>2022</v>
      </c>
      <c r="AA101" s="13">
        <v>44562</v>
      </c>
      <c r="AB101" s="14">
        <v>2022</v>
      </c>
      <c r="AC101" s="15">
        <v>0</v>
      </c>
      <c r="AD101" s="15">
        <v>2022</v>
      </c>
      <c r="AE101" s="27"/>
      <c r="AF101" s="8" t="s">
        <v>1026</v>
      </c>
      <c r="AG101" s="16">
        <v>1500000</v>
      </c>
      <c r="AH101" s="16">
        <v>228000</v>
      </c>
      <c r="AI101" s="16">
        <v>244387.05</v>
      </c>
      <c r="AJ101" s="16" t="s">
        <v>76</v>
      </c>
      <c r="AK101" s="16">
        <v>1500000</v>
      </c>
      <c r="AL101" s="16">
        <v>228000</v>
      </c>
      <c r="AM101" s="16">
        <v>244387.05</v>
      </c>
      <c r="AN101" s="10" t="s">
        <v>64</v>
      </c>
      <c r="AO101" s="8" t="s">
        <v>3756</v>
      </c>
      <c r="AP101" s="15">
        <v>6</v>
      </c>
      <c r="AQ101" s="15">
        <v>6</v>
      </c>
      <c r="AR101" s="8" t="s">
        <v>3765</v>
      </c>
      <c r="AS101" s="10" t="s">
        <v>3781</v>
      </c>
      <c r="AT101" s="10" t="s">
        <v>3795</v>
      </c>
      <c r="AU101" s="96"/>
      <c r="AV101" s="17"/>
      <c r="AW101" s="10"/>
      <c r="AX101" s="7" t="s">
        <v>883</v>
      </c>
      <c r="AY101" s="10" t="s">
        <v>1037</v>
      </c>
      <c r="AZ101" s="10" t="s">
        <v>1038</v>
      </c>
      <c r="BA101" s="10" t="s">
        <v>1039</v>
      </c>
      <c r="BB101" s="18"/>
      <c r="BC101" s="41" t="s">
        <v>1040</v>
      </c>
    </row>
    <row r="102" spans="1:55" ht="70" customHeight="1" x14ac:dyDescent="0.2">
      <c r="A102" s="31" t="s">
        <v>4286</v>
      </c>
      <c r="B102" s="76" t="s">
        <v>1041</v>
      </c>
      <c r="C102" s="19" t="s">
        <v>1042</v>
      </c>
      <c r="D102" s="8" t="s">
        <v>49</v>
      </c>
      <c r="E102" s="8" t="s">
        <v>50</v>
      </c>
      <c r="F102" s="32" t="s">
        <v>1043</v>
      </c>
      <c r="G102" s="32" t="s">
        <v>1044</v>
      </c>
      <c r="H102" s="10" t="s">
        <v>4155</v>
      </c>
      <c r="I102" s="18" t="s">
        <v>53</v>
      </c>
      <c r="J102" s="19" t="s">
        <v>1045</v>
      </c>
      <c r="K102" s="10" t="s">
        <v>55</v>
      </c>
      <c r="L102" s="32" t="s">
        <v>1043</v>
      </c>
      <c r="M102" s="32" t="s">
        <v>1044</v>
      </c>
      <c r="N102" s="10" t="s">
        <v>4592</v>
      </c>
      <c r="O102" s="31" t="s">
        <v>53</v>
      </c>
      <c r="P102" s="31" t="s">
        <v>56</v>
      </c>
      <c r="Q102" s="18" t="s">
        <v>1046</v>
      </c>
      <c r="R102" s="10" t="s">
        <v>72</v>
      </c>
      <c r="S102" s="18"/>
      <c r="T102" s="31" t="s">
        <v>73</v>
      </c>
      <c r="U102" s="33">
        <v>30593</v>
      </c>
      <c r="V102" s="34">
        <v>1983</v>
      </c>
      <c r="W102" s="35">
        <v>41613</v>
      </c>
      <c r="X102" s="36">
        <v>2013</v>
      </c>
      <c r="Y102" s="35">
        <v>41621</v>
      </c>
      <c r="Z102" s="40">
        <v>2013</v>
      </c>
      <c r="AA102" s="13">
        <v>43466</v>
      </c>
      <c r="AB102" s="40">
        <v>2019</v>
      </c>
      <c r="AC102" s="15">
        <v>6</v>
      </c>
      <c r="AD102" s="40">
        <v>2019</v>
      </c>
      <c r="AE102" s="39"/>
      <c r="AF102" s="31" t="s">
        <v>106</v>
      </c>
      <c r="AG102" s="38">
        <v>4329990</v>
      </c>
      <c r="AH102" s="37">
        <v>4329990</v>
      </c>
      <c r="AI102" s="37">
        <v>5312861.5</v>
      </c>
      <c r="AJ102" s="16" t="s">
        <v>76</v>
      </c>
      <c r="AK102" s="38">
        <v>4329990</v>
      </c>
      <c r="AL102" s="37">
        <v>4329990</v>
      </c>
      <c r="AM102" s="37">
        <v>5312861.5</v>
      </c>
      <c r="AN102" s="18" t="s">
        <v>64</v>
      </c>
      <c r="AO102" s="8" t="s">
        <v>3757</v>
      </c>
      <c r="AP102" s="40">
        <v>456</v>
      </c>
      <c r="AQ102" s="40">
        <v>456</v>
      </c>
      <c r="AR102" s="8" t="s">
        <v>3765</v>
      </c>
      <c r="AS102" s="18" t="s">
        <v>269</v>
      </c>
      <c r="AT102" s="10" t="s">
        <v>3795</v>
      </c>
      <c r="AU102" s="98"/>
      <c r="AV102" s="20" t="s">
        <v>1047</v>
      </c>
      <c r="AW102" s="18" t="s">
        <v>1048</v>
      </c>
      <c r="AX102" s="19"/>
      <c r="AY102" s="18"/>
      <c r="AZ102" s="18"/>
      <c r="BA102" s="18" t="s">
        <v>1049</v>
      </c>
      <c r="BB102" s="18" t="s">
        <v>1050</v>
      </c>
      <c r="BC102" s="41" t="s">
        <v>1051</v>
      </c>
    </row>
    <row r="103" spans="1:55" ht="70" customHeight="1" x14ac:dyDescent="0.2">
      <c r="A103" s="88" t="s">
        <v>4287</v>
      </c>
      <c r="B103" s="6" t="s">
        <v>1052</v>
      </c>
      <c r="C103" s="7" t="s">
        <v>1053</v>
      </c>
      <c r="D103" s="8" t="s">
        <v>49</v>
      </c>
      <c r="E103" s="8" t="s">
        <v>50</v>
      </c>
      <c r="F103" s="9" t="s">
        <v>1054</v>
      </c>
      <c r="G103" s="9" t="s">
        <v>1055</v>
      </c>
      <c r="H103" s="10" t="s">
        <v>4155</v>
      </c>
      <c r="I103" s="10" t="s">
        <v>103</v>
      </c>
      <c r="J103" s="7" t="s">
        <v>1056</v>
      </c>
      <c r="K103" s="10" t="s">
        <v>55</v>
      </c>
      <c r="L103" s="9" t="s">
        <v>1054</v>
      </c>
      <c r="M103" s="9" t="s">
        <v>1055</v>
      </c>
      <c r="N103" s="10" t="s">
        <v>4592</v>
      </c>
      <c r="O103" s="8" t="s">
        <v>103</v>
      </c>
      <c r="P103" s="8" t="s">
        <v>56</v>
      </c>
      <c r="Q103" s="10" t="s">
        <v>1057</v>
      </c>
      <c r="R103" s="10" t="s">
        <v>72</v>
      </c>
      <c r="S103" s="10"/>
      <c r="T103" s="8" t="s">
        <v>73</v>
      </c>
      <c r="U103" s="11">
        <v>29221</v>
      </c>
      <c r="V103" s="12">
        <v>1980</v>
      </c>
      <c r="W103" s="13">
        <v>41570</v>
      </c>
      <c r="X103" s="14">
        <v>2013</v>
      </c>
      <c r="Y103" s="13" t="s">
        <v>94</v>
      </c>
      <c r="Z103" s="13" t="s">
        <v>94</v>
      </c>
      <c r="AA103" s="13" t="s">
        <v>94</v>
      </c>
      <c r="AB103" s="13" t="s">
        <v>94</v>
      </c>
      <c r="AC103" s="13" t="s">
        <v>94</v>
      </c>
      <c r="AD103" s="15"/>
      <c r="AE103" s="27"/>
      <c r="AF103" s="8" t="s">
        <v>106</v>
      </c>
      <c r="AG103" s="28">
        <v>10000000</v>
      </c>
      <c r="AH103" s="16">
        <v>10000000</v>
      </c>
      <c r="AI103" s="16">
        <v>13465532.27</v>
      </c>
      <c r="AJ103" s="16" t="s">
        <v>76</v>
      </c>
      <c r="AK103" s="28" t="s">
        <v>94</v>
      </c>
      <c r="AL103" s="16" t="s">
        <v>94</v>
      </c>
      <c r="AM103" s="16" t="s">
        <v>94</v>
      </c>
      <c r="AN103" s="10" t="s">
        <v>64</v>
      </c>
      <c r="AO103" s="8" t="s">
        <v>3757</v>
      </c>
      <c r="AP103" s="43">
        <v>5000</v>
      </c>
      <c r="AQ103" s="15" t="s">
        <v>94</v>
      </c>
      <c r="AR103" s="8" t="s">
        <v>3765</v>
      </c>
      <c r="AS103" s="18" t="s">
        <v>292</v>
      </c>
      <c r="AT103" s="10" t="s">
        <v>3795</v>
      </c>
      <c r="AU103" s="96"/>
      <c r="AV103" s="17" t="s">
        <v>1058</v>
      </c>
      <c r="AW103" s="10"/>
      <c r="AX103" s="7"/>
      <c r="AY103" s="10"/>
      <c r="AZ103" s="10"/>
      <c r="BA103" s="10" t="s">
        <v>1059</v>
      </c>
      <c r="BB103" s="18"/>
      <c r="BC103" s="41" t="s">
        <v>1060</v>
      </c>
    </row>
    <row r="104" spans="1:55" ht="70" customHeight="1" x14ac:dyDescent="0.2">
      <c r="A104" s="88" t="s">
        <v>4288</v>
      </c>
      <c r="B104" s="6" t="s">
        <v>1061</v>
      </c>
      <c r="C104" s="7" t="s">
        <v>1062</v>
      </c>
      <c r="D104" s="8" t="s">
        <v>49</v>
      </c>
      <c r="E104" s="8" t="s">
        <v>50</v>
      </c>
      <c r="F104" s="9" t="s">
        <v>1063</v>
      </c>
      <c r="G104" s="9" t="s">
        <v>1064</v>
      </c>
      <c r="H104" s="10" t="s">
        <v>380</v>
      </c>
      <c r="I104" s="10" t="s">
        <v>381</v>
      </c>
      <c r="J104" s="7" t="s">
        <v>1065</v>
      </c>
      <c r="K104" s="10" t="s">
        <v>49</v>
      </c>
      <c r="L104" s="9" t="s">
        <v>1066</v>
      </c>
      <c r="M104" s="9" t="s">
        <v>1067</v>
      </c>
      <c r="N104" s="10" t="s">
        <v>380</v>
      </c>
      <c r="O104" s="30" t="s">
        <v>4185</v>
      </c>
      <c r="P104" s="8" t="s">
        <v>144</v>
      </c>
      <c r="Q104" s="10" t="s">
        <v>1068</v>
      </c>
      <c r="R104" s="10" t="s">
        <v>529</v>
      </c>
      <c r="S104" s="10"/>
      <c r="T104" s="8" t="s">
        <v>73</v>
      </c>
      <c r="U104" s="11">
        <v>35921</v>
      </c>
      <c r="V104" s="12">
        <v>1998</v>
      </c>
      <c r="W104" s="13">
        <v>40043</v>
      </c>
      <c r="X104" s="14">
        <v>2009</v>
      </c>
      <c r="Y104" s="13" t="s">
        <v>94</v>
      </c>
      <c r="Z104" s="13" t="s">
        <v>94</v>
      </c>
      <c r="AA104" s="13" t="s">
        <v>94</v>
      </c>
      <c r="AB104" s="13" t="s">
        <v>94</v>
      </c>
      <c r="AC104" s="13" t="s">
        <v>94</v>
      </c>
      <c r="AD104" s="15"/>
      <c r="AE104" s="27"/>
      <c r="AF104" s="8" t="s">
        <v>106</v>
      </c>
      <c r="AG104" s="16">
        <v>174036520</v>
      </c>
      <c r="AH104" s="16">
        <v>174036520</v>
      </c>
      <c r="AI104" s="16">
        <v>254470519.87</v>
      </c>
      <c r="AJ104" s="16" t="s">
        <v>76</v>
      </c>
      <c r="AK104" s="28" t="s">
        <v>94</v>
      </c>
      <c r="AL104" s="16" t="s">
        <v>94</v>
      </c>
      <c r="AM104" s="16" t="s">
        <v>94</v>
      </c>
      <c r="AN104" s="10" t="s">
        <v>149</v>
      </c>
      <c r="AO104" s="8" t="s">
        <v>150</v>
      </c>
      <c r="AP104" s="15" t="s">
        <v>151</v>
      </c>
      <c r="AQ104" s="15" t="s">
        <v>151</v>
      </c>
      <c r="AR104" s="8" t="s">
        <v>3761</v>
      </c>
      <c r="AS104" s="10" t="s">
        <v>3803</v>
      </c>
      <c r="AT104" s="10" t="s">
        <v>1069</v>
      </c>
      <c r="AU104" s="96"/>
      <c r="AV104" s="17"/>
      <c r="AW104" s="10"/>
      <c r="AX104" s="7" t="s">
        <v>4014</v>
      </c>
      <c r="AY104" s="10" t="s">
        <v>1070</v>
      </c>
      <c r="AZ104" s="10" t="s">
        <v>1071</v>
      </c>
      <c r="BA104" s="10" t="s">
        <v>1072</v>
      </c>
      <c r="BB104" s="18" t="s">
        <v>4150</v>
      </c>
      <c r="BC104" s="41" t="s">
        <v>1073</v>
      </c>
    </row>
    <row r="105" spans="1:55" ht="70" customHeight="1" x14ac:dyDescent="0.2">
      <c r="A105" s="88" t="s">
        <v>4289</v>
      </c>
      <c r="B105" s="6" t="s">
        <v>1074</v>
      </c>
      <c r="C105" s="7" t="s">
        <v>1065</v>
      </c>
      <c r="D105" s="8" t="s">
        <v>49</v>
      </c>
      <c r="E105" s="8" t="s">
        <v>50</v>
      </c>
      <c r="F105" s="9" t="s">
        <v>1066</v>
      </c>
      <c r="G105" s="9" t="s">
        <v>1067</v>
      </c>
      <c r="H105" s="10" t="s">
        <v>380</v>
      </c>
      <c r="I105" s="10" t="s">
        <v>4185</v>
      </c>
      <c r="J105" s="7" t="s">
        <v>1075</v>
      </c>
      <c r="K105" s="10" t="s">
        <v>49</v>
      </c>
      <c r="L105" s="9" t="s">
        <v>1063</v>
      </c>
      <c r="M105" s="9" t="s">
        <v>1064</v>
      </c>
      <c r="N105" s="10" t="s">
        <v>380</v>
      </c>
      <c r="O105" s="8" t="s">
        <v>381</v>
      </c>
      <c r="P105" s="8" t="s">
        <v>144</v>
      </c>
      <c r="Q105" s="10" t="s">
        <v>1068</v>
      </c>
      <c r="R105" s="10" t="s">
        <v>529</v>
      </c>
      <c r="S105" s="10"/>
      <c r="T105" s="8" t="s">
        <v>73</v>
      </c>
      <c r="U105" s="11">
        <v>35921</v>
      </c>
      <c r="V105" s="12">
        <v>1998</v>
      </c>
      <c r="W105" s="13">
        <v>40043</v>
      </c>
      <c r="X105" s="14">
        <v>2009</v>
      </c>
      <c r="Y105" s="13" t="s">
        <v>94</v>
      </c>
      <c r="Z105" s="13" t="s">
        <v>94</v>
      </c>
      <c r="AA105" s="13" t="s">
        <v>94</v>
      </c>
      <c r="AB105" s="13" t="s">
        <v>94</v>
      </c>
      <c r="AC105" s="13" t="s">
        <v>94</v>
      </c>
      <c r="AD105" s="15"/>
      <c r="AE105" s="27"/>
      <c r="AF105" s="8" t="s">
        <v>106</v>
      </c>
      <c r="AG105" s="16">
        <v>163520865</v>
      </c>
      <c r="AH105" s="16">
        <v>163520865</v>
      </c>
      <c r="AI105" s="16">
        <v>239094872.31</v>
      </c>
      <c r="AJ105" s="16" t="s">
        <v>76</v>
      </c>
      <c r="AK105" s="28" t="s">
        <v>94</v>
      </c>
      <c r="AL105" s="16" t="s">
        <v>94</v>
      </c>
      <c r="AM105" s="16" t="s">
        <v>94</v>
      </c>
      <c r="AN105" s="54" t="s">
        <v>3755</v>
      </c>
      <c r="AO105" s="8" t="s">
        <v>150</v>
      </c>
      <c r="AP105" s="15" t="s">
        <v>94</v>
      </c>
      <c r="AQ105" s="15" t="s">
        <v>94</v>
      </c>
      <c r="AR105" s="8" t="s">
        <v>3761</v>
      </c>
      <c r="AS105" s="10" t="s">
        <v>3803</v>
      </c>
      <c r="AT105" s="10" t="s">
        <v>1069</v>
      </c>
      <c r="AU105" s="96"/>
      <c r="AV105" s="17"/>
      <c r="AW105" s="10"/>
      <c r="AX105" s="7" t="s">
        <v>4014</v>
      </c>
      <c r="AY105" s="10" t="s">
        <v>1070</v>
      </c>
      <c r="AZ105" s="10" t="s">
        <v>1071</v>
      </c>
      <c r="BA105" s="10" t="s">
        <v>1072</v>
      </c>
      <c r="BB105" s="18" t="s">
        <v>4150</v>
      </c>
      <c r="BC105" s="41" t="s">
        <v>1073</v>
      </c>
    </row>
    <row r="106" spans="1:55" ht="70" customHeight="1" x14ac:dyDescent="0.2">
      <c r="A106" s="88" t="s">
        <v>4290</v>
      </c>
      <c r="B106" s="6" t="s">
        <v>1076</v>
      </c>
      <c r="C106" s="7" t="s">
        <v>1077</v>
      </c>
      <c r="D106" s="8" t="s">
        <v>279</v>
      </c>
      <c r="E106" s="8" t="s">
        <v>280</v>
      </c>
      <c r="F106" s="9" t="s">
        <v>1078</v>
      </c>
      <c r="G106" s="9" t="s">
        <v>1079</v>
      </c>
      <c r="H106" s="10" t="s">
        <v>4154</v>
      </c>
      <c r="I106" s="10" t="s">
        <v>140</v>
      </c>
      <c r="J106" s="7" t="s">
        <v>1080</v>
      </c>
      <c r="K106" s="10" t="s">
        <v>55</v>
      </c>
      <c r="L106" s="9" t="s">
        <v>1078</v>
      </c>
      <c r="M106" s="9" t="s">
        <v>1079</v>
      </c>
      <c r="N106" s="10" t="s">
        <v>4154</v>
      </c>
      <c r="O106" s="8" t="s">
        <v>140</v>
      </c>
      <c r="P106" s="8" t="s">
        <v>56</v>
      </c>
      <c r="Q106" s="10" t="s">
        <v>1081</v>
      </c>
      <c r="R106" s="10" t="s">
        <v>177</v>
      </c>
      <c r="S106" s="10" t="s">
        <v>59</v>
      </c>
      <c r="T106" s="8" t="s">
        <v>60</v>
      </c>
      <c r="U106" s="11">
        <v>14611</v>
      </c>
      <c r="V106" s="12">
        <v>1940</v>
      </c>
      <c r="W106" s="13">
        <v>36909</v>
      </c>
      <c r="X106" s="14">
        <v>2001</v>
      </c>
      <c r="Y106" s="13">
        <v>36892</v>
      </c>
      <c r="Z106" s="14">
        <v>2001</v>
      </c>
      <c r="AA106" s="13">
        <v>37987</v>
      </c>
      <c r="AB106" s="14">
        <v>2004</v>
      </c>
      <c r="AC106" s="15">
        <v>3</v>
      </c>
      <c r="AD106" s="40">
        <v>2004</v>
      </c>
      <c r="AE106" s="27"/>
      <c r="AF106" s="8" t="s">
        <v>106</v>
      </c>
      <c r="AG106" s="16">
        <v>50000000</v>
      </c>
      <c r="AH106" s="16">
        <v>50000000</v>
      </c>
      <c r="AI106" s="16">
        <v>88562676.450000003</v>
      </c>
      <c r="AJ106" s="16" t="s">
        <v>76</v>
      </c>
      <c r="AK106" s="28">
        <v>1700000</v>
      </c>
      <c r="AL106" s="16">
        <v>1700000</v>
      </c>
      <c r="AM106" s="16">
        <v>2823034.94</v>
      </c>
      <c r="AN106" s="10" t="s">
        <v>64</v>
      </c>
      <c r="AO106" s="8" t="s">
        <v>3757</v>
      </c>
      <c r="AP106" s="15" t="s">
        <v>94</v>
      </c>
      <c r="AQ106" s="15" t="s">
        <v>94</v>
      </c>
      <c r="AR106" s="8" t="s">
        <v>3759</v>
      </c>
      <c r="AS106" s="69" t="s">
        <v>3819</v>
      </c>
      <c r="AT106" s="10" t="s">
        <v>3795</v>
      </c>
      <c r="AU106" s="96"/>
      <c r="AV106" s="17" t="s">
        <v>1082</v>
      </c>
      <c r="AW106" s="10"/>
      <c r="AX106" s="7" t="s">
        <v>4015</v>
      </c>
      <c r="AY106" s="10" t="s">
        <v>1083</v>
      </c>
      <c r="AZ106" s="10" t="s">
        <v>1084</v>
      </c>
      <c r="BA106" s="10" t="s">
        <v>3793</v>
      </c>
      <c r="BB106" s="18" t="s">
        <v>1086</v>
      </c>
      <c r="BC106" s="41" t="s">
        <v>1087</v>
      </c>
    </row>
    <row r="107" spans="1:55" ht="70" customHeight="1" x14ac:dyDescent="0.2">
      <c r="A107" s="88" t="s">
        <v>4291</v>
      </c>
      <c r="B107" s="6" t="s">
        <v>1088</v>
      </c>
      <c r="C107" s="7" t="s">
        <v>1077</v>
      </c>
      <c r="D107" s="8" t="s">
        <v>279</v>
      </c>
      <c r="E107" s="8" t="s">
        <v>280</v>
      </c>
      <c r="F107" s="9" t="s">
        <v>1078</v>
      </c>
      <c r="G107" s="9" t="s">
        <v>1079</v>
      </c>
      <c r="H107" s="10" t="s">
        <v>4154</v>
      </c>
      <c r="I107" s="10" t="s">
        <v>140</v>
      </c>
      <c r="J107" s="7" t="s">
        <v>1089</v>
      </c>
      <c r="K107" s="10" t="s">
        <v>55</v>
      </c>
      <c r="L107" s="9" t="s">
        <v>1078</v>
      </c>
      <c r="M107" s="9" t="s">
        <v>1079</v>
      </c>
      <c r="N107" s="10" t="s">
        <v>4154</v>
      </c>
      <c r="O107" s="8" t="s">
        <v>140</v>
      </c>
      <c r="P107" s="8" t="s">
        <v>56</v>
      </c>
      <c r="Q107" s="10" t="s">
        <v>1081</v>
      </c>
      <c r="R107" s="10" t="s">
        <v>177</v>
      </c>
      <c r="S107" s="10" t="s">
        <v>59</v>
      </c>
      <c r="T107" s="8" t="s">
        <v>60</v>
      </c>
      <c r="U107" s="11">
        <v>14611</v>
      </c>
      <c r="V107" s="12">
        <v>1940</v>
      </c>
      <c r="W107" s="13">
        <v>36909</v>
      </c>
      <c r="X107" s="14">
        <v>2001</v>
      </c>
      <c r="Y107" s="13">
        <v>36892</v>
      </c>
      <c r="Z107" s="14">
        <v>2001</v>
      </c>
      <c r="AA107" s="13">
        <v>37987</v>
      </c>
      <c r="AB107" s="14">
        <v>2004</v>
      </c>
      <c r="AC107" s="15">
        <v>3</v>
      </c>
      <c r="AD107" s="40">
        <v>2004</v>
      </c>
      <c r="AE107" s="27"/>
      <c r="AF107" s="8" t="s">
        <v>106</v>
      </c>
      <c r="AG107" s="16">
        <v>22500000</v>
      </c>
      <c r="AH107" s="16">
        <v>22500000</v>
      </c>
      <c r="AI107" s="16">
        <v>39853204.399999999</v>
      </c>
      <c r="AJ107" s="16" t="s">
        <v>76</v>
      </c>
      <c r="AK107" s="28">
        <v>15400000</v>
      </c>
      <c r="AL107" s="28">
        <v>15400000</v>
      </c>
      <c r="AM107" s="16">
        <v>25573375.329999998</v>
      </c>
      <c r="AN107" s="10" t="s">
        <v>64</v>
      </c>
      <c r="AO107" s="8" t="s">
        <v>3757</v>
      </c>
      <c r="AP107" s="15" t="s">
        <v>94</v>
      </c>
      <c r="AQ107" s="15" t="s">
        <v>94</v>
      </c>
      <c r="AR107" s="8" t="s">
        <v>3759</v>
      </c>
      <c r="AS107" s="69" t="s">
        <v>3819</v>
      </c>
      <c r="AT107" s="10" t="s">
        <v>3795</v>
      </c>
      <c r="AU107" s="98"/>
      <c r="AV107" s="17" t="s">
        <v>1082</v>
      </c>
      <c r="AW107" s="10"/>
      <c r="AX107" s="7" t="s">
        <v>4015</v>
      </c>
      <c r="AY107" s="10" t="s">
        <v>1083</v>
      </c>
      <c r="AZ107" s="10" t="s">
        <v>1084</v>
      </c>
      <c r="BA107" s="10" t="s">
        <v>1085</v>
      </c>
      <c r="BB107" s="18" t="s">
        <v>1090</v>
      </c>
      <c r="BC107" s="18" t="s">
        <v>4086</v>
      </c>
    </row>
    <row r="108" spans="1:55" ht="70" customHeight="1" x14ac:dyDescent="0.2">
      <c r="A108" s="88" t="s">
        <v>4292</v>
      </c>
      <c r="B108" s="6" t="s">
        <v>1091</v>
      </c>
      <c r="C108" s="7" t="s">
        <v>1092</v>
      </c>
      <c r="D108" s="8" t="s">
        <v>279</v>
      </c>
      <c r="E108" s="8" t="s">
        <v>280</v>
      </c>
      <c r="F108" s="9" t="s">
        <v>1078</v>
      </c>
      <c r="G108" s="9" t="s">
        <v>1079</v>
      </c>
      <c r="H108" s="10" t="s">
        <v>4154</v>
      </c>
      <c r="I108" s="10" t="s">
        <v>140</v>
      </c>
      <c r="J108" s="7" t="s">
        <v>1093</v>
      </c>
      <c r="K108" s="10" t="s">
        <v>55</v>
      </c>
      <c r="L108" s="9" t="s">
        <v>1078</v>
      </c>
      <c r="M108" s="9" t="s">
        <v>1079</v>
      </c>
      <c r="N108" s="10" t="s">
        <v>4154</v>
      </c>
      <c r="O108" s="8" t="s">
        <v>140</v>
      </c>
      <c r="P108" s="8" t="s">
        <v>56</v>
      </c>
      <c r="Q108" s="10" t="s">
        <v>1081</v>
      </c>
      <c r="R108" s="10" t="s">
        <v>177</v>
      </c>
      <c r="S108" s="10" t="s">
        <v>59</v>
      </c>
      <c r="T108" s="8" t="s">
        <v>60</v>
      </c>
      <c r="U108" s="11">
        <v>14611</v>
      </c>
      <c r="V108" s="12">
        <v>1940</v>
      </c>
      <c r="W108" s="13">
        <v>37834</v>
      </c>
      <c r="X108" s="14">
        <v>2003</v>
      </c>
      <c r="Y108" s="13">
        <v>37622</v>
      </c>
      <c r="Z108" s="14">
        <v>2003</v>
      </c>
      <c r="AA108" s="13">
        <v>37622</v>
      </c>
      <c r="AB108" s="14">
        <v>2003</v>
      </c>
      <c r="AC108" s="15">
        <v>0</v>
      </c>
      <c r="AD108" s="40">
        <v>2003</v>
      </c>
      <c r="AE108" s="27"/>
      <c r="AF108" s="8" t="s">
        <v>106</v>
      </c>
      <c r="AG108" s="16">
        <v>2750000</v>
      </c>
      <c r="AH108" s="16">
        <v>2750000</v>
      </c>
      <c r="AI108" s="16">
        <v>4688286.68</v>
      </c>
      <c r="AJ108" s="16" t="s">
        <v>76</v>
      </c>
      <c r="AK108" s="28">
        <v>2750000</v>
      </c>
      <c r="AL108" s="16">
        <v>2750000</v>
      </c>
      <c r="AM108" s="16">
        <v>4688286.68</v>
      </c>
      <c r="AN108" s="54" t="s">
        <v>3755</v>
      </c>
      <c r="AO108" s="8" t="s">
        <v>3757</v>
      </c>
      <c r="AP108" s="15" t="s">
        <v>94</v>
      </c>
      <c r="AQ108" s="15" t="s">
        <v>94</v>
      </c>
      <c r="AR108" s="8" t="s">
        <v>3775</v>
      </c>
      <c r="AS108" s="10" t="s">
        <v>3781</v>
      </c>
      <c r="AT108" s="10" t="s">
        <v>3795</v>
      </c>
      <c r="AU108" s="96"/>
      <c r="AV108" s="17" t="s">
        <v>1094</v>
      </c>
      <c r="AW108" s="10"/>
      <c r="AX108" s="7" t="s">
        <v>577</v>
      </c>
      <c r="AY108" s="10" t="s">
        <v>1095</v>
      </c>
      <c r="AZ108" s="10" t="s">
        <v>1096</v>
      </c>
      <c r="BA108" s="10" t="s">
        <v>1097</v>
      </c>
      <c r="BB108" s="18"/>
      <c r="BC108" s="41" t="s">
        <v>1098</v>
      </c>
    </row>
    <row r="109" spans="1:55" ht="70" customHeight="1" x14ac:dyDescent="0.2">
      <c r="A109" s="88" t="s">
        <v>4293</v>
      </c>
      <c r="B109" s="6" t="s">
        <v>1099</v>
      </c>
      <c r="C109" s="7" t="s">
        <v>1100</v>
      </c>
      <c r="D109" s="8" t="s">
        <v>279</v>
      </c>
      <c r="E109" s="8" t="s">
        <v>280</v>
      </c>
      <c r="F109" s="9" t="s">
        <v>1078</v>
      </c>
      <c r="G109" s="9" t="s">
        <v>1079</v>
      </c>
      <c r="H109" s="10" t="s">
        <v>4154</v>
      </c>
      <c r="I109" s="10" t="s">
        <v>140</v>
      </c>
      <c r="J109" s="7" t="s">
        <v>1101</v>
      </c>
      <c r="K109" s="10" t="s">
        <v>55</v>
      </c>
      <c r="L109" s="9" t="s">
        <v>1102</v>
      </c>
      <c r="M109" s="9" t="s">
        <v>1103</v>
      </c>
      <c r="N109" s="10" t="s">
        <v>4154</v>
      </c>
      <c r="O109" s="8" t="s">
        <v>53</v>
      </c>
      <c r="P109" s="8" t="s">
        <v>144</v>
      </c>
      <c r="Q109" s="10" t="s">
        <v>1104</v>
      </c>
      <c r="R109" s="10" t="s">
        <v>177</v>
      </c>
      <c r="S109" s="10" t="s">
        <v>59</v>
      </c>
      <c r="T109" s="8" t="s">
        <v>60</v>
      </c>
      <c r="U109" s="11">
        <v>5480</v>
      </c>
      <c r="V109" s="12">
        <v>1915</v>
      </c>
      <c r="W109" s="13" t="s">
        <v>94</v>
      </c>
      <c r="X109" s="14">
        <v>2005</v>
      </c>
      <c r="Y109" s="13">
        <v>38353</v>
      </c>
      <c r="Z109" s="14">
        <v>2005</v>
      </c>
      <c r="AA109" s="14" t="s">
        <v>94</v>
      </c>
      <c r="AB109" s="14" t="s">
        <v>94</v>
      </c>
      <c r="AC109" s="14" t="s">
        <v>94</v>
      </c>
      <c r="AD109" s="13"/>
      <c r="AE109" s="27"/>
      <c r="AF109" s="8" t="s">
        <v>106</v>
      </c>
      <c r="AG109" s="16">
        <v>17500000</v>
      </c>
      <c r="AH109" s="16">
        <v>17500000</v>
      </c>
      <c r="AI109" s="16">
        <v>28108333.329999998</v>
      </c>
      <c r="AJ109" s="16" t="s">
        <v>76</v>
      </c>
      <c r="AK109" s="28" t="s">
        <v>94</v>
      </c>
      <c r="AL109" s="28" t="s">
        <v>94</v>
      </c>
      <c r="AM109" s="28" t="s">
        <v>94</v>
      </c>
      <c r="AN109" s="54" t="s">
        <v>3755</v>
      </c>
      <c r="AO109" s="8" t="s">
        <v>3757</v>
      </c>
      <c r="AP109" s="15" t="s">
        <v>94</v>
      </c>
      <c r="AQ109" s="15" t="s">
        <v>94</v>
      </c>
      <c r="AR109" s="8" t="s">
        <v>3775</v>
      </c>
      <c r="AS109" s="10" t="s">
        <v>3781</v>
      </c>
      <c r="AT109" s="10" t="s">
        <v>3795</v>
      </c>
      <c r="AU109" s="96"/>
      <c r="AV109" s="17" t="s">
        <v>1105</v>
      </c>
      <c r="AW109" s="10"/>
      <c r="AX109" s="7" t="s">
        <v>883</v>
      </c>
      <c r="AY109" s="10" t="s">
        <v>1106</v>
      </c>
      <c r="AZ109" s="10" t="s">
        <v>1107</v>
      </c>
      <c r="BA109" s="10" t="s">
        <v>1108</v>
      </c>
      <c r="BB109" s="18"/>
      <c r="BC109" s="41" t="s">
        <v>1109</v>
      </c>
    </row>
    <row r="110" spans="1:55" ht="70" customHeight="1" x14ac:dyDescent="0.2">
      <c r="A110" s="88" t="s">
        <v>4294</v>
      </c>
      <c r="B110" s="6" t="s">
        <v>1110</v>
      </c>
      <c r="C110" s="7" t="s">
        <v>1111</v>
      </c>
      <c r="D110" s="8" t="s">
        <v>279</v>
      </c>
      <c r="E110" s="8" t="s">
        <v>280</v>
      </c>
      <c r="F110" s="9" t="s">
        <v>1078</v>
      </c>
      <c r="G110" s="9" t="s">
        <v>1079</v>
      </c>
      <c r="H110" s="10" t="s">
        <v>4154</v>
      </c>
      <c r="I110" s="10" t="s">
        <v>140</v>
      </c>
      <c r="J110" s="7" t="s">
        <v>1112</v>
      </c>
      <c r="K110" s="10" t="s">
        <v>49</v>
      </c>
      <c r="L110" s="9" t="s">
        <v>4583</v>
      </c>
      <c r="M110" s="9" t="s">
        <v>1113</v>
      </c>
      <c r="N110" s="10" t="s">
        <v>4153</v>
      </c>
      <c r="O110" s="8" t="s">
        <v>140</v>
      </c>
      <c r="P110" s="8" t="s">
        <v>144</v>
      </c>
      <c r="Q110" s="10" t="s">
        <v>1114</v>
      </c>
      <c r="R110" s="10" t="s">
        <v>59</v>
      </c>
      <c r="S110" s="10"/>
      <c r="T110" s="8" t="s">
        <v>60</v>
      </c>
      <c r="U110" s="11">
        <v>33239</v>
      </c>
      <c r="V110" s="12">
        <v>1991</v>
      </c>
      <c r="W110" s="13">
        <v>40302</v>
      </c>
      <c r="X110" s="14">
        <v>2010</v>
      </c>
      <c r="Y110" s="13" t="s">
        <v>94</v>
      </c>
      <c r="Z110" s="13" t="s">
        <v>94</v>
      </c>
      <c r="AA110" s="13" t="s">
        <v>94</v>
      </c>
      <c r="AB110" s="13" t="s">
        <v>94</v>
      </c>
      <c r="AC110" s="13" t="s">
        <v>94</v>
      </c>
      <c r="AD110" s="15"/>
      <c r="AE110" s="27"/>
      <c r="AF110" s="8" t="s">
        <v>106</v>
      </c>
      <c r="AG110" s="16">
        <v>861000000</v>
      </c>
      <c r="AH110" s="16">
        <v>861000000</v>
      </c>
      <c r="AI110" s="16">
        <v>1238609481.05</v>
      </c>
      <c r="AJ110" s="16" t="s">
        <v>76</v>
      </c>
      <c r="AK110" s="28" t="s">
        <v>94</v>
      </c>
      <c r="AL110" s="16" t="s">
        <v>94</v>
      </c>
      <c r="AM110" s="16" t="s">
        <v>94</v>
      </c>
      <c r="AN110" s="10" t="s">
        <v>149</v>
      </c>
      <c r="AO110" s="8" t="s">
        <v>150</v>
      </c>
      <c r="AP110" s="15" t="s">
        <v>151</v>
      </c>
      <c r="AQ110" s="15" t="s">
        <v>151</v>
      </c>
      <c r="AR110" s="8" t="s">
        <v>3761</v>
      </c>
      <c r="AS110" s="10" t="s">
        <v>3776</v>
      </c>
      <c r="AT110" s="10" t="s">
        <v>4158</v>
      </c>
      <c r="AU110" s="96"/>
      <c r="AV110" s="17"/>
      <c r="AW110" s="10"/>
      <c r="AX110" s="7" t="s">
        <v>1115</v>
      </c>
      <c r="AY110" s="10" t="s">
        <v>1116</v>
      </c>
      <c r="AZ110" s="10" t="s">
        <v>1117</v>
      </c>
      <c r="BA110" s="10" t="s">
        <v>1118</v>
      </c>
      <c r="BB110" s="18" t="s">
        <v>1119</v>
      </c>
      <c r="BC110" s="41" t="s">
        <v>1120</v>
      </c>
    </row>
    <row r="111" spans="1:55" ht="70" customHeight="1" x14ac:dyDescent="0.2">
      <c r="A111" s="88" t="s">
        <v>4295</v>
      </c>
      <c r="B111" s="6" t="s">
        <v>1121</v>
      </c>
      <c r="C111" s="7" t="s">
        <v>1122</v>
      </c>
      <c r="D111" s="8" t="s">
        <v>49</v>
      </c>
      <c r="E111" s="8" t="s">
        <v>50</v>
      </c>
      <c r="F111" s="9" t="s">
        <v>1078</v>
      </c>
      <c r="G111" s="9" t="s">
        <v>1079</v>
      </c>
      <c r="H111" s="10" t="s">
        <v>4154</v>
      </c>
      <c r="I111" s="10" t="s">
        <v>140</v>
      </c>
      <c r="J111" s="7" t="s">
        <v>1123</v>
      </c>
      <c r="K111" s="10" t="s">
        <v>55</v>
      </c>
      <c r="L111" s="30" t="s">
        <v>2042</v>
      </c>
      <c r="M111" s="30" t="s">
        <v>537</v>
      </c>
      <c r="N111" s="30" t="s">
        <v>4185</v>
      </c>
      <c r="O111" s="30" t="s">
        <v>4185</v>
      </c>
      <c r="P111" s="8" t="s">
        <v>144</v>
      </c>
      <c r="Q111" s="10" t="s">
        <v>1124</v>
      </c>
      <c r="R111" s="10" t="s">
        <v>177</v>
      </c>
      <c r="S111" s="10"/>
      <c r="T111" s="8" t="s">
        <v>73</v>
      </c>
      <c r="U111" s="11">
        <v>12055</v>
      </c>
      <c r="V111" s="12">
        <v>1933</v>
      </c>
      <c r="W111" s="13">
        <v>41978</v>
      </c>
      <c r="X111" s="14">
        <v>2014</v>
      </c>
      <c r="Y111" s="13">
        <v>42370</v>
      </c>
      <c r="Z111" s="14">
        <v>2016</v>
      </c>
      <c r="AA111" s="13">
        <v>43466</v>
      </c>
      <c r="AB111" s="14">
        <v>2019</v>
      </c>
      <c r="AC111" s="15">
        <v>3</v>
      </c>
      <c r="AD111" s="15">
        <v>2019</v>
      </c>
      <c r="AE111" s="27"/>
      <c r="AF111" s="8" t="s">
        <v>106</v>
      </c>
      <c r="AG111" s="16">
        <v>60000000</v>
      </c>
      <c r="AH111" s="16">
        <v>60000000</v>
      </c>
      <c r="AI111" s="16">
        <v>79503497.569999993</v>
      </c>
      <c r="AJ111" s="16" t="s">
        <v>76</v>
      </c>
      <c r="AK111" s="28">
        <v>60000000</v>
      </c>
      <c r="AL111" s="16">
        <v>60000000</v>
      </c>
      <c r="AM111" s="16">
        <v>73619498</v>
      </c>
      <c r="AN111" s="10" t="s">
        <v>64</v>
      </c>
      <c r="AO111" s="8" t="s">
        <v>3757</v>
      </c>
      <c r="AP111" s="15">
        <v>386</v>
      </c>
      <c r="AQ111" s="15">
        <v>386</v>
      </c>
      <c r="AR111" s="8" t="s">
        <v>3759</v>
      </c>
      <c r="AS111" s="10" t="s">
        <v>3819</v>
      </c>
      <c r="AT111" s="10" t="s">
        <v>1125</v>
      </c>
      <c r="AU111" s="96"/>
      <c r="AV111" s="17" t="s">
        <v>1126</v>
      </c>
      <c r="AW111" s="10"/>
      <c r="AX111" s="7" t="s">
        <v>4016</v>
      </c>
      <c r="AY111" s="10" t="s">
        <v>1127</v>
      </c>
      <c r="AZ111" s="10" t="s">
        <v>1128</v>
      </c>
      <c r="BA111" s="10" t="s">
        <v>1129</v>
      </c>
      <c r="BB111" s="18" t="s">
        <v>1130</v>
      </c>
      <c r="BC111" s="41" t="s">
        <v>1131</v>
      </c>
    </row>
    <row r="112" spans="1:55" ht="70" customHeight="1" x14ac:dyDescent="0.2">
      <c r="A112" s="88" t="s">
        <v>4296</v>
      </c>
      <c r="B112" s="6" t="s">
        <v>1132</v>
      </c>
      <c r="C112" s="7" t="s">
        <v>1133</v>
      </c>
      <c r="D112" s="8" t="s">
        <v>279</v>
      </c>
      <c r="E112" s="8" t="s">
        <v>280</v>
      </c>
      <c r="F112" s="9" t="s">
        <v>1078</v>
      </c>
      <c r="G112" s="9" t="s">
        <v>1079</v>
      </c>
      <c r="H112" s="10" t="s">
        <v>4154</v>
      </c>
      <c r="I112" s="10" t="s">
        <v>140</v>
      </c>
      <c r="J112" s="7" t="s">
        <v>1134</v>
      </c>
      <c r="K112" s="10" t="s">
        <v>55</v>
      </c>
      <c r="L112" s="9" t="s">
        <v>1135</v>
      </c>
      <c r="M112" s="9" t="s">
        <v>1136</v>
      </c>
      <c r="N112" s="10" t="s">
        <v>4156</v>
      </c>
      <c r="O112" s="8" t="s">
        <v>103</v>
      </c>
      <c r="P112" s="8" t="s">
        <v>144</v>
      </c>
      <c r="Q112" s="10" t="s">
        <v>1137</v>
      </c>
      <c r="R112" s="10" t="s">
        <v>177</v>
      </c>
      <c r="S112" s="10" t="s">
        <v>59</v>
      </c>
      <c r="T112" s="8" t="s">
        <v>60</v>
      </c>
      <c r="U112" s="11">
        <v>21916</v>
      </c>
      <c r="V112" s="12">
        <v>1960</v>
      </c>
      <c r="W112" s="13" t="s">
        <v>94</v>
      </c>
      <c r="X112" s="14">
        <v>2015</v>
      </c>
      <c r="Y112" s="13" t="s">
        <v>94</v>
      </c>
      <c r="Z112" s="13" t="s">
        <v>94</v>
      </c>
      <c r="AA112" s="13" t="s">
        <v>94</v>
      </c>
      <c r="AB112" s="13" t="s">
        <v>94</v>
      </c>
      <c r="AC112" s="13" t="s">
        <v>94</v>
      </c>
      <c r="AD112" s="15"/>
      <c r="AE112" s="27"/>
      <c r="AF112" s="8" t="s">
        <v>75</v>
      </c>
      <c r="AG112" s="16">
        <v>150000000</v>
      </c>
      <c r="AH112" s="16">
        <v>166426933.59</v>
      </c>
      <c r="AI112" s="16">
        <v>220263940.44</v>
      </c>
      <c r="AJ112" s="16" t="s">
        <v>76</v>
      </c>
      <c r="AK112" s="28" t="s">
        <v>94</v>
      </c>
      <c r="AL112" s="16" t="s">
        <v>94</v>
      </c>
      <c r="AM112" s="16" t="s">
        <v>94</v>
      </c>
      <c r="AN112" s="10" t="s">
        <v>64</v>
      </c>
      <c r="AO112" s="8" t="s">
        <v>3756</v>
      </c>
      <c r="AP112" s="15">
        <v>800</v>
      </c>
      <c r="AQ112" s="15" t="s">
        <v>94</v>
      </c>
      <c r="AR112" s="8" t="s">
        <v>3762</v>
      </c>
      <c r="AS112" s="10" t="s">
        <v>3781</v>
      </c>
      <c r="AT112" s="10" t="s">
        <v>3795</v>
      </c>
      <c r="AU112" s="96"/>
      <c r="AV112" s="17"/>
      <c r="AW112" s="10"/>
      <c r="AX112" s="7" t="s">
        <v>1138</v>
      </c>
      <c r="AY112" s="10" t="s">
        <v>1139</v>
      </c>
      <c r="AZ112" s="10" t="s">
        <v>1140</v>
      </c>
      <c r="BA112" s="10" t="s">
        <v>1141</v>
      </c>
      <c r="BB112" s="18"/>
      <c r="BC112" s="41" t="s">
        <v>1142</v>
      </c>
    </row>
    <row r="113" spans="1:55" ht="70" customHeight="1" x14ac:dyDescent="0.2">
      <c r="A113" s="90" t="s">
        <v>4297</v>
      </c>
      <c r="B113" s="46" t="s">
        <v>1143</v>
      </c>
      <c r="C113" s="47" t="s">
        <v>1122</v>
      </c>
      <c r="D113" s="8" t="s">
        <v>49</v>
      </c>
      <c r="E113" s="8" t="s">
        <v>50</v>
      </c>
      <c r="F113" s="51" t="s">
        <v>1078</v>
      </c>
      <c r="G113" s="9" t="s">
        <v>1079</v>
      </c>
      <c r="H113" s="10" t="s">
        <v>4154</v>
      </c>
      <c r="I113" s="53" t="s">
        <v>140</v>
      </c>
      <c r="J113" s="55" t="s">
        <v>1144</v>
      </c>
      <c r="K113" s="10" t="s">
        <v>55</v>
      </c>
      <c r="L113" s="46" t="s">
        <v>101</v>
      </c>
      <c r="M113" s="46" t="s">
        <v>102</v>
      </c>
      <c r="N113" s="10" t="s">
        <v>4156</v>
      </c>
      <c r="O113" s="10" t="s">
        <v>53</v>
      </c>
      <c r="P113" s="49" t="s">
        <v>144</v>
      </c>
      <c r="Q113" s="53" t="s">
        <v>1145</v>
      </c>
      <c r="R113" s="10" t="s">
        <v>383</v>
      </c>
      <c r="S113" s="10"/>
      <c r="T113" s="49" t="s">
        <v>73</v>
      </c>
      <c r="U113" s="58" t="s">
        <v>1146</v>
      </c>
      <c r="V113" s="60">
        <v>1830</v>
      </c>
      <c r="W113" s="58">
        <v>44593</v>
      </c>
      <c r="X113" s="60">
        <v>2022</v>
      </c>
      <c r="Y113" s="35">
        <v>44713</v>
      </c>
      <c r="Z113" s="60">
        <v>2022</v>
      </c>
      <c r="AA113" s="35">
        <v>45413</v>
      </c>
      <c r="AB113" s="63">
        <v>2024</v>
      </c>
      <c r="AC113" s="63">
        <v>2</v>
      </c>
      <c r="AD113" s="63">
        <v>2024</v>
      </c>
      <c r="AE113" s="53" t="s">
        <v>1147</v>
      </c>
      <c r="AF113" s="49" t="s">
        <v>75</v>
      </c>
      <c r="AG113" s="64">
        <v>310000000</v>
      </c>
      <c r="AH113" s="64">
        <v>326001615.20999998</v>
      </c>
      <c r="AI113" s="64">
        <v>349432337.30000001</v>
      </c>
      <c r="AJ113" s="16" t="s">
        <v>76</v>
      </c>
      <c r="AK113" s="67">
        <v>117513000</v>
      </c>
      <c r="AL113" s="63">
        <v>127128016.40000001</v>
      </c>
      <c r="AM113" s="63">
        <v>127128016.40000001</v>
      </c>
      <c r="AN113" s="49" t="s">
        <v>64</v>
      </c>
      <c r="AO113" s="8" t="s">
        <v>3756</v>
      </c>
      <c r="AP113" s="67">
        <v>50000</v>
      </c>
      <c r="AQ113" s="43">
        <v>13691</v>
      </c>
      <c r="AR113" s="8" t="s">
        <v>3765</v>
      </c>
      <c r="AS113" s="10" t="s">
        <v>3781</v>
      </c>
      <c r="AT113" s="10" t="s">
        <v>3795</v>
      </c>
      <c r="AU113" s="99"/>
      <c r="AV113" s="70" t="s">
        <v>1148</v>
      </c>
      <c r="AW113" s="72"/>
      <c r="AX113" s="55" t="s">
        <v>4017</v>
      </c>
      <c r="AY113" s="55" t="s">
        <v>1149</v>
      </c>
      <c r="AZ113" s="53" t="s">
        <v>1150</v>
      </c>
      <c r="BA113" s="53" t="s">
        <v>1151</v>
      </c>
      <c r="BB113" s="68" t="s">
        <v>1152</v>
      </c>
      <c r="BC113" s="41" t="s">
        <v>1153</v>
      </c>
    </row>
    <row r="114" spans="1:55" ht="70" customHeight="1" x14ac:dyDescent="0.2">
      <c r="A114" s="88" t="s">
        <v>4298</v>
      </c>
      <c r="B114" s="6" t="s">
        <v>1154</v>
      </c>
      <c r="C114" s="7" t="s">
        <v>1155</v>
      </c>
      <c r="D114" s="8" t="s">
        <v>49</v>
      </c>
      <c r="E114" s="8" t="s">
        <v>50</v>
      </c>
      <c r="F114" s="9" t="s">
        <v>4576</v>
      </c>
      <c r="G114" s="9" t="s">
        <v>1156</v>
      </c>
      <c r="H114" s="10" t="s">
        <v>380</v>
      </c>
      <c r="I114" s="10" t="s">
        <v>381</v>
      </c>
      <c r="J114" s="7" t="s">
        <v>1157</v>
      </c>
      <c r="K114" s="10" t="s">
        <v>55</v>
      </c>
      <c r="L114" s="9" t="s">
        <v>4576</v>
      </c>
      <c r="M114" s="9" t="s">
        <v>1156</v>
      </c>
      <c r="N114" s="10" t="s">
        <v>380</v>
      </c>
      <c r="O114" s="8" t="s">
        <v>381</v>
      </c>
      <c r="P114" s="8" t="s">
        <v>56</v>
      </c>
      <c r="Q114" s="10" t="s">
        <v>1158</v>
      </c>
      <c r="R114" s="10" t="s">
        <v>72</v>
      </c>
      <c r="S114" s="10"/>
      <c r="T114" s="8" t="s">
        <v>73</v>
      </c>
      <c r="U114" s="11">
        <v>35633</v>
      </c>
      <c r="V114" s="12">
        <v>1997</v>
      </c>
      <c r="W114" s="13">
        <v>45231</v>
      </c>
      <c r="X114" s="14">
        <v>2023</v>
      </c>
      <c r="Y114" s="63" t="s">
        <v>94</v>
      </c>
      <c r="Z114" s="63" t="s">
        <v>94</v>
      </c>
      <c r="AA114" s="13" t="s">
        <v>94</v>
      </c>
      <c r="AB114" s="13" t="s">
        <v>94</v>
      </c>
      <c r="AC114" s="13" t="s">
        <v>94</v>
      </c>
      <c r="AD114" s="15"/>
      <c r="AE114" s="27" t="s">
        <v>1159</v>
      </c>
      <c r="AF114" s="8" t="s">
        <v>1160</v>
      </c>
      <c r="AG114" s="28">
        <v>100000000</v>
      </c>
      <c r="AH114" s="16">
        <v>1400000</v>
      </c>
      <c r="AI114" s="16">
        <v>1441292.15</v>
      </c>
      <c r="AJ114" s="16" t="s">
        <v>76</v>
      </c>
      <c r="AK114" s="28" t="s">
        <v>94</v>
      </c>
      <c r="AL114" s="28" t="s">
        <v>94</v>
      </c>
      <c r="AM114" s="28" t="s">
        <v>94</v>
      </c>
      <c r="AN114" s="10" t="s">
        <v>64</v>
      </c>
      <c r="AO114" s="8" t="s">
        <v>3757</v>
      </c>
      <c r="AP114" s="43">
        <v>1009</v>
      </c>
      <c r="AQ114" s="15" t="s">
        <v>94</v>
      </c>
      <c r="AR114" s="8" t="s">
        <v>3765</v>
      </c>
      <c r="AS114" s="69" t="s">
        <v>3819</v>
      </c>
      <c r="AT114" s="10" t="s">
        <v>3795</v>
      </c>
      <c r="AU114" s="96"/>
      <c r="AV114" s="17"/>
      <c r="AW114" s="10"/>
      <c r="AX114" s="7" t="s">
        <v>1161</v>
      </c>
      <c r="AY114" s="10" t="s">
        <v>1162</v>
      </c>
      <c r="AZ114" s="10" t="s">
        <v>1163</v>
      </c>
      <c r="BA114" s="10" t="s">
        <v>1164</v>
      </c>
      <c r="BB114" s="18" t="s">
        <v>1165</v>
      </c>
      <c r="BC114" s="41" t="s">
        <v>1166</v>
      </c>
    </row>
    <row r="115" spans="1:55" ht="70" customHeight="1" x14ac:dyDescent="0.2">
      <c r="A115" s="88" t="s">
        <v>4299</v>
      </c>
      <c r="B115" s="6" t="s">
        <v>1167</v>
      </c>
      <c r="C115" s="7" t="s">
        <v>1168</v>
      </c>
      <c r="D115" s="8" t="s">
        <v>49</v>
      </c>
      <c r="E115" s="8" t="s">
        <v>50</v>
      </c>
      <c r="F115" s="9" t="s">
        <v>1169</v>
      </c>
      <c r="G115" s="9" t="s">
        <v>1170</v>
      </c>
      <c r="H115" s="10" t="s">
        <v>4154</v>
      </c>
      <c r="I115" s="10" t="s">
        <v>140</v>
      </c>
      <c r="J115" s="7" t="s">
        <v>1171</v>
      </c>
      <c r="K115" s="10" t="s">
        <v>49</v>
      </c>
      <c r="L115" s="30" t="s">
        <v>2042</v>
      </c>
      <c r="M115" s="30" t="s">
        <v>537</v>
      </c>
      <c r="N115" s="30" t="s">
        <v>4185</v>
      </c>
      <c r="O115" s="30" t="s">
        <v>4185</v>
      </c>
      <c r="P115" s="8" t="s">
        <v>144</v>
      </c>
      <c r="Q115" s="10" t="s">
        <v>1172</v>
      </c>
      <c r="R115" s="10" t="s">
        <v>529</v>
      </c>
      <c r="S115" s="10"/>
      <c r="T115" s="8" t="s">
        <v>73</v>
      </c>
      <c r="U115" s="11">
        <v>12055</v>
      </c>
      <c r="V115" s="12">
        <v>1933</v>
      </c>
      <c r="W115" s="13">
        <v>16792</v>
      </c>
      <c r="X115" s="14">
        <v>1945</v>
      </c>
      <c r="Y115" s="13">
        <v>19360</v>
      </c>
      <c r="Z115" s="14">
        <v>1953</v>
      </c>
      <c r="AA115" s="13">
        <v>23743</v>
      </c>
      <c r="AB115" s="14">
        <v>1965</v>
      </c>
      <c r="AC115" s="15">
        <v>12</v>
      </c>
      <c r="AD115" s="15">
        <v>1965</v>
      </c>
      <c r="AE115" s="27"/>
      <c r="AF115" s="8" t="s">
        <v>106</v>
      </c>
      <c r="AG115" s="16">
        <v>4500000000</v>
      </c>
      <c r="AH115" s="16">
        <v>4500000000</v>
      </c>
      <c r="AI115" s="28">
        <v>44812857142.860001</v>
      </c>
      <c r="AJ115" s="16" t="s">
        <v>63</v>
      </c>
      <c r="AK115" s="16">
        <v>4500000000</v>
      </c>
      <c r="AL115" s="16">
        <v>4500000000</v>
      </c>
      <c r="AM115" s="28">
        <v>44812714285.709999</v>
      </c>
      <c r="AN115" s="10" t="s">
        <v>149</v>
      </c>
      <c r="AO115" s="8" t="s">
        <v>150</v>
      </c>
      <c r="AP115" s="15" t="s">
        <v>151</v>
      </c>
      <c r="AQ115" s="15" t="s">
        <v>151</v>
      </c>
      <c r="AR115" s="8" t="s">
        <v>3770</v>
      </c>
      <c r="AS115" s="18" t="s">
        <v>3804</v>
      </c>
      <c r="AT115" s="10" t="s">
        <v>3795</v>
      </c>
      <c r="AU115" s="98" t="s">
        <v>107</v>
      </c>
      <c r="AV115" s="17"/>
      <c r="AW115" s="10"/>
      <c r="AX115" s="10" t="s">
        <v>4018</v>
      </c>
      <c r="AY115" s="10"/>
      <c r="AZ115" s="10"/>
      <c r="BA115" s="10" t="s">
        <v>1173</v>
      </c>
      <c r="BB115" s="18" t="s">
        <v>1174</v>
      </c>
      <c r="BC115" s="18" t="s">
        <v>4087</v>
      </c>
    </row>
    <row r="116" spans="1:55" ht="70" customHeight="1" x14ac:dyDescent="0.2">
      <c r="A116" s="88" t="s">
        <v>4300</v>
      </c>
      <c r="B116" s="6" t="s">
        <v>1175</v>
      </c>
      <c r="C116" s="7" t="s">
        <v>1168</v>
      </c>
      <c r="D116" s="8" t="s">
        <v>49</v>
      </c>
      <c r="E116" s="8" t="s">
        <v>50</v>
      </c>
      <c r="F116" s="9" t="s">
        <v>1169</v>
      </c>
      <c r="G116" s="9" t="s">
        <v>1170</v>
      </c>
      <c r="H116" s="10" t="s">
        <v>4154</v>
      </c>
      <c r="I116" s="10" t="s">
        <v>140</v>
      </c>
      <c r="J116" s="7" t="s">
        <v>1176</v>
      </c>
      <c r="K116" s="10" t="s">
        <v>49</v>
      </c>
      <c r="L116" s="9" t="s">
        <v>1177</v>
      </c>
      <c r="M116" s="9" t="s">
        <v>1178</v>
      </c>
      <c r="N116" s="10" t="s">
        <v>4156</v>
      </c>
      <c r="O116" s="8" t="s">
        <v>140</v>
      </c>
      <c r="P116" s="8" t="s">
        <v>144</v>
      </c>
      <c r="Q116" s="10" t="s">
        <v>1179</v>
      </c>
      <c r="R116" s="10" t="s">
        <v>529</v>
      </c>
      <c r="S116" s="10"/>
      <c r="T116" s="8" t="s">
        <v>73</v>
      </c>
      <c r="U116" s="11">
        <v>12055</v>
      </c>
      <c r="V116" s="12">
        <v>1933</v>
      </c>
      <c r="W116" s="13">
        <v>19247</v>
      </c>
      <c r="X116" s="14">
        <v>1952</v>
      </c>
      <c r="Y116" s="13">
        <v>19360</v>
      </c>
      <c r="Z116" s="14">
        <v>1953</v>
      </c>
      <c r="AA116" s="13">
        <v>23743</v>
      </c>
      <c r="AB116" s="14">
        <v>1965</v>
      </c>
      <c r="AC116" s="15">
        <v>12</v>
      </c>
      <c r="AD116" s="15">
        <v>1965</v>
      </c>
      <c r="AE116" s="27" t="s">
        <v>1180</v>
      </c>
      <c r="AF116" s="8" t="s">
        <v>106</v>
      </c>
      <c r="AG116" s="28">
        <v>882000000</v>
      </c>
      <c r="AH116" s="28">
        <v>882000000</v>
      </c>
      <c r="AI116" s="28">
        <v>10440516905.66</v>
      </c>
      <c r="AJ116" s="16" t="s">
        <v>76</v>
      </c>
      <c r="AK116" s="28">
        <v>861250000</v>
      </c>
      <c r="AL116" s="28">
        <v>861250000</v>
      </c>
      <c r="AM116" s="28">
        <v>8576655595.2399998</v>
      </c>
      <c r="AN116" s="10" t="s">
        <v>149</v>
      </c>
      <c r="AO116" s="8" t="s">
        <v>150</v>
      </c>
      <c r="AP116" s="15" t="s">
        <v>151</v>
      </c>
      <c r="AQ116" s="15" t="s">
        <v>151</v>
      </c>
      <c r="AR116" s="8" t="s">
        <v>3766</v>
      </c>
      <c r="AS116" s="18" t="s">
        <v>3804</v>
      </c>
      <c r="AT116" s="10" t="s">
        <v>1181</v>
      </c>
      <c r="AU116" s="96"/>
      <c r="AV116" s="17" t="s">
        <v>1126</v>
      </c>
      <c r="AW116" s="10" t="s">
        <v>1181</v>
      </c>
      <c r="AX116" s="7" t="s">
        <v>4019</v>
      </c>
      <c r="AY116" s="10" t="s">
        <v>1183</v>
      </c>
      <c r="AZ116" s="10" t="s">
        <v>1184</v>
      </c>
      <c r="BA116" s="10" t="s">
        <v>1185</v>
      </c>
      <c r="BB116" s="18" t="s">
        <v>1186</v>
      </c>
      <c r="BC116" s="41" t="s">
        <v>1187</v>
      </c>
    </row>
    <row r="117" spans="1:55" ht="70" customHeight="1" x14ac:dyDescent="0.2">
      <c r="A117" s="88" t="s">
        <v>4301</v>
      </c>
      <c r="B117" s="6" t="s">
        <v>1188</v>
      </c>
      <c r="C117" s="7" t="s">
        <v>1168</v>
      </c>
      <c r="D117" s="8" t="s">
        <v>49</v>
      </c>
      <c r="E117" s="8" t="s">
        <v>50</v>
      </c>
      <c r="F117" s="9" t="s">
        <v>1169</v>
      </c>
      <c r="G117" s="9" t="s">
        <v>1170</v>
      </c>
      <c r="H117" s="10" t="s">
        <v>4154</v>
      </c>
      <c r="I117" s="10" t="s">
        <v>140</v>
      </c>
      <c r="J117" s="7" t="s">
        <v>1189</v>
      </c>
      <c r="K117" s="10" t="s">
        <v>55</v>
      </c>
      <c r="L117" s="30" t="s">
        <v>2042</v>
      </c>
      <c r="M117" s="30" t="s">
        <v>537</v>
      </c>
      <c r="N117" s="30" t="s">
        <v>4185</v>
      </c>
      <c r="O117" s="30" t="s">
        <v>4185</v>
      </c>
      <c r="P117" s="8" t="s">
        <v>144</v>
      </c>
      <c r="Q117" s="10" t="s">
        <v>1179</v>
      </c>
      <c r="R117" s="10" t="s">
        <v>177</v>
      </c>
      <c r="S117" s="10"/>
      <c r="T117" s="8" t="s">
        <v>73</v>
      </c>
      <c r="U117" s="11">
        <v>12055</v>
      </c>
      <c r="V117" s="12">
        <v>1933</v>
      </c>
      <c r="W117" s="13">
        <v>19247</v>
      </c>
      <c r="X117" s="14">
        <v>1952</v>
      </c>
      <c r="Y117" s="13">
        <v>19360</v>
      </c>
      <c r="Z117" s="14">
        <v>1953</v>
      </c>
      <c r="AA117" s="13">
        <v>23743</v>
      </c>
      <c r="AB117" s="14">
        <v>1965</v>
      </c>
      <c r="AC117" s="15">
        <v>12</v>
      </c>
      <c r="AD117" s="15">
        <v>1965</v>
      </c>
      <c r="AE117" s="27" t="s">
        <v>1180</v>
      </c>
      <c r="AF117" s="8" t="s">
        <v>106</v>
      </c>
      <c r="AG117" s="16">
        <v>107000000</v>
      </c>
      <c r="AH117" s="16">
        <v>107000000</v>
      </c>
      <c r="AI117" s="16">
        <v>1266593320.75</v>
      </c>
      <c r="AJ117" s="16" t="s">
        <v>76</v>
      </c>
      <c r="AK117" s="16">
        <v>107000000</v>
      </c>
      <c r="AL117" s="16">
        <v>107000000</v>
      </c>
      <c r="AM117" s="28">
        <v>1065546761.9</v>
      </c>
      <c r="AN117" s="10" t="s">
        <v>64</v>
      </c>
      <c r="AO117" s="8" t="s">
        <v>3757</v>
      </c>
      <c r="AP117" s="15" t="s">
        <v>94</v>
      </c>
      <c r="AQ117" s="15" t="s">
        <v>94</v>
      </c>
      <c r="AR117" s="8" t="s">
        <v>3766</v>
      </c>
      <c r="AS117" s="18" t="s">
        <v>3802</v>
      </c>
      <c r="AT117" s="10" t="s">
        <v>1190</v>
      </c>
      <c r="AU117" s="98"/>
      <c r="AV117" s="17" t="s">
        <v>1126</v>
      </c>
      <c r="AW117" s="10" t="s">
        <v>1181</v>
      </c>
      <c r="AX117" s="7" t="s">
        <v>4020</v>
      </c>
      <c r="AY117" s="10" t="s">
        <v>1191</v>
      </c>
      <c r="AZ117" s="10" t="s">
        <v>1192</v>
      </c>
      <c r="BA117" s="10" t="s">
        <v>1193</v>
      </c>
      <c r="BB117" s="18" t="s">
        <v>1194</v>
      </c>
      <c r="BC117" s="41" t="s">
        <v>1187</v>
      </c>
    </row>
    <row r="118" spans="1:55" ht="70" customHeight="1" x14ac:dyDescent="0.2">
      <c r="A118" s="88" t="s">
        <v>4302</v>
      </c>
      <c r="B118" s="6" t="s">
        <v>1195</v>
      </c>
      <c r="C118" s="7" t="s">
        <v>1196</v>
      </c>
      <c r="D118" s="10" t="s">
        <v>192</v>
      </c>
      <c r="E118" s="8" t="s">
        <v>337</v>
      </c>
      <c r="F118" s="9" t="s">
        <v>1169</v>
      </c>
      <c r="G118" s="9" t="s">
        <v>1170</v>
      </c>
      <c r="H118" s="10" t="s">
        <v>4154</v>
      </c>
      <c r="I118" s="10" t="s">
        <v>140</v>
      </c>
      <c r="J118" s="7" t="s">
        <v>1197</v>
      </c>
      <c r="K118" s="10" t="s">
        <v>55</v>
      </c>
      <c r="L118" s="30" t="s">
        <v>2042</v>
      </c>
      <c r="M118" s="30" t="s">
        <v>537</v>
      </c>
      <c r="N118" s="30" t="s">
        <v>4185</v>
      </c>
      <c r="O118" s="30" t="s">
        <v>4185</v>
      </c>
      <c r="P118" s="8" t="s">
        <v>144</v>
      </c>
      <c r="Q118" s="10" t="s">
        <v>1198</v>
      </c>
      <c r="R118" s="10" t="s">
        <v>584</v>
      </c>
      <c r="S118" s="10"/>
      <c r="T118" s="8" t="s">
        <v>60</v>
      </c>
      <c r="U118" s="11">
        <v>20821</v>
      </c>
      <c r="V118" s="12">
        <v>1957</v>
      </c>
      <c r="W118" s="13" t="s">
        <v>94</v>
      </c>
      <c r="X118" s="14">
        <v>1972</v>
      </c>
      <c r="Y118" s="13">
        <v>26299</v>
      </c>
      <c r="Z118" s="14">
        <v>1972</v>
      </c>
      <c r="AA118" s="13">
        <v>39814</v>
      </c>
      <c r="AB118" s="14">
        <v>2009</v>
      </c>
      <c r="AC118" s="14">
        <v>37</v>
      </c>
      <c r="AD118" s="14">
        <v>2021</v>
      </c>
      <c r="AE118" s="27" t="s">
        <v>1199</v>
      </c>
      <c r="AF118" s="8" t="s">
        <v>75</v>
      </c>
      <c r="AG118" s="28">
        <v>1800000000</v>
      </c>
      <c r="AH118" s="16">
        <v>2040000000</v>
      </c>
      <c r="AI118" s="16">
        <v>2361610362.77</v>
      </c>
      <c r="AJ118" s="16" t="s">
        <v>63</v>
      </c>
      <c r="AK118" s="28">
        <v>1800000000</v>
      </c>
      <c r="AL118" s="16">
        <v>2040000000</v>
      </c>
      <c r="AM118" s="16">
        <v>2361610362.77</v>
      </c>
      <c r="AN118" s="10" t="s">
        <v>64</v>
      </c>
      <c r="AO118" s="8" t="s">
        <v>3756</v>
      </c>
      <c r="AP118" s="43">
        <v>5200</v>
      </c>
      <c r="AQ118" s="43">
        <v>5200</v>
      </c>
      <c r="AR118" s="10" t="s">
        <v>3772</v>
      </c>
      <c r="AS118" s="10" t="s">
        <v>3818</v>
      </c>
      <c r="AT118" s="10" t="s">
        <v>3795</v>
      </c>
      <c r="AU118" s="96"/>
      <c r="AV118" s="17" t="s">
        <v>1200</v>
      </c>
      <c r="AW118" s="10" t="s">
        <v>1195</v>
      </c>
      <c r="AX118" s="7"/>
      <c r="AY118" s="10" t="s">
        <v>1201</v>
      </c>
      <c r="AZ118" s="10" t="s">
        <v>1202</v>
      </c>
      <c r="BA118" s="10" t="s">
        <v>1203</v>
      </c>
      <c r="BB118" s="18" t="s">
        <v>1204</v>
      </c>
      <c r="BC118" s="41" t="s">
        <v>1205</v>
      </c>
    </row>
    <row r="119" spans="1:55" ht="70" customHeight="1" x14ac:dyDescent="0.2">
      <c r="A119" s="88" t="s">
        <v>4303</v>
      </c>
      <c r="B119" s="6" t="s">
        <v>4175</v>
      </c>
      <c r="C119" s="7" t="s">
        <v>1168</v>
      </c>
      <c r="D119" s="8" t="s">
        <v>49</v>
      </c>
      <c r="E119" s="8" t="s">
        <v>50</v>
      </c>
      <c r="F119" s="9" t="s">
        <v>1169</v>
      </c>
      <c r="G119" s="9" t="s">
        <v>1170</v>
      </c>
      <c r="H119" s="10" t="s">
        <v>4154</v>
      </c>
      <c r="I119" s="10" t="s">
        <v>140</v>
      </c>
      <c r="J119" s="7" t="s">
        <v>4176</v>
      </c>
      <c r="K119" s="10" t="s">
        <v>55</v>
      </c>
      <c r="L119" s="30" t="s">
        <v>2042</v>
      </c>
      <c r="M119" s="30" t="s">
        <v>537</v>
      </c>
      <c r="N119" s="30" t="s">
        <v>4185</v>
      </c>
      <c r="O119" s="30" t="s">
        <v>4185</v>
      </c>
      <c r="P119" s="8" t="s">
        <v>144</v>
      </c>
      <c r="Q119" s="10" t="s">
        <v>4177</v>
      </c>
      <c r="R119" s="10" t="s">
        <v>177</v>
      </c>
      <c r="S119" s="18"/>
      <c r="T119" s="8" t="s">
        <v>73</v>
      </c>
      <c r="U119" s="11">
        <v>12055</v>
      </c>
      <c r="V119" s="12">
        <v>1933</v>
      </c>
      <c r="W119" s="13" t="s">
        <v>94</v>
      </c>
      <c r="X119" s="14">
        <v>1980</v>
      </c>
      <c r="Y119" s="13">
        <v>29221</v>
      </c>
      <c r="Z119" s="14">
        <v>1980</v>
      </c>
      <c r="AA119" s="13">
        <v>42736</v>
      </c>
      <c r="AB119" s="14">
        <v>2017</v>
      </c>
      <c r="AC119" s="40">
        <v>37</v>
      </c>
      <c r="AD119" s="15">
        <v>2017</v>
      </c>
      <c r="AE119" s="27" t="s">
        <v>4178</v>
      </c>
      <c r="AF119" s="8" t="s">
        <v>106</v>
      </c>
      <c r="AG119" s="16">
        <v>1500000000</v>
      </c>
      <c r="AH119" s="16">
        <v>1500000000</v>
      </c>
      <c r="AI119" s="16">
        <v>1919610802.8699999</v>
      </c>
      <c r="AJ119" s="16" t="s">
        <v>63</v>
      </c>
      <c r="AK119" s="16">
        <v>1500000000</v>
      </c>
      <c r="AL119" s="16">
        <v>1500000000</v>
      </c>
      <c r="AM119" s="16">
        <v>1919610802.8699999</v>
      </c>
      <c r="AN119" s="10" t="s">
        <v>64</v>
      </c>
      <c r="AO119" s="8" t="s">
        <v>3756</v>
      </c>
      <c r="AP119" s="43">
        <v>80000</v>
      </c>
      <c r="AQ119" s="43">
        <v>495983</v>
      </c>
      <c r="AR119" s="8" t="s">
        <v>3766</v>
      </c>
      <c r="AS119" s="18" t="s">
        <v>3819</v>
      </c>
      <c r="AT119" s="10" t="s">
        <v>1181</v>
      </c>
      <c r="AU119" s="98"/>
      <c r="AV119" s="17"/>
      <c r="AW119" s="10" t="s">
        <v>1181</v>
      </c>
      <c r="AX119" s="7"/>
      <c r="AY119" s="10" t="s">
        <v>4179</v>
      </c>
      <c r="AZ119" s="10" t="s">
        <v>4183</v>
      </c>
      <c r="BA119" s="10" t="s">
        <v>4180</v>
      </c>
      <c r="BB119" s="18" t="s">
        <v>4181</v>
      </c>
      <c r="BC119" s="41" t="s">
        <v>4182</v>
      </c>
    </row>
    <row r="120" spans="1:55" ht="71" customHeight="1" x14ac:dyDescent="0.2">
      <c r="A120" s="88" t="s">
        <v>4304</v>
      </c>
      <c r="B120" s="6" t="s">
        <v>1206</v>
      </c>
      <c r="C120" s="7" t="s">
        <v>1168</v>
      </c>
      <c r="D120" s="8" t="s">
        <v>49</v>
      </c>
      <c r="E120" s="8" t="s">
        <v>50</v>
      </c>
      <c r="F120" s="9" t="s">
        <v>1169</v>
      </c>
      <c r="G120" s="9" t="s">
        <v>1170</v>
      </c>
      <c r="H120" s="10" t="s">
        <v>4154</v>
      </c>
      <c r="I120" s="10" t="s">
        <v>140</v>
      </c>
      <c r="J120" s="7" t="s">
        <v>1207</v>
      </c>
      <c r="K120" s="10" t="s">
        <v>55</v>
      </c>
      <c r="L120" s="30" t="s">
        <v>2042</v>
      </c>
      <c r="M120" s="30" t="s">
        <v>537</v>
      </c>
      <c r="N120" s="30" t="s">
        <v>4185</v>
      </c>
      <c r="O120" s="30" t="s">
        <v>4185</v>
      </c>
      <c r="P120" s="8" t="s">
        <v>144</v>
      </c>
      <c r="Q120" s="10" t="s">
        <v>1208</v>
      </c>
      <c r="R120" s="10" t="s">
        <v>177</v>
      </c>
      <c r="S120" s="10"/>
      <c r="T120" s="8" t="s">
        <v>73</v>
      </c>
      <c r="U120" s="11">
        <v>12055</v>
      </c>
      <c r="V120" s="12">
        <v>1933</v>
      </c>
      <c r="W120" s="13">
        <v>33878</v>
      </c>
      <c r="X120" s="14">
        <v>1992</v>
      </c>
      <c r="Y120" s="13">
        <v>33604</v>
      </c>
      <c r="Z120" s="14">
        <v>1992</v>
      </c>
      <c r="AA120" s="13">
        <v>45292</v>
      </c>
      <c r="AB120" s="14">
        <v>2024</v>
      </c>
      <c r="AC120" s="15">
        <v>32</v>
      </c>
      <c r="AD120" s="15">
        <v>2024</v>
      </c>
      <c r="AE120" s="27" t="s">
        <v>74</v>
      </c>
      <c r="AF120" s="8" t="s">
        <v>106</v>
      </c>
      <c r="AG120" s="28">
        <v>4900000000</v>
      </c>
      <c r="AH120" s="16">
        <v>4900000000</v>
      </c>
      <c r="AI120" s="16">
        <v>4900000000</v>
      </c>
      <c r="AJ120" s="16" t="s">
        <v>63</v>
      </c>
      <c r="AK120" s="28">
        <v>4900000000</v>
      </c>
      <c r="AL120" s="16">
        <v>4900000000</v>
      </c>
      <c r="AM120" s="16">
        <v>4900000000</v>
      </c>
      <c r="AN120" s="10" t="s">
        <v>64</v>
      </c>
      <c r="AO120" s="8" t="s">
        <v>3757</v>
      </c>
      <c r="AP120" s="43">
        <v>100000</v>
      </c>
      <c r="AQ120" s="43">
        <v>100000</v>
      </c>
      <c r="AR120" s="8" t="s">
        <v>3766</v>
      </c>
      <c r="AS120" s="10" t="s">
        <v>3823</v>
      </c>
      <c r="AT120" s="10" t="s">
        <v>1181</v>
      </c>
      <c r="AU120" s="96"/>
      <c r="AV120" s="17" t="s">
        <v>1209</v>
      </c>
      <c r="AW120" s="10" t="s">
        <v>1181</v>
      </c>
      <c r="AX120" s="7"/>
      <c r="AY120" s="10" t="s">
        <v>1210</v>
      </c>
      <c r="AZ120" s="10" t="s">
        <v>1211</v>
      </c>
      <c r="BA120" s="10" t="s">
        <v>1212</v>
      </c>
      <c r="BB120" s="18" t="s">
        <v>1213</v>
      </c>
      <c r="BC120" s="41" t="s">
        <v>1214</v>
      </c>
    </row>
    <row r="121" spans="1:55" ht="70" customHeight="1" x14ac:dyDescent="0.2">
      <c r="A121" s="88" t="s">
        <v>4305</v>
      </c>
      <c r="B121" s="6" t="s">
        <v>1215</v>
      </c>
      <c r="C121" s="7" t="s">
        <v>1168</v>
      </c>
      <c r="D121" s="8" t="s">
        <v>49</v>
      </c>
      <c r="E121" s="8" t="s">
        <v>50</v>
      </c>
      <c r="F121" s="9" t="s">
        <v>1169</v>
      </c>
      <c r="G121" s="9" t="s">
        <v>1170</v>
      </c>
      <c r="H121" s="10" t="s">
        <v>4154</v>
      </c>
      <c r="I121" s="10" t="s">
        <v>140</v>
      </c>
      <c r="J121" s="7" t="s">
        <v>1216</v>
      </c>
      <c r="K121" s="10" t="s">
        <v>55</v>
      </c>
      <c r="L121" s="30" t="s">
        <v>2042</v>
      </c>
      <c r="M121" s="30" t="s">
        <v>537</v>
      </c>
      <c r="N121" s="30" t="s">
        <v>4185</v>
      </c>
      <c r="O121" s="30" t="s">
        <v>4185</v>
      </c>
      <c r="P121" s="8" t="s">
        <v>144</v>
      </c>
      <c r="Q121" s="10" t="s">
        <v>1217</v>
      </c>
      <c r="R121" s="10" t="s">
        <v>177</v>
      </c>
      <c r="S121" s="10"/>
      <c r="T121" s="8" t="s">
        <v>73</v>
      </c>
      <c r="U121" s="11">
        <v>12055</v>
      </c>
      <c r="V121" s="12">
        <v>1933</v>
      </c>
      <c r="W121" s="13">
        <v>35796</v>
      </c>
      <c r="X121" s="14">
        <v>1998</v>
      </c>
      <c r="Y121" s="13">
        <v>35796</v>
      </c>
      <c r="Z121" s="14">
        <v>1998</v>
      </c>
      <c r="AA121" s="13">
        <v>45292</v>
      </c>
      <c r="AB121" s="14">
        <v>2024</v>
      </c>
      <c r="AC121" s="15">
        <v>26</v>
      </c>
      <c r="AD121" s="15">
        <v>2024</v>
      </c>
      <c r="AE121" s="27" t="s">
        <v>74</v>
      </c>
      <c r="AF121" s="8" t="s">
        <v>106</v>
      </c>
      <c r="AG121" s="28">
        <v>948000000</v>
      </c>
      <c r="AH121" s="16">
        <v>948000000</v>
      </c>
      <c r="AI121" s="16">
        <v>948000000</v>
      </c>
      <c r="AJ121" s="16" t="s">
        <v>63</v>
      </c>
      <c r="AK121" s="28">
        <v>948000000</v>
      </c>
      <c r="AL121" s="16">
        <v>948000000</v>
      </c>
      <c r="AM121" s="16">
        <v>948000000</v>
      </c>
      <c r="AN121" s="10" t="s">
        <v>64</v>
      </c>
      <c r="AO121" s="8" t="s">
        <v>3756</v>
      </c>
      <c r="AP121" s="43">
        <v>33000</v>
      </c>
      <c r="AQ121" s="43">
        <v>33000</v>
      </c>
      <c r="AR121" s="8" t="s">
        <v>3766</v>
      </c>
      <c r="AS121" s="10" t="s">
        <v>3823</v>
      </c>
      <c r="AT121" s="10" t="s">
        <v>1181</v>
      </c>
      <c r="AU121" s="96"/>
      <c r="AV121" s="17" t="s">
        <v>1218</v>
      </c>
      <c r="AW121" s="10" t="s">
        <v>1181</v>
      </c>
      <c r="AX121" s="7"/>
      <c r="AY121" s="10" t="s">
        <v>1219</v>
      </c>
      <c r="AZ121" s="10" t="s">
        <v>1220</v>
      </c>
      <c r="BA121" s="10" t="s">
        <v>1221</v>
      </c>
      <c r="BB121" s="18" t="s">
        <v>1213</v>
      </c>
      <c r="BC121" s="41" t="s">
        <v>1222</v>
      </c>
    </row>
    <row r="122" spans="1:55" ht="70" customHeight="1" x14ac:dyDescent="0.2">
      <c r="A122" s="88" t="s">
        <v>4306</v>
      </c>
      <c r="B122" s="6" t="s">
        <v>1223</v>
      </c>
      <c r="C122" s="7" t="s">
        <v>1224</v>
      </c>
      <c r="D122" s="10" t="s">
        <v>192</v>
      </c>
      <c r="E122" s="8" t="s">
        <v>337</v>
      </c>
      <c r="F122" s="9" t="s">
        <v>1169</v>
      </c>
      <c r="G122" s="9" t="s">
        <v>1170</v>
      </c>
      <c r="H122" s="10" t="s">
        <v>4154</v>
      </c>
      <c r="I122" s="10" t="s">
        <v>140</v>
      </c>
      <c r="J122" s="7" t="s">
        <v>1225</v>
      </c>
      <c r="K122" s="10" t="s">
        <v>55</v>
      </c>
      <c r="L122" s="30" t="s">
        <v>2042</v>
      </c>
      <c r="M122" s="30" t="s">
        <v>537</v>
      </c>
      <c r="N122" s="30" t="s">
        <v>4185</v>
      </c>
      <c r="O122" s="30" t="s">
        <v>4185</v>
      </c>
      <c r="P122" s="8" t="s">
        <v>144</v>
      </c>
      <c r="Q122" s="10" t="s">
        <v>1226</v>
      </c>
      <c r="R122" s="10" t="s">
        <v>1227</v>
      </c>
      <c r="S122" s="10"/>
      <c r="T122" s="8" t="s">
        <v>60</v>
      </c>
      <c r="U122" s="11">
        <v>12055</v>
      </c>
      <c r="V122" s="12">
        <v>1933</v>
      </c>
      <c r="W122" s="13">
        <v>36724</v>
      </c>
      <c r="X122" s="14">
        <v>2000</v>
      </c>
      <c r="Y122" s="13">
        <v>36892</v>
      </c>
      <c r="Z122" s="15">
        <v>2001</v>
      </c>
      <c r="AA122" s="13">
        <v>39083</v>
      </c>
      <c r="AB122" s="15">
        <v>2007</v>
      </c>
      <c r="AC122" s="15">
        <v>6</v>
      </c>
      <c r="AD122" s="15">
        <v>2007</v>
      </c>
      <c r="AE122" s="27" t="s">
        <v>1228</v>
      </c>
      <c r="AF122" s="8" t="s">
        <v>75</v>
      </c>
      <c r="AG122" s="16">
        <v>5200000000</v>
      </c>
      <c r="AH122" s="16">
        <v>4802785254.8999996</v>
      </c>
      <c r="AI122" s="16">
        <v>8749018024.5300007</v>
      </c>
      <c r="AJ122" s="16" t="s">
        <v>76</v>
      </c>
      <c r="AK122" s="28">
        <v>4400000000</v>
      </c>
      <c r="AL122" s="16">
        <v>6030103372.5500002</v>
      </c>
      <c r="AM122" s="16">
        <v>9122980856.8999996</v>
      </c>
      <c r="AN122" s="10" t="s">
        <v>64</v>
      </c>
      <c r="AO122" s="8" t="s">
        <v>3756</v>
      </c>
      <c r="AP122" s="43">
        <v>1660000</v>
      </c>
      <c r="AQ122" s="43">
        <v>1660000</v>
      </c>
      <c r="AR122" s="8" t="s">
        <v>3766</v>
      </c>
      <c r="AS122" s="10" t="s">
        <v>292</v>
      </c>
      <c r="AT122" s="10" t="s">
        <v>1181</v>
      </c>
      <c r="AU122" s="96"/>
      <c r="AV122" s="17" t="s">
        <v>3894</v>
      </c>
      <c r="AW122" s="10" t="s">
        <v>1229</v>
      </c>
      <c r="AX122" s="7" t="s">
        <v>4021</v>
      </c>
      <c r="AY122" s="10" t="s">
        <v>1230</v>
      </c>
      <c r="AZ122" s="10" t="s">
        <v>1231</v>
      </c>
      <c r="BA122" s="10" t="s">
        <v>1232</v>
      </c>
      <c r="BB122" s="18" t="s">
        <v>1233</v>
      </c>
      <c r="BC122" s="41" t="s">
        <v>1234</v>
      </c>
    </row>
    <row r="123" spans="1:55" ht="70" customHeight="1" x14ac:dyDescent="0.2">
      <c r="A123" s="88" t="s">
        <v>4307</v>
      </c>
      <c r="B123" s="6" t="s">
        <v>1235</v>
      </c>
      <c r="C123" s="7" t="s">
        <v>1168</v>
      </c>
      <c r="D123" s="8" t="s">
        <v>49</v>
      </c>
      <c r="E123" s="8" t="s">
        <v>50</v>
      </c>
      <c r="F123" s="9" t="s">
        <v>1169</v>
      </c>
      <c r="G123" s="9" t="s">
        <v>1170</v>
      </c>
      <c r="H123" s="10" t="s">
        <v>4154</v>
      </c>
      <c r="I123" s="10" t="s">
        <v>140</v>
      </c>
      <c r="J123" s="7" t="s">
        <v>1236</v>
      </c>
      <c r="K123" s="10" t="s">
        <v>55</v>
      </c>
      <c r="L123" s="30" t="s">
        <v>2042</v>
      </c>
      <c r="M123" s="30" t="s">
        <v>537</v>
      </c>
      <c r="N123" s="30" t="s">
        <v>4185</v>
      </c>
      <c r="O123" s="30" t="s">
        <v>4185</v>
      </c>
      <c r="P123" s="8" t="s">
        <v>144</v>
      </c>
      <c r="Q123" s="10" t="s">
        <v>1237</v>
      </c>
      <c r="R123" s="10" t="s">
        <v>584</v>
      </c>
      <c r="S123" s="10"/>
      <c r="T123" s="8" t="s">
        <v>73</v>
      </c>
      <c r="U123" s="11">
        <v>12055</v>
      </c>
      <c r="V123" s="12">
        <v>1933</v>
      </c>
      <c r="W123" s="13">
        <v>36750</v>
      </c>
      <c r="X123" s="14">
        <v>2000</v>
      </c>
      <c r="Y123" s="13">
        <v>37987</v>
      </c>
      <c r="Z123" s="14">
        <v>2004</v>
      </c>
      <c r="AA123" s="13">
        <v>38353</v>
      </c>
      <c r="AB123" s="14">
        <v>2005</v>
      </c>
      <c r="AC123" s="14">
        <v>1</v>
      </c>
      <c r="AD123" s="14">
        <v>2005</v>
      </c>
      <c r="AE123" s="27"/>
      <c r="AF123" s="8" t="s">
        <v>75</v>
      </c>
      <c r="AG123" s="28">
        <v>16600000</v>
      </c>
      <c r="AH123" s="16">
        <v>20651898.52</v>
      </c>
      <c r="AI123" s="16">
        <v>33170882.719999999</v>
      </c>
      <c r="AJ123" s="16" t="s">
        <v>63</v>
      </c>
      <c r="AK123" s="28">
        <v>16600000</v>
      </c>
      <c r="AL123" s="16">
        <v>20651898.52</v>
      </c>
      <c r="AM123" s="16">
        <v>33170882.719999999</v>
      </c>
      <c r="AN123" s="10" t="s">
        <v>64</v>
      </c>
      <c r="AO123" s="8" t="s">
        <v>3757</v>
      </c>
      <c r="AP123" s="43">
        <v>4920</v>
      </c>
      <c r="AQ123" s="43">
        <v>4920</v>
      </c>
      <c r="AR123" s="8" t="s">
        <v>3766</v>
      </c>
      <c r="AS123" s="10" t="s">
        <v>3781</v>
      </c>
      <c r="AT123" s="10" t="s">
        <v>1181</v>
      </c>
      <c r="AU123" s="96" t="s">
        <v>586</v>
      </c>
      <c r="AV123" s="17" t="s">
        <v>1238</v>
      </c>
      <c r="AW123" s="10" t="s">
        <v>1181</v>
      </c>
      <c r="AX123" s="7"/>
      <c r="AY123" s="10" t="s">
        <v>1239</v>
      </c>
      <c r="AZ123" s="10" t="s">
        <v>1240</v>
      </c>
      <c r="BA123" s="10" t="s">
        <v>1241</v>
      </c>
      <c r="BB123" s="18" t="s">
        <v>1242</v>
      </c>
      <c r="BC123" s="41" t="s">
        <v>1243</v>
      </c>
    </row>
    <row r="124" spans="1:55" ht="70" customHeight="1" x14ac:dyDescent="0.2">
      <c r="A124" s="88" t="s">
        <v>4308</v>
      </c>
      <c r="B124" s="6" t="s">
        <v>1244</v>
      </c>
      <c r="C124" s="7" t="s">
        <v>1168</v>
      </c>
      <c r="D124" s="8" t="s">
        <v>49</v>
      </c>
      <c r="E124" s="8" t="s">
        <v>50</v>
      </c>
      <c r="F124" s="9" t="s">
        <v>1169</v>
      </c>
      <c r="G124" s="9" t="s">
        <v>1170</v>
      </c>
      <c r="H124" s="10" t="s">
        <v>4154</v>
      </c>
      <c r="I124" s="10" t="s">
        <v>140</v>
      </c>
      <c r="J124" s="7" t="s">
        <v>1245</v>
      </c>
      <c r="K124" s="10" t="s">
        <v>55</v>
      </c>
      <c r="L124" s="30" t="s">
        <v>2042</v>
      </c>
      <c r="M124" s="30" t="s">
        <v>537</v>
      </c>
      <c r="N124" s="30" t="s">
        <v>4185</v>
      </c>
      <c r="O124" s="30" t="s">
        <v>4185</v>
      </c>
      <c r="P124" s="8" t="s">
        <v>144</v>
      </c>
      <c r="Q124" s="10" t="s">
        <v>1246</v>
      </c>
      <c r="R124" s="10" t="s">
        <v>1227</v>
      </c>
      <c r="S124" s="10"/>
      <c r="T124" s="8" t="s">
        <v>60</v>
      </c>
      <c r="U124" s="11">
        <v>12055</v>
      </c>
      <c r="V124" s="12">
        <v>1933</v>
      </c>
      <c r="W124" s="13">
        <v>39344</v>
      </c>
      <c r="X124" s="14">
        <v>2007</v>
      </c>
      <c r="Y124" s="13" t="s">
        <v>94</v>
      </c>
      <c r="Z124" s="13" t="s">
        <v>94</v>
      </c>
      <c r="AA124" s="13" t="s">
        <v>94</v>
      </c>
      <c r="AB124" s="13" t="s">
        <v>94</v>
      </c>
      <c r="AC124" s="13" t="s">
        <v>94</v>
      </c>
      <c r="AD124" s="13"/>
      <c r="AE124" s="27"/>
      <c r="AF124" s="8" t="s">
        <v>75</v>
      </c>
      <c r="AG124" s="16">
        <v>100000000</v>
      </c>
      <c r="AH124" s="16">
        <v>137047803.91999999</v>
      </c>
      <c r="AI124" s="16">
        <v>207340474.02000001</v>
      </c>
      <c r="AJ124" s="16" t="s">
        <v>76</v>
      </c>
      <c r="AK124" s="28" t="s">
        <v>94</v>
      </c>
      <c r="AL124" s="16" t="s">
        <v>94</v>
      </c>
      <c r="AM124" s="16" t="s">
        <v>94</v>
      </c>
      <c r="AN124" s="10" t="s">
        <v>64</v>
      </c>
      <c r="AO124" s="8" t="s">
        <v>3756</v>
      </c>
      <c r="AP124" s="43">
        <v>50000</v>
      </c>
      <c r="AQ124" s="15" t="s">
        <v>94</v>
      </c>
      <c r="AR124" s="8" t="s">
        <v>3765</v>
      </c>
      <c r="AS124" s="8" t="s">
        <v>3778</v>
      </c>
      <c r="AT124" s="10" t="s">
        <v>3795</v>
      </c>
      <c r="AU124" s="96"/>
      <c r="AV124" s="17" t="s">
        <v>3895</v>
      </c>
      <c r="AW124" s="10"/>
      <c r="AX124" s="7" t="s">
        <v>4022</v>
      </c>
      <c r="AY124" s="10" t="s">
        <v>1247</v>
      </c>
      <c r="AZ124" s="18" t="s">
        <v>1248</v>
      </c>
      <c r="BA124" s="10" t="s">
        <v>1249</v>
      </c>
      <c r="BB124" s="18" t="s">
        <v>1250</v>
      </c>
      <c r="BC124" s="41" t="s">
        <v>1251</v>
      </c>
    </row>
    <row r="125" spans="1:55" ht="70" customHeight="1" x14ac:dyDescent="0.2">
      <c r="A125" s="88" t="s">
        <v>4309</v>
      </c>
      <c r="B125" s="6" t="s">
        <v>1252</v>
      </c>
      <c r="C125" s="7" t="s">
        <v>1168</v>
      </c>
      <c r="D125" s="8" t="s">
        <v>49</v>
      </c>
      <c r="E125" s="8" t="s">
        <v>50</v>
      </c>
      <c r="F125" s="9" t="s">
        <v>1169</v>
      </c>
      <c r="G125" s="9" t="s">
        <v>1170</v>
      </c>
      <c r="H125" s="10" t="s">
        <v>4154</v>
      </c>
      <c r="I125" s="10" t="s">
        <v>140</v>
      </c>
      <c r="J125" s="7" t="s">
        <v>1253</v>
      </c>
      <c r="K125" s="10" t="s">
        <v>55</v>
      </c>
      <c r="L125" s="30" t="s">
        <v>2042</v>
      </c>
      <c r="M125" s="30" t="s">
        <v>537</v>
      </c>
      <c r="N125" s="30" t="s">
        <v>4185</v>
      </c>
      <c r="O125" s="30" t="s">
        <v>4185</v>
      </c>
      <c r="P125" s="8" t="s">
        <v>144</v>
      </c>
      <c r="Q125" s="10" t="s">
        <v>1254</v>
      </c>
      <c r="R125" s="10" t="s">
        <v>72</v>
      </c>
      <c r="S125" s="10"/>
      <c r="T125" s="8" t="s">
        <v>73</v>
      </c>
      <c r="U125" s="11">
        <v>36526</v>
      </c>
      <c r="V125" s="12">
        <v>2000</v>
      </c>
      <c r="W125" s="13">
        <v>40962</v>
      </c>
      <c r="X125" s="14">
        <v>2012</v>
      </c>
      <c r="Y125" s="13">
        <v>40909</v>
      </c>
      <c r="Z125" s="14">
        <v>2012</v>
      </c>
      <c r="AA125" s="13">
        <v>40909</v>
      </c>
      <c r="AB125" s="14">
        <v>2012</v>
      </c>
      <c r="AC125" s="14">
        <v>0</v>
      </c>
      <c r="AD125" s="14">
        <v>2012</v>
      </c>
      <c r="AE125" s="27"/>
      <c r="AF125" s="8" t="s">
        <v>75</v>
      </c>
      <c r="AG125" s="16">
        <v>100000</v>
      </c>
      <c r="AH125" s="16">
        <v>130000</v>
      </c>
      <c r="AI125" s="16">
        <v>177616.01</v>
      </c>
      <c r="AJ125" s="16" t="s">
        <v>76</v>
      </c>
      <c r="AK125" s="28">
        <v>90000</v>
      </c>
      <c r="AL125" s="28">
        <v>117000</v>
      </c>
      <c r="AM125" s="16">
        <v>159854.41</v>
      </c>
      <c r="AN125" s="10" t="s">
        <v>64</v>
      </c>
      <c r="AO125" s="8" t="s">
        <v>3758</v>
      </c>
      <c r="AP125" s="15">
        <v>10</v>
      </c>
      <c r="AQ125" s="15">
        <v>10</v>
      </c>
      <c r="AR125" s="8" t="s">
        <v>3765</v>
      </c>
      <c r="AS125" s="69" t="s">
        <v>3819</v>
      </c>
      <c r="AT125" s="10" t="s">
        <v>3795</v>
      </c>
      <c r="AU125" s="96"/>
      <c r="AV125" s="17" t="s">
        <v>1255</v>
      </c>
      <c r="AW125" s="10"/>
      <c r="AX125" s="7" t="s">
        <v>577</v>
      </c>
      <c r="AY125" s="10" t="s">
        <v>1256</v>
      </c>
      <c r="AZ125" s="10" t="s">
        <v>1257</v>
      </c>
      <c r="BA125" s="10" t="s">
        <v>1258</v>
      </c>
      <c r="BB125" s="18"/>
      <c r="BC125" s="41" t="s">
        <v>1259</v>
      </c>
    </row>
    <row r="126" spans="1:55" ht="70" customHeight="1" x14ac:dyDescent="0.2">
      <c r="A126" s="88" t="s">
        <v>4310</v>
      </c>
      <c r="B126" s="6" t="s">
        <v>1260</v>
      </c>
      <c r="C126" s="7" t="s">
        <v>1168</v>
      </c>
      <c r="D126" s="8" t="s">
        <v>49</v>
      </c>
      <c r="E126" s="8" t="s">
        <v>50</v>
      </c>
      <c r="F126" s="9" t="s">
        <v>1169</v>
      </c>
      <c r="G126" s="9" t="s">
        <v>1170</v>
      </c>
      <c r="H126" s="10" t="s">
        <v>4154</v>
      </c>
      <c r="I126" s="10" t="s">
        <v>140</v>
      </c>
      <c r="J126" s="7" t="s">
        <v>1261</v>
      </c>
      <c r="K126" s="10" t="s">
        <v>55</v>
      </c>
      <c r="L126" s="9" t="s">
        <v>1169</v>
      </c>
      <c r="M126" s="9" t="s">
        <v>1170</v>
      </c>
      <c r="N126" s="10" t="s">
        <v>4154</v>
      </c>
      <c r="O126" s="8" t="s">
        <v>140</v>
      </c>
      <c r="P126" s="8" t="s">
        <v>56</v>
      </c>
      <c r="Q126" s="10" t="s">
        <v>1262</v>
      </c>
      <c r="R126" s="10" t="s">
        <v>177</v>
      </c>
      <c r="S126" s="10"/>
      <c r="T126" s="8" t="s">
        <v>73</v>
      </c>
      <c r="U126" s="11">
        <v>12055</v>
      </c>
      <c r="V126" s="12">
        <v>1933</v>
      </c>
      <c r="W126" s="13">
        <v>42816</v>
      </c>
      <c r="X126" s="14">
        <v>2017</v>
      </c>
      <c r="Y126" s="13">
        <v>42736</v>
      </c>
      <c r="Z126" s="14">
        <v>2017</v>
      </c>
      <c r="AA126" s="13">
        <v>44197</v>
      </c>
      <c r="AB126" s="14">
        <v>2021</v>
      </c>
      <c r="AC126" s="14">
        <v>4</v>
      </c>
      <c r="AD126" s="14">
        <v>2021</v>
      </c>
      <c r="AE126" s="27"/>
      <c r="AF126" s="8" t="s">
        <v>75</v>
      </c>
      <c r="AG126" s="16">
        <v>30000000</v>
      </c>
      <c r="AH126" s="16">
        <v>33890435.289999999</v>
      </c>
      <c r="AI126" s="16">
        <v>43370825.539999999</v>
      </c>
      <c r="AJ126" s="16" t="s">
        <v>76</v>
      </c>
      <c r="AK126" s="28">
        <v>860000</v>
      </c>
      <c r="AL126" s="16">
        <v>971525.81</v>
      </c>
      <c r="AM126" s="16">
        <v>1124688.93</v>
      </c>
      <c r="AN126" s="10" t="s">
        <v>64</v>
      </c>
      <c r="AO126" s="8" t="s">
        <v>3756</v>
      </c>
      <c r="AP126" s="15">
        <v>249</v>
      </c>
      <c r="AQ126" s="15">
        <v>249</v>
      </c>
      <c r="AR126" s="8" t="s">
        <v>3765</v>
      </c>
      <c r="AS126" s="10" t="s">
        <v>3781</v>
      </c>
      <c r="AT126" s="10" t="s">
        <v>3795</v>
      </c>
      <c r="AU126" s="96"/>
      <c r="AV126" s="17" t="s">
        <v>1263</v>
      </c>
      <c r="AW126" s="10"/>
      <c r="AX126" s="7" t="s">
        <v>4023</v>
      </c>
      <c r="AY126" s="10" t="s">
        <v>1264</v>
      </c>
      <c r="AZ126" s="10" t="s">
        <v>1265</v>
      </c>
      <c r="BA126" s="10" t="s">
        <v>1266</v>
      </c>
      <c r="BB126" s="18" t="s">
        <v>1267</v>
      </c>
      <c r="BC126" s="41" t="s">
        <v>1268</v>
      </c>
    </row>
    <row r="127" spans="1:55" ht="70" customHeight="1" x14ac:dyDescent="0.2">
      <c r="A127" s="88" t="s">
        <v>4311</v>
      </c>
      <c r="B127" s="6" t="s">
        <v>1269</v>
      </c>
      <c r="C127" s="7" t="s">
        <v>1168</v>
      </c>
      <c r="D127" s="8" t="s">
        <v>49</v>
      </c>
      <c r="E127" s="8" t="s">
        <v>50</v>
      </c>
      <c r="F127" s="9" t="s">
        <v>1169</v>
      </c>
      <c r="G127" s="9" t="s">
        <v>1170</v>
      </c>
      <c r="H127" s="10" t="s">
        <v>4154</v>
      </c>
      <c r="I127" s="10" t="s">
        <v>140</v>
      </c>
      <c r="J127" s="7" t="s">
        <v>1270</v>
      </c>
      <c r="K127" s="10" t="s">
        <v>55</v>
      </c>
      <c r="L127" s="30" t="s">
        <v>2042</v>
      </c>
      <c r="M127" s="30" t="s">
        <v>537</v>
      </c>
      <c r="N127" s="30" t="s">
        <v>4185</v>
      </c>
      <c r="O127" s="30" t="s">
        <v>4185</v>
      </c>
      <c r="P127" s="8" t="s">
        <v>144</v>
      </c>
      <c r="Q127" s="10" t="s">
        <v>1271</v>
      </c>
      <c r="R127" s="10" t="s">
        <v>240</v>
      </c>
      <c r="S127" s="10"/>
      <c r="T127" s="8" t="s">
        <v>73</v>
      </c>
      <c r="U127" s="11">
        <v>22282</v>
      </c>
      <c r="V127" s="12">
        <v>1961</v>
      </c>
      <c r="W127" s="13">
        <v>43602</v>
      </c>
      <c r="X127" s="14">
        <v>2019</v>
      </c>
      <c r="Y127" s="13" t="s">
        <v>94</v>
      </c>
      <c r="Z127" s="13" t="s">
        <v>94</v>
      </c>
      <c r="AA127" s="13" t="s">
        <v>94</v>
      </c>
      <c r="AB127" s="13" t="s">
        <v>94</v>
      </c>
      <c r="AC127" s="13" t="s">
        <v>94</v>
      </c>
      <c r="AD127" s="15"/>
      <c r="AE127" s="27"/>
      <c r="AF127" s="8" t="s">
        <v>75</v>
      </c>
      <c r="AG127" s="16">
        <v>3500000</v>
      </c>
      <c r="AH127" s="16">
        <v>3918426.94</v>
      </c>
      <c r="AI127" s="16">
        <v>4807877.07</v>
      </c>
      <c r="AJ127" s="16" t="s">
        <v>76</v>
      </c>
      <c r="AK127" s="28" t="s">
        <v>94</v>
      </c>
      <c r="AL127" s="16" t="s">
        <v>94</v>
      </c>
      <c r="AM127" s="16" t="s">
        <v>94</v>
      </c>
      <c r="AN127" s="10" t="s">
        <v>64</v>
      </c>
      <c r="AO127" s="8" t="s">
        <v>3756</v>
      </c>
      <c r="AP127" s="15">
        <v>240</v>
      </c>
      <c r="AQ127" s="15" t="s">
        <v>94</v>
      </c>
      <c r="AR127" s="8" t="s">
        <v>3765</v>
      </c>
      <c r="AS127" s="10" t="s">
        <v>3786</v>
      </c>
      <c r="AT127" s="10" t="s">
        <v>3795</v>
      </c>
      <c r="AU127" s="96"/>
      <c r="AV127" s="17"/>
      <c r="AW127" s="10"/>
      <c r="AX127" s="7" t="s">
        <v>4024</v>
      </c>
      <c r="AY127" s="10" t="s">
        <v>1272</v>
      </c>
      <c r="AZ127" s="10" t="s">
        <v>4117</v>
      </c>
      <c r="BA127" s="10" t="s">
        <v>1273</v>
      </c>
      <c r="BB127" s="18"/>
      <c r="BC127" s="41" t="s">
        <v>1274</v>
      </c>
    </row>
    <row r="128" spans="1:55" ht="70" customHeight="1" x14ac:dyDescent="0.2">
      <c r="A128" s="88" t="s">
        <v>4312</v>
      </c>
      <c r="B128" s="6" t="s">
        <v>1275</v>
      </c>
      <c r="C128" s="7" t="s">
        <v>1168</v>
      </c>
      <c r="D128" s="8" t="s">
        <v>49</v>
      </c>
      <c r="E128" s="8" t="s">
        <v>50</v>
      </c>
      <c r="F128" s="9" t="s">
        <v>1169</v>
      </c>
      <c r="G128" s="9" t="s">
        <v>1170</v>
      </c>
      <c r="H128" s="10" t="s">
        <v>4154</v>
      </c>
      <c r="I128" s="10" t="s">
        <v>140</v>
      </c>
      <c r="J128" s="7" t="s">
        <v>1276</v>
      </c>
      <c r="K128" s="10" t="s">
        <v>55</v>
      </c>
      <c r="L128" s="9" t="s">
        <v>1277</v>
      </c>
      <c r="M128" s="9" t="s">
        <v>1278</v>
      </c>
      <c r="N128" s="10" t="s">
        <v>4154</v>
      </c>
      <c r="O128" s="8" t="s">
        <v>140</v>
      </c>
      <c r="P128" s="8" t="s">
        <v>144</v>
      </c>
      <c r="Q128" s="10" t="s">
        <v>1279</v>
      </c>
      <c r="R128" s="10" t="s">
        <v>177</v>
      </c>
      <c r="S128" s="10"/>
      <c r="T128" s="8" t="s">
        <v>73</v>
      </c>
      <c r="U128" s="11">
        <v>12055</v>
      </c>
      <c r="V128" s="12">
        <v>1933</v>
      </c>
      <c r="W128" s="13">
        <v>43663</v>
      </c>
      <c r="X128" s="14">
        <v>2019</v>
      </c>
      <c r="Y128" s="13" t="s">
        <v>94</v>
      </c>
      <c r="Z128" s="13" t="s">
        <v>94</v>
      </c>
      <c r="AA128" s="13" t="s">
        <v>94</v>
      </c>
      <c r="AB128" s="13" t="s">
        <v>94</v>
      </c>
      <c r="AC128" s="13" t="s">
        <v>94</v>
      </c>
      <c r="AD128" s="15"/>
      <c r="AE128" s="27"/>
      <c r="AF128" s="8" t="s">
        <v>106</v>
      </c>
      <c r="AG128" s="16">
        <v>420000000</v>
      </c>
      <c r="AH128" s="16">
        <v>420000000</v>
      </c>
      <c r="AI128" s="16">
        <v>515336485.99000001</v>
      </c>
      <c r="AJ128" s="16" t="s">
        <v>76</v>
      </c>
      <c r="AK128" s="28" t="s">
        <v>94</v>
      </c>
      <c r="AL128" s="16" t="s">
        <v>94</v>
      </c>
      <c r="AM128" s="16" t="s">
        <v>94</v>
      </c>
      <c r="AN128" s="10" t="s">
        <v>64</v>
      </c>
      <c r="AO128" s="8" t="s">
        <v>3756</v>
      </c>
      <c r="AP128" s="43">
        <v>8000</v>
      </c>
      <c r="AQ128" s="15" t="s">
        <v>94</v>
      </c>
      <c r="AR128" s="8" t="s">
        <v>3765</v>
      </c>
      <c r="AS128" s="10" t="s">
        <v>3779</v>
      </c>
      <c r="AT128" s="10" t="s">
        <v>3795</v>
      </c>
      <c r="AU128" s="96"/>
      <c r="AV128" s="17"/>
      <c r="AW128" s="10"/>
      <c r="AX128" s="7" t="s">
        <v>1280</v>
      </c>
      <c r="AY128" s="10" t="s">
        <v>1281</v>
      </c>
      <c r="AZ128" s="10" t="s">
        <v>1282</v>
      </c>
      <c r="BA128" s="10" t="s">
        <v>1283</v>
      </c>
      <c r="BB128" s="18"/>
      <c r="BC128" s="41" t="s">
        <v>1284</v>
      </c>
    </row>
    <row r="129" spans="1:55" ht="70" customHeight="1" x14ac:dyDescent="0.2">
      <c r="A129" s="88" t="s">
        <v>4313</v>
      </c>
      <c r="B129" s="6" t="s">
        <v>1285</v>
      </c>
      <c r="C129" s="7" t="s">
        <v>1286</v>
      </c>
      <c r="D129" s="8" t="s">
        <v>279</v>
      </c>
      <c r="E129" s="8" t="s">
        <v>280</v>
      </c>
      <c r="F129" s="9" t="s">
        <v>1169</v>
      </c>
      <c r="G129" s="9" t="s">
        <v>1170</v>
      </c>
      <c r="H129" s="10" t="s">
        <v>4154</v>
      </c>
      <c r="I129" s="10" t="s">
        <v>140</v>
      </c>
      <c r="J129" s="7" t="s">
        <v>1287</v>
      </c>
      <c r="K129" s="10" t="s">
        <v>55</v>
      </c>
      <c r="L129" s="9" t="s">
        <v>476</v>
      </c>
      <c r="M129" s="9" t="s">
        <v>477</v>
      </c>
      <c r="N129" s="10" t="s">
        <v>4592</v>
      </c>
      <c r="O129" s="8" t="s">
        <v>53</v>
      </c>
      <c r="P129" s="8" t="s">
        <v>144</v>
      </c>
      <c r="Q129" s="10" t="s">
        <v>1288</v>
      </c>
      <c r="R129" s="10" t="s">
        <v>72</v>
      </c>
      <c r="S129" s="10"/>
      <c r="T129" s="8" t="s">
        <v>60</v>
      </c>
      <c r="U129" s="11">
        <v>23468</v>
      </c>
      <c r="V129" s="12">
        <v>1964</v>
      </c>
      <c r="W129" s="13" t="s">
        <v>94</v>
      </c>
      <c r="X129" s="14">
        <v>2020</v>
      </c>
      <c r="Y129" s="13" t="s">
        <v>94</v>
      </c>
      <c r="Z129" s="13" t="s">
        <v>94</v>
      </c>
      <c r="AA129" s="13" t="s">
        <v>94</v>
      </c>
      <c r="AB129" s="13" t="s">
        <v>94</v>
      </c>
      <c r="AC129" s="13" t="s">
        <v>94</v>
      </c>
      <c r="AD129" s="15"/>
      <c r="AE129" s="27"/>
      <c r="AF129" s="8" t="s">
        <v>480</v>
      </c>
      <c r="AG129" s="16">
        <v>36600000</v>
      </c>
      <c r="AH129" s="16">
        <v>6400000</v>
      </c>
      <c r="AI129" s="16">
        <v>7757048.9699999997</v>
      </c>
      <c r="AJ129" s="16" t="s">
        <v>76</v>
      </c>
      <c r="AK129" s="28" t="s">
        <v>94</v>
      </c>
      <c r="AL129" s="16" t="s">
        <v>94</v>
      </c>
      <c r="AM129" s="16" t="s">
        <v>94</v>
      </c>
      <c r="AN129" s="54" t="s">
        <v>3755</v>
      </c>
      <c r="AO129" s="8" t="s">
        <v>3756</v>
      </c>
      <c r="AP129" s="15" t="s">
        <v>94</v>
      </c>
      <c r="AQ129" s="15" t="s">
        <v>94</v>
      </c>
      <c r="AR129" s="8" t="s">
        <v>3769</v>
      </c>
      <c r="AS129" s="10" t="s">
        <v>3783</v>
      </c>
      <c r="AT129" s="10" t="s">
        <v>3795</v>
      </c>
      <c r="AU129" s="96"/>
      <c r="AV129" s="17"/>
      <c r="AW129" s="10"/>
      <c r="AX129" s="7" t="s">
        <v>4025</v>
      </c>
      <c r="AY129" s="10" t="s">
        <v>1289</v>
      </c>
      <c r="AZ129" s="10" t="s">
        <v>1290</v>
      </c>
      <c r="BA129" s="10" t="s">
        <v>1291</v>
      </c>
      <c r="BB129" s="18"/>
      <c r="BC129" s="41" t="s">
        <v>1292</v>
      </c>
    </row>
    <row r="130" spans="1:55" ht="70" customHeight="1" x14ac:dyDescent="0.2">
      <c r="A130" s="88" t="s">
        <v>4314</v>
      </c>
      <c r="B130" s="6" t="s">
        <v>1293</v>
      </c>
      <c r="C130" s="7" t="s">
        <v>1168</v>
      </c>
      <c r="D130" s="8" t="s">
        <v>49</v>
      </c>
      <c r="E130" s="8" t="s">
        <v>50</v>
      </c>
      <c r="F130" s="9" t="s">
        <v>1169</v>
      </c>
      <c r="G130" s="9" t="s">
        <v>1170</v>
      </c>
      <c r="H130" s="10" t="s">
        <v>4154</v>
      </c>
      <c r="I130" s="10" t="s">
        <v>140</v>
      </c>
      <c r="J130" s="7" t="s">
        <v>1294</v>
      </c>
      <c r="K130" s="10" t="s">
        <v>55</v>
      </c>
      <c r="L130" s="9" t="s">
        <v>1169</v>
      </c>
      <c r="M130" s="9" t="s">
        <v>1170</v>
      </c>
      <c r="N130" s="10" t="s">
        <v>4154</v>
      </c>
      <c r="O130" s="8" t="s">
        <v>140</v>
      </c>
      <c r="P130" s="8" t="s">
        <v>56</v>
      </c>
      <c r="Q130" s="10" t="s">
        <v>1295</v>
      </c>
      <c r="R130" s="10" t="s">
        <v>177</v>
      </c>
      <c r="S130" s="10"/>
      <c r="T130" s="8" t="s">
        <v>73</v>
      </c>
      <c r="U130" s="11">
        <v>20090</v>
      </c>
      <c r="V130" s="12">
        <v>1955</v>
      </c>
      <c r="W130" s="13">
        <v>44336</v>
      </c>
      <c r="X130" s="14">
        <v>2021</v>
      </c>
      <c r="Y130" s="13">
        <v>44197</v>
      </c>
      <c r="Z130" s="14">
        <v>2021</v>
      </c>
      <c r="AA130" s="13">
        <v>44927</v>
      </c>
      <c r="AB130" s="14">
        <v>2023</v>
      </c>
      <c r="AC130" s="14">
        <v>2</v>
      </c>
      <c r="AD130" s="14">
        <v>2023</v>
      </c>
      <c r="AE130" s="27"/>
      <c r="AF130" s="8" t="s">
        <v>75</v>
      </c>
      <c r="AG130" s="28">
        <v>400000</v>
      </c>
      <c r="AH130" s="16">
        <v>438000</v>
      </c>
      <c r="AI130" s="16">
        <v>450918.54</v>
      </c>
      <c r="AJ130" s="16" t="s">
        <v>63</v>
      </c>
      <c r="AK130" s="28">
        <v>400000</v>
      </c>
      <c r="AL130" s="16">
        <v>438000</v>
      </c>
      <c r="AM130" s="16">
        <v>450918.54</v>
      </c>
      <c r="AN130" s="10" t="s">
        <v>64</v>
      </c>
      <c r="AO130" s="8" t="s">
        <v>3756</v>
      </c>
      <c r="AP130" s="15">
        <v>178</v>
      </c>
      <c r="AQ130" s="15">
        <v>178</v>
      </c>
      <c r="AR130" s="8" t="s">
        <v>3765</v>
      </c>
      <c r="AS130" s="10" t="s">
        <v>3788</v>
      </c>
      <c r="AT130" s="10" t="s">
        <v>3795</v>
      </c>
      <c r="AU130" s="96"/>
      <c r="AV130" s="17" t="s">
        <v>1296</v>
      </c>
      <c r="AW130" s="10"/>
      <c r="AX130" s="7" t="s">
        <v>1297</v>
      </c>
      <c r="AY130" s="10" t="s">
        <v>1298</v>
      </c>
      <c r="AZ130" s="10" t="s">
        <v>1299</v>
      </c>
      <c r="BA130" s="10" t="s">
        <v>1300</v>
      </c>
      <c r="BB130" s="18" t="s">
        <v>1301</v>
      </c>
      <c r="BC130" s="41" t="s">
        <v>1302</v>
      </c>
    </row>
    <row r="131" spans="1:55" ht="70" customHeight="1" x14ac:dyDescent="0.2">
      <c r="A131" s="88" t="s">
        <v>4315</v>
      </c>
      <c r="B131" s="6" t="s">
        <v>1303</v>
      </c>
      <c r="C131" s="7" t="s">
        <v>1168</v>
      </c>
      <c r="D131" s="8" t="s">
        <v>49</v>
      </c>
      <c r="E131" s="8" t="s">
        <v>50</v>
      </c>
      <c r="F131" s="9" t="s">
        <v>1169</v>
      </c>
      <c r="G131" s="9" t="s">
        <v>1170</v>
      </c>
      <c r="H131" s="10" t="s">
        <v>4154</v>
      </c>
      <c r="I131" s="10" t="s">
        <v>140</v>
      </c>
      <c r="J131" s="7" t="s">
        <v>1304</v>
      </c>
      <c r="K131" s="10" t="s">
        <v>49</v>
      </c>
      <c r="L131" s="9" t="s">
        <v>1305</v>
      </c>
      <c r="M131" s="9" t="s">
        <v>1306</v>
      </c>
      <c r="N131" s="10" t="s">
        <v>380</v>
      </c>
      <c r="O131" s="8" t="s">
        <v>103</v>
      </c>
      <c r="P131" s="8" t="s">
        <v>144</v>
      </c>
      <c r="Q131" s="10" t="s">
        <v>1307</v>
      </c>
      <c r="R131" s="10" t="s">
        <v>177</v>
      </c>
      <c r="S131" s="10"/>
      <c r="T131" s="8" t="s">
        <v>73</v>
      </c>
      <c r="U131" s="11">
        <v>1462</v>
      </c>
      <c r="V131" s="12">
        <v>1904</v>
      </c>
      <c r="W131" s="13">
        <v>44343</v>
      </c>
      <c r="X131" s="14">
        <v>2021</v>
      </c>
      <c r="Y131" s="13">
        <v>44197</v>
      </c>
      <c r="Z131" s="15">
        <v>2021</v>
      </c>
      <c r="AA131" s="13" t="s">
        <v>94</v>
      </c>
      <c r="AB131" s="13" t="s">
        <v>94</v>
      </c>
      <c r="AC131" s="13" t="s">
        <v>94</v>
      </c>
      <c r="AD131" s="14"/>
      <c r="AE131" s="27" t="s">
        <v>1308</v>
      </c>
      <c r="AF131" s="8" t="s">
        <v>75</v>
      </c>
      <c r="AG131" s="16">
        <v>1100000000</v>
      </c>
      <c r="AH131" s="16">
        <v>1200000000</v>
      </c>
      <c r="AI131" s="16">
        <v>1389182566.3399999</v>
      </c>
      <c r="AJ131" s="16" t="s">
        <v>76</v>
      </c>
      <c r="AK131" s="28" t="s">
        <v>94</v>
      </c>
      <c r="AL131" s="16" t="s">
        <v>94</v>
      </c>
      <c r="AM131" s="16" t="s">
        <v>94</v>
      </c>
      <c r="AN131" s="10" t="s">
        <v>149</v>
      </c>
      <c r="AO131" s="8" t="s">
        <v>150</v>
      </c>
      <c r="AP131" s="15" t="s">
        <v>151</v>
      </c>
      <c r="AQ131" s="15" t="s">
        <v>151</v>
      </c>
      <c r="AR131" s="8" t="s">
        <v>3766</v>
      </c>
      <c r="AS131" s="10" t="s">
        <v>166</v>
      </c>
      <c r="AT131" s="10" t="s">
        <v>3795</v>
      </c>
      <c r="AU131" s="96"/>
      <c r="AV131" s="17" t="s">
        <v>1309</v>
      </c>
      <c r="AW131" s="10"/>
      <c r="AX131" s="7" t="s">
        <v>4026</v>
      </c>
      <c r="AY131" s="10" t="s">
        <v>1310</v>
      </c>
      <c r="AZ131" s="10" t="s">
        <v>1311</v>
      </c>
      <c r="BA131" s="10" t="s">
        <v>1312</v>
      </c>
      <c r="BB131" s="18" t="s">
        <v>1313</v>
      </c>
      <c r="BC131" s="41" t="s">
        <v>1314</v>
      </c>
    </row>
    <row r="132" spans="1:55" ht="70" customHeight="1" x14ac:dyDescent="0.2">
      <c r="A132" s="88" t="s">
        <v>4316</v>
      </c>
      <c r="B132" s="6" t="s">
        <v>1315</v>
      </c>
      <c r="C132" s="7" t="s">
        <v>1168</v>
      </c>
      <c r="D132" s="8" t="s">
        <v>49</v>
      </c>
      <c r="E132" s="8" t="s">
        <v>50</v>
      </c>
      <c r="F132" s="9" t="s">
        <v>1169</v>
      </c>
      <c r="G132" s="9" t="s">
        <v>1170</v>
      </c>
      <c r="H132" s="10" t="s">
        <v>4154</v>
      </c>
      <c r="I132" s="10" t="s">
        <v>140</v>
      </c>
      <c r="J132" s="7" t="s">
        <v>1316</v>
      </c>
      <c r="K132" s="10" t="s">
        <v>55</v>
      </c>
      <c r="L132" s="30" t="s">
        <v>2042</v>
      </c>
      <c r="M132" s="30" t="s">
        <v>537</v>
      </c>
      <c r="N132" s="30" t="s">
        <v>4185</v>
      </c>
      <c r="O132" s="30" t="s">
        <v>4185</v>
      </c>
      <c r="P132" s="8" t="s">
        <v>144</v>
      </c>
      <c r="Q132" s="10" t="s">
        <v>1317</v>
      </c>
      <c r="R132" s="10" t="s">
        <v>177</v>
      </c>
      <c r="S132" s="10"/>
      <c r="T132" s="8" t="s">
        <v>73</v>
      </c>
      <c r="U132" s="11">
        <v>12055</v>
      </c>
      <c r="V132" s="12">
        <v>1933</v>
      </c>
      <c r="W132" s="13">
        <v>44819</v>
      </c>
      <c r="X132" s="14">
        <v>2022</v>
      </c>
      <c r="Y132" s="13">
        <v>44927</v>
      </c>
      <c r="Z132" s="15">
        <v>2023</v>
      </c>
      <c r="AA132" s="13" t="s">
        <v>94</v>
      </c>
      <c r="AB132" s="13" t="s">
        <v>94</v>
      </c>
      <c r="AC132" s="13" t="s">
        <v>94</v>
      </c>
      <c r="AD132" s="15"/>
      <c r="AE132" s="27"/>
      <c r="AF132" s="8" t="s">
        <v>106</v>
      </c>
      <c r="AG132" s="16">
        <v>1200000000</v>
      </c>
      <c r="AH132" s="16">
        <v>1200000000</v>
      </c>
      <c r="AI132" s="16">
        <v>1286247629.46</v>
      </c>
      <c r="AJ132" s="16" t="s">
        <v>76</v>
      </c>
      <c r="AK132" s="28" t="s">
        <v>94</v>
      </c>
      <c r="AL132" s="16" t="s">
        <v>94</v>
      </c>
      <c r="AM132" s="16" t="s">
        <v>94</v>
      </c>
      <c r="AN132" s="54" t="s">
        <v>3755</v>
      </c>
      <c r="AO132" s="8" t="s">
        <v>3756</v>
      </c>
      <c r="AP132" s="15" t="s">
        <v>94</v>
      </c>
      <c r="AQ132" s="15" t="s">
        <v>94</v>
      </c>
      <c r="AR132" s="8" t="s">
        <v>3766</v>
      </c>
      <c r="AS132" s="10" t="s">
        <v>3816</v>
      </c>
      <c r="AT132" s="10" t="s">
        <v>1181</v>
      </c>
      <c r="AU132" s="96" t="s">
        <v>586</v>
      </c>
      <c r="AV132" s="17"/>
      <c r="AW132" s="10"/>
      <c r="AX132" s="7" t="s">
        <v>577</v>
      </c>
      <c r="AY132" s="10" t="s">
        <v>1318</v>
      </c>
      <c r="AZ132" s="10" t="s">
        <v>1319</v>
      </c>
      <c r="BA132" s="10" t="s">
        <v>1320</v>
      </c>
      <c r="BB132" s="18"/>
      <c r="BC132" s="41" t="s">
        <v>1321</v>
      </c>
    </row>
    <row r="133" spans="1:55" ht="70" customHeight="1" x14ac:dyDescent="0.2">
      <c r="A133" s="88" t="s">
        <v>4317</v>
      </c>
      <c r="B133" s="6" t="s">
        <v>1322</v>
      </c>
      <c r="C133" s="7" t="s">
        <v>1168</v>
      </c>
      <c r="D133" s="8" t="s">
        <v>49</v>
      </c>
      <c r="E133" s="8" t="s">
        <v>50</v>
      </c>
      <c r="F133" s="9" t="s">
        <v>1169</v>
      </c>
      <c r="G133" s="9" t="s">
        <v>1170</v>
      </c>
      <c r="H133" s="10" t="s">
        <v>4154</v>
      </c>
      <c r="I133" s="10" t="s">
        <v>140</v>
      </c>
      <c r="J133" s="7" t="s">
        <v>392</v>
      </c>
      <c r="K133" s="10" t="s">
        <v>55</v>
      </c>
      <c r="L133" s="30" t="s">
        <v>2042</v>
      </c>
      <c r="M133" s="30" t="s">
        <v>537</v>
      </c>
      <c r="N133" s="30" t="s">
        <v>4185</v>
      </c>
      <c r="O133" s="30" t="s">
        <v>4185</v>
      </c>
      <c r="P133" s="8" t="s">
        <v>144</v>
      </c>
      <c r="Q133" s="10" t="s">
        <v>1323</v>
      </c>
      <c r="R133" s="10" t="s">
        <v>177</v>
      </c>
      <c r="S133" s="10"/>
      <c r="T133" s="8" t="s">
        <v>73</v>
      </c>
      <c r="U133" s="11">
        <v>12055</v>
      </c>
      <c r="V133" s="12">
        <v>1933</v>
      </c>
      <c r="W133" s="13">
        <v>45092</v>
      </c>
      <c r="X133" s="14">
        <v>2023</v>
      </c>
      <c r="Y133" s="13">
        <v>45292</v>
      </c>
      <c r="Z133" s="15">
        <v>2024</v>
      </c>
      <c r="AA133" s="13" t="s">
        <v>94</v>
      </c>
      <c r="AB133" s="13" t="s">
        <v>94</v>
      </c>
      <c r="AC133" s="13" t="s">
        <v>94</v>
      </c>
      <c r="AD133" s="15"/>
      <c r="AE133" s="27"/>
      <c r="AF133" s="8" t="s">
        <v>106</v>
      </c>
      <c r="AG133" s="16">
        <v>1400000000</v>
      </c>
      <c r="AH133" s="16">
        <v>1400000000</v>
      </c>
      <c r="AI133" s="16">
        <v>1441292147.74</v>
      </c>
      <c r="AJ133" s="16" t="s">
        <v>76</v>
      </c>
      <c r="AK133" s="28" t="s">
        <v>94</v>
      </c>
      <c r="AL133" s="16" t="s">
        <v>94</v>
      </c>
      <c r="AM133" s="16" t="s">
        <v>94</v>
      </c>
      <c r="AN133" s="54" t="s">
        <v>3755</v>
      </c>
      <c r="AO133" s="8" t="s">
        <v>3756</v>
      </c>
      <c r="AP133" s="43">
        <v>128000</v>
      </c>
      <c r="AQ133" s="15" t="s">
        <v>94</v>
      </c>
      <c r="AR133" s="8" t="s">
        <v>3766</v>
      </c>
      <c r="AS133" s="10" t="s">
        <v>3783</v>
      </c>
      <c r="AT133" s="10" t="s">
        <v>1181</v>
      </c>
      <c r="AU133" s="96"/>
      <c r="AV133" s="17"/>
      <c r="AW133" s="10" t="s">
        <v>1181</v>
      </c>
      <c r="AX133" s="7" t="s">
        <v>1324</v>
      </c>
      <c r="AY133" s="10" t="s">
        <v>1325</v>
      </c>
      <c r="AZ133" s="10" t="s">
        <v>1326</v>
      </c>
      <c r="BA133" s="10" t="s">
        <v>1327</v>
      </c>
      <c r="BB133" s="18"/>
      <c r="BC133" s="41" t="s">
        <v>1328</v>
      </c>
    </row>
    <row r="134" spans="1:55" ht="70" customHeight="1" x14ac:dyDescent="0.2">
      <c r="A134" s="88" t="s">
        <v>4318</v>
      </c>
      <c r="B134" s="6" t="s">
        <v>1329</v>
      </c>
      <c r="C134" s="7" t="s">
        <v>1168</v>
      </c>
      <c r="D134" s="8" t="s">
        <v>49</v>
      </c>
      <c r="E134" s="8" t="s">
        <v>50</v>
      </c>
      <c r="F134" s="9" t="s">
        <v>1169</v>
      </c>
      <c r="G134" s="9" t="s">
        <v>1170</v>
      </c>
      <c r="H134" s="10" t="s">
        <v>4154</v>
      </c>
      <c r="I134" s="10" t="s">
        <v>140</v>
      </c>
      <c r="J134" s="7" t="s">
        <v>1330</v>
      </c>
      <c r="K134" s="10" t="s">
        <v>55</v>
      </c>
      <c r="L134" s="9" t="s">
        <v>1177</v>
      </c>
      <c r="M134" s="9" t="s">
        <v>1178</v>
      </c>
      <c r="N134" s="10" t="s">
        <v>4156</v>
      </c>
      <c r="O134" s="8" t="s">
        <v>140</v>
      </c>
      <c r="P134" s="8" t="s">
        <v>144</v>
      </c>
      <c r="Q134" s="10" t="s">
        <v>1331</v>
      </c>
      <c r="R134" s="10" t="s">
        <v>529</v>
      </c>
      <c r="S134" s="10"/>
      <c r="T134" s="8" t="s">
        <v>60</v>
      </c>
      <c r="U134" s="11">
        <v>45206</v>
      </c>
      <c r="V134" s="12">
        <v>2023</v>
      </c>
      <c r="W134" s="13">
        <v>45393</v>
      </c>
      <c r="X134" s="14">
        <v>2024</v>
      </c>
      <c r="Y134" s="13" t="s">
        <v>94</v>
      </c>
      <c r="Z134" s="13" t="s">
        <v>94</v>
      </c>
      <c r="AA134" s="13" t="s">
        <v>94</v>
      </c>
      <c r="AB134" s="13" t="s">
        <v>94</v>
      </c>
      <c r="AC134" s="13" t="s">
        <v>94</v>
      </c>
      <c r="AD134" s="15"/>
      <c r="AE134" s="27"/>
      <c r="AF134" s="8" t="s">
        <v>75</v>
      </c>
      <c r="AG134" s="16">
        <v>25000000</v>
      </c>
      <c r="AH134" s="16">
        <v>27000000</v>
      </c>
      <c r="AI134" s="16">
        <v>27000000</v>
      </c>
      <c r="AJ134" s="16" t="s">
        <v>76</v>
      </c>
      <c r="AK134" s="28" t="s">
        <v>94</v>
      </c>
      <c r="AL134" s="16" t="s">
        <v>94</v>
      </c>
      <c r="AM134" s="16" t="s">
        <v>94</v>
      </c>
      <c r="AN134" s="10" t="s">
        <v>64</v>
      </c>
      <c r="AO134" s="8" t="s">
        <v>3756</v>
      </c>
      <c r="AP134" s="43">
        <v>113000</v>
      </c>
      <c r="AQ134" s="15" t="s">
        <v>94</v>
      </c>
      <c r="AR134" s="8" t="s">
        <v>3765</v>
      </c>
      <c r="AS134" s="10" t="s">
        <v>3781</v>
      </c>
      <c r="AT134" s="10" t="s">
        <v>1181</v>
      </c>
      <c r="AU134" s="96"/>
      <c r="AV134" s="17"/>
      <c r="AW134" s="10"/>
      <c r="AX134" s="7" t="s">
        <v>1332</v>
      </c>
      <c r="AY134" s="10" t="s">
        <v>1333</v>
      </c>
      <c r="AZ134" s="10" t="s">
        <v>1334</v>
      </c>
      <c r="BA134" s="10" t="s">
        <v>1335</v>
      </c>
      <c r="BB134" s="18"/>
      <c r="BC134" s="41" t="s">
        <v>1336</v>
      </c>
    </row>
    <row r="135" spans="1:55" s="18" customFormat="1" ht="70" customHeight="1" x14ac:dyDescent="0.2">
      <c r="A135" s="88" t="s">
        <v>4319</v>
      </c>
      <c r="B135" s="6" t="s">
        <v>1337</v>
      </c>
      <c r="C135" s="7" t="s">
        <v>1338</v>
      </c>
      <c r="D135" s="8" t="s">
        <v>49</v>
      </c>
      <c r="E135" s="8" t="s">
        <v>50</v>
      </c>
      <c r="F135" s="9" t="s">
        <v>1339</v>
      </c>
      <c r="G135" s="9" t="s">
        <v>1340</v>
      </c>
      <c r="H135" s="10" t="s">
        <v>380</v>
      </c>
      <c r="I135" s="10" t="s">
        <v>103</v>
      </c>
      <c r="J135" s="7" t="s">
        <v>1341</v>
      </c>
      <c r="K135" s="10" t="s">
        <v>55</v>
      </c>
      <c r="L135" s="9" t="s">
        <v>1339</v>
      </c>
      <c r="M135" s="9" t="s">
        <v>1340</v>
      </c>
      <c r="N135" s="10" t="s">
        <v>380</v>
      </c>
      <c r="O135" s="8" t="s">
        <v>103</v>
      </c>
      <c r="P135" s="8" t="s">
        <v>56</v>
      </c>
      <c r="Q135" s="10" t="s">
        <v>1342</v>
      </c>
      <c r="R135" s="10" t="s">
        <v>72</v>
      </c>
      <c r="S135" s="10"/>
      <c r="T135" s="8" t="s">
        <v>73</v>
      </c>
      <c r="U135" s="11">
        <v>20946</v>
      </c>
      <c r="V135" s="12">
        <v>1957</v>
      </c>
      <c r="W135" s="13" t="s">
        <v>94</v>
      </c>
      <c r="X135" s="14">
        <v>2005</v>
      </c>
      <c r="Y135" s="13">
        <v>38718</v>
      </c>
      <c r="Z135" s="14">
        <v>2006</v>
      </c>
      <c r="AA135" s="13" t="s">
        <v>94</v>
      </c>
      <c r="AB135" s="13" t="s">
        <v>94</v>
      </c>
      <c r="AC135" s="13" t="s">
        <v>94</v>
      </c>
      <c r="AD135" s="16"/>
      <c r="AE135" s="27"/>
      <c r="AF135" s="8" t="s">
        <v>106</v>
      </c>
      <c r="AG135" s="28">
        <v>1500000</v>
      </c>
      <c r="AH135" s="28">
        <v>1500000</v>
      </c>
      <c r="AI135" s="16">
        <v>2409285.71</v>
      </c>
      <c r="AJ135" s="16" t="s">
        <v>76</v>
      </c>
      <c r="AK135" s="28" t="s">
        <v>94</v>
      </c>
      <c r="AL135" s="16" t="s">
        <v>94</v>
      </c>
      <c r="AM135" s="16" t="s">
        <v>94</v>
      </c>
      <c r="AN135" s="54" t="s">
        <v>3755</v>
      </c>
      <c r="AO135" s="8" t="s">
        <v>3757</v>
      </c>
      <c r="AP135" s="43">
        <v>3000</v>
      </c>
      <c r="AQ135" s="15" t="s">
        <v>94</v>
      </c>
      <c r="AR135" s="8" t="s">
        <v>3765</v>
      </c>
      <c r="AS135" s="69" t="s">
        <v>3819</v>
      </c>
      <c r="AT135" s="10" t="s">
        <v>3795</v>
      </c>
      <c r="AU135" s="96"/>
      <c r="AV135" s="17" t="s">
        <v>3896</v>
      </c>
      <c r="AW135" s="10"/>
      <c r="AX135" s="7" t="s">
        <v>4027</v>
      </c>
      <c r="AY135" s="10" t="s">
        <v>1343</v>
      </c>
      <c r="AZ135" s="10" t="s">
        <v>4171</v>
      </c>
      <c r="BA135" s="10" t="s">
        <v>1344</v>
      </c>
      <c r="BB135" s="18" t="s">
        <v>1345</v>
      </c>
      <c r="BC135" s="41" t="s">
        <v>1346</v>
      </c>
    </row>
    <row r="136" spans="1:55" ht="70" customHeight="1" x14ac:dyDescent="0.2">
      <c r="A136" s="88" t="s">
        <v>4320</v>
      </c>
      <c r="B136" s="6" t="s">
        <v>1347</v>
      </c>
      <c r="C136" s="7" t="s">
        <v>1348</v>
      </c>
      <c r="D136" s="8" t="s">
        <v>49</v>
      </c>
      <c r="E136" s="8" t="s">
        <v>50</v>
      </c>
      <c r="F136" s="9" t="s">
        <v>1349</v>
      </c>
      <c r="G136" s="9" t="s">
        <v>1350</v>
      </c>
      <c r="H136" s="10" t="s">
        <v>4153</v>
      </c>
      <c r="I136" s="10" t="s">
        <v>140</v>
      </c>
      <c r="J136" s="7" t="s">
        <v>1351</v>
      </c>
      <c r="K136" s="10" t="s">
        <v>55</v>
      </c>
      <c r="L136" s="9" t="s">
        <v>1349</v>
      </c>
      <c r="M136" s="9" t="s">
        <v>1350</v>
      </c>
      <c r="N136" s="10" t="s">
        <v>4153</v>
      </c>
      <c r="O136" s="8" t="s">
        <v>140</v>
      </c>
      <c r="P136" s="8" t="s">
        <v>56</v>
      </c>
      <c r="Q136" s="10" t="s">
        <v>1352</v>
      </c>
      <c r="R136" s="10" t="s">
        <v>529</v>
      </c>
      <c r="S136" s="10"/>
      <c r="T136" s="8" t="s">
        <v>73</v>
      </c>
      <c r="U136" s="11">
        <v>15320</v>
      </c>
      <c r="V136" s="12">
        <v>1941</v>
      </c>
      <c r="W136" s="13" t="s">
        <v>94</v>
      </c>
      <c r="X136" s="14">
        <v>2021</v>
      </c>
      <c r="Y136" s="13">
        <v>44652</v>
      </c>
      <c r="Z136" s="15">
        <v>2022</v>
      </c>
      <c r="AA136" s="13">
        <v>44988</v>
      </c>
      <c r="AB136" s="15">
        <v>2023</v>
      </c>
      <c r="AC136" s="15">
        <v>1</v>
      </c>
      <c r="AD136" s="15">
        <v>2023</v>
      </c>
      <c r="AE136" s="27"/>
      <c r="AF136" s="8" t="s">
        <v>106</v>
      </c>
      <c r="AG136" s="28">
        <v>4131000</v>
      </c>
      <c r="AH136" s="28">
        <v>4131000</v>
      </c>
      <c r="AI136" s="16">
        <v>4782260.9800000004</v>
      </c>
      <c r="AJ136" s="16" t="s">
        <v>76</v>
      </c>
      <c r="AK136" s="28">
        <v>4131000</v>
      </c>
      <c r="AL136" s="28">
        <v>4131000</v>
      </c>
      <c r="AM136" s="16">
        <v>4252841.33</v>
      </c>
      <c r="AN136" s="10" t="s">
        <v>64</v>
      </c>
      <c r="AO136" s="8" t="s">
        <v>3757</v>
      </c>
      <c r="AP136" s="15">
        <v>428</v>
      </c>
      <c r="AQ136" s="15">
        <v>428</v>
      </c>
      <c r="AR136" s="8" t="s">
        <v>3765</v>
      </c>
      <c r="AS136" s="10" t="s">
        <v>3781</v>
      </c>
      <c r="AT136" s="10" t="s">
        <v>3795</v>
      </c>
      <c r="AU136" s="96"/>
      <c r="AV136" s="17" t="s">
        <v>1353</v>
      </c>
      <c r="AW136" s="10" t="s">
        <v>1348</v>
      </c>
      <c r="AX136" s="7"/>
      <c r="AY136" s="10" t="s">
        <v>1354</v>
      </c>
      <c r="AZ136" s="10" t="s">
        <v>1355</v>
      </c>
      <c r="BA136" s="10" t="s">
        <v>1356</v>
      </c>
      <c r="BB136" s="18" t="s">
        <v>1357</v>
      </c>
      <c r="BC136" s="41" t="s">
        <v>1358</v>
      </c>
    </row>
    <row r="137" spans="1:55" ht="70" customHeight="1" x14ac:dyDescent="0.2">
      <c r="A137" s="88" t="s">
        <v>4321</v>
      </c>
      <c r="B137" s="6" t="s">
        <v>1359</v>
      </c>
      <c r="C137" s="7" t="s">
        <v>1360</v>
      </c>
      <c r="D137" s="8" t="s">
        <v>49</v>
      </c>
      <c r="E137" s="8" t="s">
        <v>50</v>
      </c>
      <c r="F137" s="9" t="s">
        <v>1361</v>
      </c>
      <c r="G137" s="9" t="s">
        <v>1362</v>
      </c>
      <c r="H137" s="10" t="s">
        <v>4155</v>
      </c>
      <c r="I137" s="10" t="s">
        <v>53</v>
      </c>
      <c r="J137" s="7" t="s">
        <v>1363</v>
      </c>
      <c r="K137" s="10" t="s">
        <v>55</v>
      </c>
      <c r="L137" s="9" t="s">
        <v>1361</v>
      </c>
      <c r="M137" s="9" t="s">
        <v>1362</v>
      </c>
      <c r="N137" s="10" t="s">
        <v>4592</v>
      </c>
      <c r="O137" s="8" t="s">
        <v>53</v>
      </c>
      <c r="P137" s="8" t="s">
        <v>56</v>
      </c>
      <c r="Q137" s="10" t="s">
        <v>1364</v>
      </c>
      <c r="R137" s="10" t="s">
        <v>72</v>
      </c>
      <c r="S137" s="10"/>
      <c r="T137" s="8" t="s">
        <v>73</v>
      </c>
      <c r="U137" s="11">
        <v>22233</v>
      </c>
      <c r="V137" s="12">
        <v>1960</v>
      </c>
      <c r="W137" s="13">
        <v>37749</v>
      </c>
      <c r="X137" s="14">
        <v>2003</v>
      </c>
      <c r="Y137" s="13">
        <v>38353</v>
      </c>
      <c r="Z137" s="14">
        <v>2005</v>
      </c>
      <c r="AA137" s="13">
        <v>44927</v>
      </c>
      <c r="AB137" s="14">
        <v>2023</v>
      </c>
      <c r="AC137" s="15">
        <v>18</v>
      </c>
      <c r="AD137" s="15">
        <v>2023</v>
      </c>
      <c r="AE137" s="27"/>
      <c r="AF137" s="8" t="s">
        <v>1365</v>
      </c>
      <c r="AG137" s="16">
        <v>3000000000</v>
      </c>
      <c r="AH137" s="16">
        <v>377793467.87</v>
      </c>
      <c r="AI137" s="16">
        <v>644074212.73000002</v>
      </c>
      <c r="AJ137" s="16" t="s">
        <v>76</v>
      </c>
      <c r="AK137" s="28">
        <v>983475803.44000006</v>
      </c>
      <c r="AL137" s="16">
        <v>125571890.63</v>
      </c>
      <c r="AM137" s="16">
        <v>129275557.09999999</v>
      </c>
      <c r="AN137" s="54" t="s">
        <v>3755</v>
      </c>
      <c r="AO137" s="8" t="s">
        <v>3757</v>
      </c>
      <c r="AP137" s="43">
        <v>200000</v>
      </c>
      <c r="AQ137" s="43">
        <v>33094</v>
      </c>
      <c r="AR137" s="8" t="s">
        <v>3765</v>
      </c>
      <c r="AS137" s="10" t="s">
        <v>3781</v>
      </c>
      <c r="AT137" s="10" t="s">
        <v>3795</v>
      </c>
      <c r="AU137" s="96"/>
      <c r="AV137" s="17" t="s">
        <v>3897</v>
      </c>
      <c r="AW137" s="10" t="s">
        <v>3952</v>
      </c>
      <c r="AX137" s="7" t="s">
        <v>3827</v>
      </c>
      <c r="AY137" s="10" t="s">
        <v>1367</v>
      </c>
      <c r="AZ137" s="10" t="s">
        <v>1368</v>
      </c>
      <c r="BA137" s="10" t="s">
        <v>1369</v>
      </c>
      <c r="BB137" s="18" t="s">
        <v>1370</v>
      </c>
      <c r="BC137" s="41" t="s">
        <v>1371</v>
      </c>
    </row>
    <row r="138" spans="1:55" ht="70" customHeight="1" x14ac:dyDescent="0.2">
      <c r="A138" s="88" t="s">
        <v>4322</v>
      </c>
      <c r="B138" s="6" t="s">
        <v>1372</v>
      </c>
      <c r="C138" s="7" t="s">
        <v>1360</v>
      </c>
      <c r="D138" s="8" t="s">
        <v>49</v>
      </c>
      <c r="E138" s="8" t="s">
        <v>50</v>
      </c>
      <c r="F138" s="9" t="s">
        <v>1361</v>
      </c>
      <c r="G138" s="9" t="s">
        <v>1362</v>
      </c>
      <c r="H138" s="10" t="s">
        <v>4155</v>
      </c>
      <c r="I138" s="10" t="s">
        <v>53</v>
      </c>
      <c r="J138" s="7" t="s">
        <v>1373</v>
      </c>
      <c r="K138" s="10" t="s">
        <v>55</v>
      </c>
      <c r="L138" s="9" t="s">
        <v>1361</v>
      </c>
      <c r="M138" s="9" t="s">
        <v>1362</v>
      </c>
      <c r="N138" s="10" t="s">
        <v>4592</v>
      </c>
      <c r="O138" s="8" t="s">
        <v>53</v>
      </c>
      <c r="P138" s="8" t="s">
        <v>56</v>
      </c>
      <c r="Q138" s="10" t="s">
        <v>1374</v>
      </c>
      <c r="R138" s="10" t="s">
        <v>72</v>
      </c>
      <c r="S138" s="10"/>
      <c r="T138" s="8" t="s">
        <v>73</v>
      </c>
      <c r="U138" s="11">
        <v>30150</v>
      </c>
      <c r="V138" s="12">
        <v>1982</v>
      </c>
      <c r="W138" s="13">
        <v>38310</v>
      </c>
      <c r="X138" s="14">
        <v>2004</v>
      </c>
      <c r="Y138" s="13">
        <v>37987</v>
      </c>
      <c r="Z138" s="15">
        <v>2004</v>
      </c>
      <c r="AA138" s="13">
        <v>38353</v>
      </c>
      <c r="AB138" s="15">
        <v>2005</v>
      </c>
      <c r="AC138" s="15">
        <v>1</v>
      </c>
      <c r="AD138" s="15">
        <v>2004</v>
      </c>
      <c r="AE138" s="27" t="s">
        <v>1375</v>
      </c>
      <c r="AF138" s="8" t="s">
        <v>106</v>
      </c>
      <c r="AG138" s="16">
        <v>12800000</v>
      </c>
      <c r="AH138" s="16">
        <v>12800000</v>
      </c>
      <c r="AI138" s="16">
        <v>21255792.48</v>
      </c>
      <c r="AJ138" s="16" t="s">
        <v>76</v>
      </c>
      <c r="AK138" s="28">
        <v>12800000</v>
      </c>
      <c r="AL138" s="16">
        <v>12800000</v>
      </c>
      <c r="AM138" s="16">
        <v>21255792.48</v>
      </c>
      <c r="AN138" s="54" t="s">
        <v>3755</v>
      </c>
      <c r="AO138" s="8" t="s">
        <v>3757</v>
      </c>
      <c r="AP138" s="15">
        <v>272</v>
      </c>
      <c r="AQ138" s="15">
        <v>272</v>
      </c>
      <c r="AR138" s="8" t="s">
        <v>3761</v>
      </c>
      <c r="AS138" s="10" t="s">
        <v>3783</v>
      </c>
      <c r="AT138" s="10" t="s">
        <v>892</v>
      </c>
      <c r="AU138" s="96" t="s">
        <v>1377</v>
      </c>
      <c r="AV138" s="17" t="s">
        <v>1378</v>
      </c>
      <c r="AW138" s="10" t="s">
        <v>1376</v>
      </c>
      <c r="AX138" s="10" t="s">
        <v>1379</v>
      </c>
      <c r="AY138" s="10" t="s">
        <v>1380</v>
      </c>
      <c r="AZ138" s="10" t="s">
        <v>1381</v>
      </c>
      <c r="BA138" s="10" t="s">
        <v>1382</v>
      </c>
      <c r="BB138" s="18" t="s">
        <v>1383</v>
      </c>
      <c r="BC138" s="41" t="s">
        <v>1384</v>
      </c>
    </row>
    <row r="139" spans="1:55" ht="70" customHeight="1" x14ac:dyDescent="0.2">
      <c r="A139" s="88" t="s">
        <v>4323</v>
      </c>
      <c r="B139" s="6" t="s">
        <v>1385</v>
      </c>
      <c r="C139" s="7" t="s">
        <v>1360</v>
      </c>
      <c r="D139" s="8" t="s">
        <v>49</v>
      </c>
      <c r="E139" s="8" t="s">
        <v>50</v>
      </c>
      <c r="F139" s="9" t="s">
        <v>1361</v>
      </c>
      <c r="G139" s="9" t="s">
        <v>1362</v>
      </c>
      <c r="H139" s="10" t="s">
        <v>4155</v>
      </c>
      <c r="I139" s="10" t="s">
        <v>53</v>
      </c>
      <c r="J139" s="7" t="s">
        <v>1386</v>
      </c>
      <c r="K139" s="10" t="s">
        <v>55</v>
      </c>
      <c r="L139" s="9" t="s">
        <v>1361</v>
      </c>
      <c r="M139" s="9" t="s">
        <v>1362</v>
      </c>
      <c r="N139" s="10" t="s">
        <v>4592</v>
      </c>
      <c r="O139" s="8" t="s">
        <v>53</v>
      </c>
      <c r="P139" s="8" t="s">
        <v>56</v>
      </c>
      <c r="Q139" s="10" t="s">
        <v>1387</v>
      </c>
      <c r="R139" s="10" t="s">
        <v>58</v>
      </c>
      <c r="S139" s="10"/>
      <c r="T139" s="8" t="s">
        <v>73</v>
      </c>
      <c r="U139" s="11">
        <v>27395</v>
      </c>
      <c r="V139" s="12">
        <v>1975</v>
      </c>
      <c r="W139" s="13">
        <v>41913</v>
      </c>
      <c r="X139" s="14">
        <v>2014</v>
      </c>
      <c r="Y139" s="13">
        <v>42005</v>
      </c>
      <c r="Z139" s="14">
        <v>2015</v>
      </c>
      <c r="AA139" s="13" t="s">
        <v>94</v>
      </c>
      <c r="AB139" s="13" t="s">
        <v>94</v>
      </c>
      <c r="AC139" s="13" t="s">
        <v>94</v>
      </c>
      <c r="AD139" s="15"/>
      <c r="AE139" s="27" t="s">
        <v>1388</v>
      </c>
      <c r="AF139" s="8" t="s">
        <v>106</v>
      </c>
      <c r="AG139" s="16">
        <v>155000000</v>
      </c>
      <c r="AH139" s="16">
        <v>155000000</v>
      </c>
      <c r="AI139" s="16">
        <v>205384035.38</v>
      </c>
      <c r="AJ139" s="16" t="s">
        <v>76</v>
      </c>
      <c r="AK139" s="28" t="s">
        <v>94</v>
      </c>
      <c r="AL139" s="16" t="s">
        <v>94</v>
      </c>
      <c r="AM139" s="16" t="s">
        <v>94</v>
      </c>
      <c r="AN139" s="54" t="s">
        <v>3755</v>
      </c>
      <c r="AO139" s="8" t="s">
        <v>3756</v>
      </c>
      <c r="AP139" s="15" t="s">
        <v>94</v>
      </c>
      <c r="AQ139" s="15" t="s">
        <v>94</v>
      </c>
      <c r="AR139" s="8" t="s">
        <v>3766</v>
      </c>
      <c r="AS139" s="10" t="s">
        <v>3781</v>
      </c>
      <c r="AT139" s="10" t="s">
        <v>3795</v>
      </c>
      <c r="AU139" s="96"/>
      <c r="AV139" s="17"/>
      <c r="AW139" s="10"/>
      <c r="AX139" s="7" t="s">
        <v>4028</v>
      </c>
      <c r="AY139" s="10" t="s">
        <v>1389</v>
      </c>
      <c r="AZ139" s="10" t="s">
        <v>1390</v>
      </c>
      <c r="BA139" s="10" t="s">
        <v>1391</v>
      </c>
      <c r="BB139" s="18" t="s">
        <v>1392</v>
      </c>
      <c r="BC139" s="41" t="s">
        <v>1393</v>
      </c>
    </row>
    <row r="140" spans="1:55" ht="70" customHeight="1" x14ac:dyDescent="0.2">
      <c r="A140" s="88" t="s">
        <v>4324</v>
      </c>
      <c r="B140" s="6" t="s">
        <v>1394</v>
      </c>
      <c r="C140" s="7" t="s">
        <v>1395</v>
      </c>
      <c r="D140" s="8" t="s">
        <v>453</v>
      </c>
      <c r="E140" s="8" t="s">
        <v>280</v>
      </c>
      <c r="F140" s="9" t="s">
        <v>1396</v>
      </c>
      <c r="G140" s="9" t="s">
        <v>1397</v>
      </c>
      <c r="H140" s="10" t="s">
        <v>380</v>
      </c>
      <c r="I140" s="10" t="s">
        <v>103</v>
      </c>
      <c r="J140" s="7" t="s">
        <v>1398</v>
      </c>
      <c r="K140" s="10" t="s">
        <v>55</v>
      </c>
      <c r="L140" s="9" t="s">
        <v>1396</v>
      </c>
      <c r="M140" s="9" t="s">
        <v>1397</v>
      </c>
      <c r="N140" s="10" t="s">
        <v>380</v>
      </c>
      <c r="O140" s="8" t="s">
        <v>103</v>
      </c>
      <c r="P140" s="8" t="s">
        <v>56</v>
      </c>
      <c r="Q140" s="10" t="s">
        <v>1399</v>
      </c>
      <c r="R140" s="10" t="s">
        <v>72</v>
      </c>
      <c r="S140" s="10"/>
      <c r="T140" s="8" t="s">
        <v>73</v>
      </c>
      <c r="U140" s="11">
        <v>40084</v>
      </c>
      <c r="V140" s="12">
        <v>2009</v>
      </c>
      <c r="W140" s="13">
        <v>45504</v>
      </c>
      <c r="X140" s="14">
        <v>2024</v>
      </c>
      <c r="Y140" s="13" t="s">
        <v>94</v>
      </c>
      <c r="Z140" s="13" t="s">
        <v>94</v>
      </c>
      <c r="AA140" s="13" t="s">
        <v>94</v>
      </c>
      <c r="AB140" s="13" t="s">
        <v>94</v>
      </c>
      <c r="AC140" s="13" t="s">
        <v>94</v>
      </c>
      <c r="AD140" s="15"/>
      <c r="AE140" s="27" t="s">
        <v>1400</v>
      </c>
      <c r="AF140" s="8" t="s">
        <v>106</v>
      </c>
      <c r="AG140" s="16">
        <v>400000</v>
      </c>
      <c r="AH140" s="16">
        <v>400000</v>
      </c>
      <c r="AI140" s="16">
        <v>400000</v>
      </c>
      <c r="AJ140" s="16" t="s">
        <v>76</v>
      </c>
      <c r="AK140" s="28" t="s">
        <v>94</v>
      </c>
      <c r="AL140" s="16" t="s">
        <v>94</v>
      </c>
      <c r="AM140" s="16" t="s">
        <v>94</v>
      </c>
      <c r="AN140" s="10" t="s">
        <v>64</v>
      </c>
      <c r="AO140" s="8" t="s">
        <v>3757</v>
      </c>
      <c r="AP140" s="15">
        <v>250</v>
      </c>
      <c r="AQ140" s="15" t="s">
        <v>94</v>
      </c>
      <c r="AR140" s="8" t="s">
        <v>3762</v>
      </c>
      <c r="AS140" s="10" t="s">
        <v>3781</v>
      </c>
      <c r="AT140" s="10" t="s">
        <v>3795</v>
      </c>
      <c r="AU140" s="96"/>
      <c r="AV140" s="17"/>
      <c r="AW140" s="10"/>
      <c r="AX140" s="7" t="s">
        <v>4029</v>
      </c>
      <c r="AY140" s="10" t="s">
        <v>1401</v>
      </c>
      <c r="AZ140" s="10" t="s">
        <v>1402</v>
      </c>
      <c r="BA140" s="10" t="s">
        <v>1403</v>
      </c>
      <c r="BB140" s="18" t="s">
        <v>1400</v>
      </c>
      <c r="BC140" s="41" t="s">
        <v>1404</v>
      </c>
    </row>
    <row r="141" spans="1:55" ht="70" customHeight="1" x14ac:dyDescent="0.2">
      <c r="A141" s="88" t="s">
        <v>4325</v>
      </c>
      <c r="B141" s="6" t="s">
        <v>1405</v>
      </c>
      <c r="C141" s="7" t="s">
        <v>1406</v>
      </c>
      <c r="D141" s="8" t="s">
        <v>49</v>
      </c>
      <c r="E141" s="8" t="s">
        <v>50</v>
      </c>
      <c r="F141" s="9" t="s">
        <v>1407</v>
      </c>
      <c r="G141" s="9" t="s">
        <v>1408</v>
      </c>
      <c r="H141" s="10" t="s">
        <v>4155</v>
      </c>
      <c r="I141" s="10" t="s">
        <v>103</v>
      </c>
      <c r="J141" s="7" t="s">
        <v>1409</v>
      </c>
      <c r="K141" s="10" t="s">
        <v>55</v>
      </c>
      <c r="L141" s="9" t="s">
        <v>1407</v>
      </c>
      <c r="M141" s="9" t="s">
        <v>1408</v>
      </c>
      <c r="N141" s="10" t="s">
        <v>4592</v>
      </c>
      <c r="O141" s="8" t="s">
        <v>103</v>
      </c>
      <c r="P141" s="8" t="s">
        <v>56</v>
      </c>
      <c r="Q141" s="10" t="s">
        <v>1410</v>
      </c>
      <c r="R141" s="10" t="s">
        <v>72</v>
      </c>
      <c r="S141" s="10"/>
      <c r="T141" s="8" t="s">
        <v>73</v>
      </c>
      <c r="U141" s="11">
        <v>29841</v>
      </c>
      <c r="V141" s="12">
        <v>1981</v>
      </c>
      <c r="W141" s="13">
        <v>32350</v>
      </c>
      <c r="X141" s="14">
        <v>1988</v>
      </c>
      <c r="Y141" s="13">
        <v>35102</v>
      </c>
      <c r="Z141" s="15">
        <v>1996</v>
      </c>
      <c r="AA141" s="13">
        <v>35102</v>
      </c>
      <c r="AB141" s="15">
        <v>1996</v>
      </c>
      <c r="AC141" s="15">
        <v>0</v>
      </c>
      <c r="AD141" s="15"/>
      <c r="AE141" s="27"/>
      <c r="AF141" s="8" t="s">
        <v>1411</v>
      </c>
      <c r="AG141" s="16">
        <v>750000</v>
      </c>
      <c r="AH141" s="16">
        <v>375000</v>
      </c>
      <c r="AI141" s="16">
        <v>994364.96</v>
      </c>
      <c r="AJ141" s="16" t="s">
        <v>76</v>
      </c>
      <c r="AK141" s="16">
        <v>750000</v>
      </c>
      <c r="AL141" s="16" t="s">
        <v>94</v>
      </c>
      <c r="AM141" s="16" t="s">
        <v>94</v>
      </c>
      <c r="AN141" s="10" t="s">
        <v>64</v>
      </c>
      <c r="AO141" s="8" t="s">
        <v>3758</v>
      </c>
      <c r="AP141" s="15">
        <v>1</v>
      </c>
      <c r="AQ141" s="15">
        <v>1</v>
      </c>
      <c r="AR141" s="8" t="s">
        <v>3761</v>
      </c>
      <c r="AS141" s="10" t="s">
        <v>3781</v>
      </c>
      <c r="AT141" s="10" t="s">
        <v>892</v>
      </c>
      <c r="AU141" s="96"/>
      <c r="AV141" s="17" t="s">
        <v>459</v>
      </c>
      <c r="AW141" s="10" t="s">
        <v>892</v>
      </c>
      <c r="AX141" s="8" t="s">
        <v>153</v>
      </c>
      <c r="AY141" s="10" t="s">
        <v>1412</v>
      </c>
      <c r="AZ141" s="10" t="s">
        <v>1413</v>
      </c>
      <c r="BA141" s="10" t="s">
        <v>1414</v>
      </c>
      <c r="BB141" s="18" t="s">
        <v>1415</v>
      </c>
      <c r="BC141" s="41" t="s">
        <v>1416</v>
      </c>
    </row>
    <row r="142" spans="1:55" ht="70" customHeight="1" x14ac:dyDescent="0.2">
      <c r="A142" s="88" t="s">
        <v>4326</v>
      </c>
      <c r="B142" s="6" t="s">
        <v>1417</v>
      </c>
      <c r="C142" s="7" t="s">
        <v>1406</v>
      </c>
      <c r="D142" s="8" t="s">
        <v>49</v>
      </c>
      <c r="E142" s="8" t="s">
        <v>50</v>
      </c>
      <c r="F142" s="9" t="s">
        <v>1407</v>
      </c>
      <c r="G142" s="9" t="s">
        <v>1408</v>
      </c>
      <c r="H142" s="10" t="s">
        <v>4155</v>
      </c>
      <c r="I142" s="10" t="s">
        <v>103</v>
      </c>
      <c r="J142" s="7" t="s">
        <v>1418</v>
      </c>
      <c r="K142" s="10" t="s">
        <v>55</v>
      </c>
      <c r="L142" s="9" t="s">
        <v>1407</v>
      </c>
      <c r="M142" s="9" t="s">
        <v>1408</v>
      </c>
      <c r="N142" s="10" t="s">
        <v>4592</v>
      </c>
      <c r="O142" s="8" t="s">
        <v>103</v>
      </c>
      <c r="P142" s="8" t="s">
        <v>56</v>
      </c>
      <c r="Q142" s="10" t="s">
        <v>1419</v>
      </c>
      <c r="R142" s="10" t="s">
        <v>72</v>
      </c>
      <c r="S142" s="10"/>
      <c r="T142" s="8" t="s">
        <v>73</v>
      </c>
      <c r="U142" s="11">
        <v>39992</v>
      </c>
      <c r="V142" s="12">
        <v>2009</v>
      </c>
      <c r="W142" s="13">
        <v>44375</v>
      </c>
      <c r="X142" s="14">
        <v>2021</v>
      </c>
      <c r="Y142" s="13" t="s">
        <v>94</v>
      </c>
      <c r="Z142" s="13" t="s">
        <v>94</v>
      </c>
      <c r="AA142" s="13" t="s">
        <v>94</v>
      </c>
      <c r="AB142" s="13" t="s">
        <v>94</v>
      </c>
      <c r="AC142" s="13" t="s">
        <v>94</v>
      </c>
      <c r="AD142" s="15"/>
      <c r="AE142" s="27"/>
      <c r="AF142" s="8" t="s">
        <v>106</v>
      </c>
      <c r="AG142" s="16">
        <v>30000</v>
      </c>
      <c r="AH142" s="16">
        <v>30000</v>
      </c>
      <c r="AI142" s="16">
        <v>34729.56</v>
      </c>
      <c r="AJ142" s="16" t="s">
        <v>76</v>
      </c>
      <c r="AK142" s="28" t="s">
        <v>94</v>
      </c>
      <c r="AL142" s="16" t="s">
        <v>94</v>
      </c>
      <c r="AM142" s="16" t="s">
        <v>94</v>
      </c>
      <c r="AN142" s="10" t="s">
        <v>64</v>
      </c>
      <c r="AO142" s="8" t="s">
        <v>3758</v>
      </c>
      <c r="AP142" s="15">
        <v>1</v>
      </c>
      <c r="AQ142" s="15" t="s">
        <v>94</v>
      </c>
      <c r="AR142" s="8" t="s">
        <v>3761</v>
      </c>
      <c r="AS142" s="10" t="s">
        <v>3783</v>
      </c>
      <c r="AT142" s="10" t="s">
        <v>892</v>
      </c>
      <c r="AU142" s="96"/>
      <c r="AV142" s="17"/>
      <c r="AW142" s="10"/>
      <c r="AX142" s="7" t="s">
        <v>3857</v>
      </c>
      <c r="AY142" s="10" t="s">
        <v>1420</v>
      </c>
      <c r="AZ142" s="10" t="s">
        <v>1421</v>
      </c>
      <c r="BA142" s="10" t="s">
        <v>1422</v>
      </c>
      <c r="BB142" s="18"/>
      <c r="BC142" s="41" t="s">
        <v>1423</v>
      </c>
    </row>
    <row r="143" spans="1:55" ht="70" customHeight="1" x14ac:dyDescent="0.2">
      <c r="A143" s="88" t="s">
        <v>4327</v>
      </c>
      <c r="B143" s="6" t="s">
        <v>1424</v>
      </c>
      <c r="C143" s="7" t="s">
        <v>1425</v>
      </c>
      <c r="D143" s="8" t="s">
        <v>49</v>
      </c>
      <c r="E143" s="8" t="s">
        <v>50</v>
      </c>
      <c r="F143" s="9" t="s">
        <v>1426</v>
      </c>
      <c r="G143" s="9" t="s">
        <v>1427</v>
      </c>
      <c r="H143" s="10" t="s">
        <v>4154</v>
      </c>
      <c r="I143" s="10" t="s">
        <v>140</v>
      </c>
      <c r="J143" s="7" t="s">
        <v>1428</v>
      </c>
      <c r="K143" s="10" t="s">
        <v>49</v>
      </c>
      <c r="L143" s="30" t="s">
        <v>2042</v>
      </c>
      <c r="M143" s="30" t="s">
        <v>537</v>
      </c>
      <c r="N143" s="30" t="s">
        <v>4185</v>
      </c>
      <c r="O143" s="30" t="s">
        <v>4185</v>
      </c>
      <c r="P143" s="8" t="s">
        <v>144</v>
      </c>
      <c r="Q143" s="10" t="s">
        <v>1429</v>
      </c>
      <c r="R143" s="10" t="s">
        <v>529</v>
      </c>
      <c r="S143" s="10"/>
      <c r="T143" s="8" t="s">
        <v>73</v>
      </c>
      <c r="U143" s="11">
        <v>14489</v>
      </c>
      <c r="V143" s="12">
        <v>1939</v>
      </c>
      <c r="W143" s="13">
        <v>17208</v>
      </c>
      <c r="X143" s="14">
        <v>1947</v>
      </c>
      <c r="Y143" s="13" t="s">
        <v>94</v>
      </c>
      <c r="Z143" s="13" t="s">
        <v>94</v>
      </c>
      <c r="AA143" s="13" t="s">
        <v>94</v>
      </c>
      <c r="AB143" s="13" t="s">
        <v>94</v>
      </c>
      <c r="AC143" s="13" t="s">
        <v>94</v>
      </c>
      <c r="AD143" s="15"/>
      <c r="AE143" s="27"/>
      <c r="AF143" s="8" t="s">
        <v>106</v>
      </c>
      <c r="AG143" s="16">
        <v>300000000</v>
      </c>
      <c r="AH143" s="16">
        <v>300000000</v>
      </c>
      <c r="AI143" s="16">
        <v>4221522000</v>
      </c>
      <c r="AJ143" s="16" t="s">
        <v>76</v>
      </c>
      <c r="AK143" s="28" t="s">
        <v>94</v>
      </c>
      <c r="AL143" s="16" t="s">
        <v>94</v>
      </c>
      <c r="AM143" s="16" t="s">
        <v>94</v>
      </c>
      <c r="AN143" s="10" t="s">
        <v>149</v>
      </c>
      <c r="AO143" s="8" t="s">
        <v>150</v>
      </c>
      <c r="AP143" s="15" t="s">
        <v>151</v>
      </c>
      <c r="AQ143" s="15" t="s">
        <v>151</v>
      </c>
      <c r="AR143" s="8" t="s">
        <v>3770</v>
      </c>
      <c r="AS143" s="18" t="s">
        <v>3802</v>
      </c>
      <c r="AT143" s="10" t="s">
        <v>3795</v>
      </c>
      <c r="AU143" s="98" t="s">
        <v>107</v>
      </c>
      <c r="AV143" s="17"/>
      <c r="AW143" s="10"/>
      <c r="AX143" s="7" t="s">
        <v>3828</v>
      </c>
      <c r="AY143" s="10" t="s">
        <v>1431</v>
      </c>
      <c r="AZ143" s="10" t="s">
        <v>1432</v>
      </c>
      <c r="BA143" s="10" t="s">
        <v>1433</v>
      </c>
      <c r="BB143" s="18" t="s">
        <v>1434</v>
      </c>
      <c r="BC143" s="18" t="s">
        <v>4088</v>
      </c>
    </row>
    <row r="144" spans="1:55" ht="70" customHeight="1" x14ac:dyDescent="0.2">
      <c r="A144" s="88" t="s">
        <v>4328</v>
      </c>
      <c r="B144" s="6" t="s">
        <v>1435</v>
      </c>
      <c r="C144" s="7" t="s">
        <v>1425</v>
      </c>
      <c r="D144" s="8" t="s">
        <v>49</v>
      </c>
      <c r="E144" s="8" t="s">
        <v>50</v>
      </c>
      <c r="F144" s="9" t="s">
        <v>1426</v>
      </c>
      <c r="G144" s="9" t="s">
        <v>1427</v>
      </c>
      <c r="H144" s="10" t="s">
        <v>4154</v>
      </c>
      <c r="I144" s="10" t="s">
        <v>140</v>
      </c>
      <c r="J144" s="7" t="s">
        <v>1436</v>
      </c>
      <c r="K144" s="10" t="s">
        <v>55</v>
      </c>
      <c r="L144" s="9" t="s">
        <v>1426</v>
      </c>
      <c r="M144" s="9" t="s">
        <v>1427</v>
      </c>
      <c r="N144" s="10" t="s">
        <v>4154</v>
      </c>
      <c r="O144" s="8" t="s">
        <v>140</v>
      </c>
      <c r="P144" s="8" t="s">
        <v>56</v>
      </c>
      <c r="Q144" s="10" t="s">
        <v>1437</v>
      </c>
      <c r="R144" s="10" t="s">
        <v>177</v>
      </c>
      <c r="S144" s="10"/>
      <c r="T144" s="8" t="s">
        <v>73</v>
      </c>
      <c r="U144" s="11">
        <v>14489</v>
      </c>
      <c r="V144" s="12">
        <v>1939</v>
      </c>
      <c r="W144" s="13" t="s">
        <v>94</v>
      </c>
      <c r="X144" s="14">
        <v>2007</v>
      </c>
      <c r="Y144" s="13">
        <v>39083</v>
      </c>
      <c r="Z144" s="14">
        <v>2007</v>
      </c>
      <c r="AA144" s="13">
        <v>41275</v>
      </c>
      <c r="AB144" s="14">
        <v>2013</v>
      </c>
      <c r="AC144" s="14">
        <v>6</v>
      </c>
      <c r="AD144" s="15">
        <v>2007</v>
      </c>
      <c r="AE144" s="27" t="s">
        <v>1438</v>
      </c>
      <c r="AF144" s="8" t="s">
        <v>106</v>
      </c>
      <c r="AG144" s="16">
        <v>21000000</v>
      </c>
      <c r="AH144" s="16">
        <v>21000000</v>
      </c>
      <c r="AI144" s="16">
        <v>31771030.469999999</v>
      </c>
      <c r="AJ144" s="16" t="s">
        <v>76</v>
      </c>
      <c r="AK144" s="16">
        <v>21000000</v>
      </c>
      <c r="AL144" s="16">
        <v>21000000</v>
      </c>
      <c r="AM144" s="16">
        <v>31771030.469999999</v>
      </c>
      <c r="AN144" s="10" t="s">
        <v>64</v>
      </c>
      <c r="AO144" s="8" t="s">
        <v>3756</v>
      </c>
      <c r="AP144" s="15" t="s">
        <v>94</v>
      </c>
      <c r="AQ144" s="15" t="s">
        <v>94</v>
      </c>
      <c r="AR144" s="8" t="s">
        <v>3765</v>
      </c>
      <c r="AS144" s="10" t="s">
        <v>3816</v>
      </c>
      <c r="AT144" s="10" t="s">
        <v>1439</v>
      </c>
      <c r="AU144" s="96"/>
      <c r="AV144" s="17"/>
      <c r="AW144" s="10" t="s">
        <v>3953</v>
      </c>
      <c r="AX144" s="7"/>
      <c r="AY144" s="10" t="s">
        <v>1440</v>
      </c>
      <c r="AZ144" s="10" t="s">
        <v>1441</v>
      </c>
      <c r="BA144" s="10" t="s">
        <v>1442</v>
      </c>
      <c r="BB144" s="18" t="s">
        <v>157</v>
      </c>
      <c r="BC144" s="41" t="s">
        <v>1443</v>
      </c>
    </row>
    <row r="145" spans="1:55" ht="69" customHeight="1" x14ac:dyDescent="0.2">
      <c r="A145" s="88" t="s">
        <v>4329</v>
      </c>
      <c r="B145" s="6" t="s">
        <v>1444</v>
      </c>
      <c r="C145" s="7" t="s">
        <v>1445</v>
      </c>
      <c r="D145" s="8" t="s">
        <v>49</v>
      </c>
      <c r="E145" s="8" t="s">
        <v>50</v>
      </c>
      <c r="F145" s="9" t="s">
        <v>746</v>
      </c>
      <c r="G145" s="9" t="s">
        <v>747</v>
      </c>
      <c r="H145" s="10" t="s">
        <v>748</v>
      </c>
      <c r="I145" s="10" t="s">
        <v>103</v>
      </c>
      <c r="J145" s="7" t="s">
        <v>1446</v>
      </c>
      <c r="K145" s="10" t="s">
        <v>55</v>
      </c>
      <c r="L145" s="9" t="s">
        <v>746</v>
      </c>
      <c r="M145" s="9" t="s">
        <v>747</v>
      </c>
      <c r="N145" s="10" t="s">
        <v>748</v>
      </c>
      <c r="O145" s="8" t="s">
        <v>103</v>
      </c>
      <c r="P145" s="8" t="s">
        <v>56</v>
      </c>
      <c r="Q145" s="10" t="s">
        <v>1447</v>
      </c>
      <c r="R145" s="10" t="s">
        <v>72</v>
      </c>
      <c r="S145" s="10"/>
      <c r="T145" s="8" t="s">
        <v>73</v>
      </c>
      <c r="U145" s="11">
        <v>30986</v>
      </c>
      <c r="V145" s="12">
        <v>1984</v>
      </c>
      <c r="W145" s="13">
        <v>38733</v>
      </c>
      <c r="X145" s="14">
        <v>2006</v>
      </c>
      <c r="Y145" s="13">
        <v>38718</v>
      </c>
      <c r="Z145" s="14">
        <v>2006</v>
      </c>
      <c r="AA145" s="13">
        <v>41640</v>
      </c>
      <c r="AB145" s="14">
        <v>2014</v>
      </c>
      <c r="AC145" s="15">
        <v>8</v>
      </c>
      <c r="AD145" s="15">
        <v>2014</v>
      </c>
      <c r="AE145" s="27"/>
      <c r="AF145" s="8" t="s">
        <v>1448</v>
      </c>
      <c r="AG145" s="16">
        <v>7170000000</v>
      </c>
      <c r="AH145" s="16">
        <v>158253662.37</v>
      </c>
      <c r="AI145" s="16">
        <v>246242227.65000001</v>
      </c>
      <c r="AJ145" s="16" t="s">
        <v>76</v>
      </c>
      <c r="AK145" s="28">
        <v>5170000000</v>
      </c>
      <c r="AL145" s="16">
        <v>84713110.459999993</v>
      </c>
      <c r="AM145" s="16">
        <v>112249809.52</v>
      </c>
      <c r="AN145" s="10" t="s">
        <v>64</v>
      </c>
      <c r="AO145" s="8" t="s">
        <v>3757</v>
      </c>
      <c r="AP145" s="43">
        <v>2733</v>
      </c>
      <c r="AQ145" s="43">
        <v>2733</v>
      </c>
      <c r="AR145" s="8" t="s">
        <v>3765</v>
      </c>
      <c r="AS145" s="8" t="s">
        <v>3778</v>
      </c>
      <c r="AT145" s="10" t="s">
        <v>3795</v>
      </c>
      <c r="AU145" s="96"/>
      <c r="AV145" s="17" t="s">
        <v>1449</v>
      </c>
      <c r="AW145" s="10" t="s">
        <v>1445</v>
      </c>
      <c r="AX145" s="7" t="s">
        <v>1450</v>
      </c>
      <c r="AY145" s="10" t="s">
        <v>1451</v>
      </c>
      <c r="AZ145" s="10" t="s">
        <v>1452</v>
      </c>
      <c r="BA145" s="10" t="s">
        <v>1453</v>
      </c>
      <c r="BB145" s="18" t="s">
        <v>1454</v>
      </c>
      <c r="BC145" s="41" t="s">
        <v>1455</v>
      </c>
    </row>
    <row r="146" spans="1:55" ht="69" customHeight="1" x14ac:dyDescent="0.2">
      <c r="A146" s="88" t="s">
        <v>4330</v>
      </c>
      <c r="B146" s="6" t="s">
        <v>1456</v>
      </c>
      <c r="C146" s="7" t="s">
        <v>1457</v>
      </c>
      <c r="D146" s="8" t="s">
        <v>49</v>
      </c>
      <c r="E146" s="8" t="s">
        <v>50</v>
      </c>
      <c r="F146" s="9" t="s">
        <v>746</v>
      </c>
      <c r="G146" s="9" t="s">
        <v>747</v>
      </c>
      <c r="H146" s="10" t="s">
        <v>748</v>
      </c>
      <c r="I146" s="10" t="s">
        <v>103</v>
      </c>
      <c r="J146" s="7" t="s">
        <v>1458</v>
      </c>
      <c r="K146" s="10" t="s">
        <v>55</v>
      </c>
      <c r="L146" s="9" t="s">
        <v>746</v>
      </c>
      <c r="M146" s="9" t="s">
        <v>747</v>
      </c>
      <c r="N146" s="10" t="s">
        <v>748</v>
      </c>
      <c r="O146" s="8" t="s">
        <v>103</v>
      </c>
      <c r="P146" s="8" t="s">
        <v>56</v>
      </c>
      <c r="Q146" s="10" t="s">
        <v>1459</v>
      </c>
      <c r="R146" s="10" t="s">
        <v>72</v>
      </c>
      <c r="S146" s="10"/>
      <c r="T146" s="8" t="s">
        <v>73</v>
      </c>
      <c r="U146" s="11" t="s">
        <v>269</v>
      </c>
      <c r="V146" s="12" t="s">
        <v>269</v>
      </c>
      <c r="W146" s="13">
        <v>44443</v>
      </c>
      <c r="X146" s="14">
        <v>2021</v>
      </c>
      <c r="Y146" s="13" t="s">
        <v>94</v>
      </c>
      <c r="Z146" s="13" t="s">
        <v>94</v>
      </c>
      <c r="AA146" s="13" t="s">
        <v>94</v>
      </c>
      <c r="AB146" s="13" t="s">
        <v>94</v>
      </c>
      <c r="AC146" s="13" t="s">
        <v>94</v>
      </c>
      <c r="AD146" s="15"/>
      <c r="AE146" s="27"/>
      <c r="AF146" s="8" t="s">
        <v>1448</v>
      </c>
      <c r="AG146" s="16">
        <v>1000000</v>
      </c>
      <c r="AH146" s="16">
        <v>13528.5</v>
      </c>
      <c r="AI146" s="16">
        <v>15661.3</v>
      </c>
      <c r="AJ146" s="16" t="s">
        <v>76</v>
      </c>
      <c r="AK146" s="28" t="s">
        <v>94</v>
      </c>
      <c r="AL146" s="16" t="s">
        <v>94</v>
      </c>
      <c r="AM146" s="16" t="s">
        <v>94</v>
      </c>
      <c r="AN146" s="10" t="s">
        <v>64</v>
      </c>
      <c r="AO146" s="8" t="s">
        <v>3758</v>
      </c>
      <c r="AP146" s="15" t="s">
        <v>94</v>
      </c>
      <c r="AQ146" s="15" t="s">
        <v>94</v>
      </c>
      <c r="AR146" s="8" t="s">
        <v>3770</v>
      </c>
      <c r="AS146" s="10" t="s">
        <v>3781</v>
      </c>
      <c r="AT146" s="10" t="s">
        <v>3795</v>
      </c>
      <c r="AU146" s="96"/>
      <c r="AV146" s="17" t="s">
        <v>1460</v>
      </c>
      <c r="AW146" s="10" t="s">
        <v>1461</v>
      </c>
      <c r="AX146" s="7" t="s">
        <v>1462</v>
      </c>
      <c r="AY146" s="10" t="s">
        <v>1463</v>
      </c>
      <c r="AZ146" s="10" t="s">
        <v>1464</v>
      </c>
      <c r="BA146" s="10" t="s">
        <v>1465</v>
      </c>
      <c r="BB146" s="18" t="s">
        <v>1466</v>
      </c>
      <c r="BC146" s="41" t="s">
        <v>1467</v>
      </c>
    </row>
    <row r="147" spans="1:55" ht="70" customHeight="1" x14ac:dyDescent="0.2">
      <c r="A147" s="88" t="s">
        <v>4331</v>
      </c>
      <c r="B147" s="6" t="s">
        <v>1468</v>
      </c>
      <c r="C147" s="7" t="s">
        <v>1469</v>
      </c>
      <c r="D147" s="8" t="s">
        <v>49</v>
      </c>
      <c r="E147" s="8" t="s">
        <v>50</v>
      </c>
      <c r="F147" s="9" t="s">
        <v>1470</v>
      </c>
      <c r="G147" s="9" t="s">
        <v>1471</v>
      </c>
      <c r="H147" s="10" t="s">
        <v>4153</v>
      </c>
      <c r="I147" s="10" t="s">
        <v>53</v>
      </c>
      <c r="J147" s="7" t="s">
        <v>1472</v>
      </c>
      <c r="K147" s="10" t="s">
        <v>55</v>
      </c>
      <c r="L147" s="9" t="s">
        <v>1470</v>
      </c>
      <c r="M147" s="9" t="s">
        <v>1471</v>
      </c>
      <c r="N147" s="10" t="s">
        <v>4153</v>
      </c>
      <c r="O147" s="8" t="s">
        <v>53</v>
      </c>
      <c r="P147" s="8" t="s">
        <v>56</v>
      </c>
      <c r="Q147" s="10" t="s">
        <v>1473</v>
      </c>
      <c r="R147" s="10" t="s">
        <v>72</v>
      </c>
      <c r="S147" s="10"/>
      <c r="T147" s="8" t="s">
        <v>73</v>
      </c>
      <c r="U147" s="11">
        <v>28098</v>
      </c>
      <c r="V147" s="12">
        <v>1976</v>
      </c>
      <c r="W147" s="13">
        <v>38579</v>
      </c>
      <c r="X147" s="14">
        <v>2005</v>
      </c>
      <c r="Y147" s="13" t="s">
        <v>94</v>
      </c>
      <c r="Z147" s="13" t="s">
        <v>94</v>
      </c>
      <c r="AA147" s="13" t="s">
        <v>94</v>
      </c>
      <c r="AB147" s="13" t="s">
        <v>94</v>
      </c>
      <c r="AC147" s="13" t="s">
        <v>94</v>
      </c>
      <c r="AD147" s="15"/>
      <c r="AE147" s="27"/>
      <c r="AF147" s="8" t="s">
        <v>106</v>
      </c>
      <c r="AG147" s="28">
        <v>225900000</v>
      </c>
      <c r="AH147" s="16">
        <v>225900000</v>
      </c>
      <c r="AI147" s="16">
        <v>362838428.56999999</v>
      </c>
      <c r="AJ147" s="16" t="s">
        <v>76</v>
      </c>
      <c r="AK147" s="28" t="s">
        <v>94</v>
      </c>
      <c r="AL147" s="28" t="s">
        <v>94</v>
      </c>
      <c r="AM147" s="28" t="s">
        <v>94</v>
      </c>
      <c r="AN147" s="54" t="s">
        <v>3755</v>
      </c>
      <c r="AO147" s="8" t="s">
        <v>3756</v>
      </c>
      <c r="AP147" s="43">
        <v>3000</v>
      </c>
      <c r="AQ147" s="15" t="s">
        <v>94</v>
      </c>
      <c r="AR147" s="8" t="s">
        <v>3770</v>
      </c>
      <c r="AS147" s="10" t="s">
        <v>269</v>
      </c>
      <c r="AT147" s="10" t="s">
        <v>3795</v>
      </c>
      <c r="AU147" s="96"/>
      <c r="AV147" s="17" t="s">
        <v>3898</v>
      </c>
      <c r="AW147" s="10" t="s">
        <v>3954</v>
      </c>
      <c r="AX147" s="7" t="s">
        <v>4030</v>
      </c>
      <c r="AY147" s="10" t="s">
        <v>1474</v>
      </c>
      <c r="AZ147" s="10" t="s">
        <v>1475</v>
      </c>
      <c r="BA147" s="10" t="s">
        <v>1476</v>
      </c>
      <c r="BB147" s="18"/>
      <c r="BC147" s="41" t="s">
        <v>1477</v>
      </c>
    </row>
    <row r="148" spans="1:55" ht="70" customHeight="1" x14ac:dyDescent="0.2">
      <c r="A148" s="88" t="s">
        <v>4332</v>
      </c>
      <c r="B148" s="6" t="s">
        <v>1478</v>
      </c>
      <c r="C148" s="7" t="s">
        <v>1469</v>
      </c>
      <c r="D148" s="8" t="s">
        <v>49</v>
      </c>
      <c r="E148" s="8" t="s">
        <v>50</v>
      </c>
      <c r="F148" s="9" t="s">
        <v>1470</v>
      </c>
      <c r="G148" s="9" t="s">
        <v>1471</v>
      </c>
      <c r="H148" s="10" t="s">
        <v>4153</v>
      </c>
      <c r="I148" s="10" t="s">
        <v>53</v>
      </c>
      <c r="J148" s="7" t="s">
        <v>1479</v>
      </c>
      <c r="K148" s="10" t="s">
        <v>55</v>
      </c>
      <c r="L148" s="9" t="s">
        <v>4588</v>
      </c>
      <c r="M148" s="9" t="s">
        <v>1480</v>
      </c>
      <c r="N148" s="10" t="s">
        <v>4153</v>
      </c>
      <c r="O148" s="8" t="s">
        <v>103</v>
      </c>
      <c r="P148" s="8" t="s">
        <v>144</v>
      </c>
      <c r="Q148" s="10" t="s">
        <v>1481</v>
      </c>
      <c r="R148" s="10" t="s">
        <v>529</v>
      </c>
      <c r="S148" s="10"/>
      <c r="T148" s="8" t="s">
        <v>73</v>
      </c>
      <c r="U148" s="11">
        <v>27030</v>
      </c>
      <c r="V148" s="12">
        <v>1974</v>
      </c>
      <c r="W148" s="13" t="s">
        <v>94</v>
      </c>
      <c r="X148" s="14">
        <v>2016</v>
      </c>
      <c r="Y148" s="13">
        <v>42370</v>
      </c>
      <c r="Z148" s="14">
        <v>2016</v>
      </c>
      <c r="AA148" s="13">
        <v>42370</v>
      </c>
      <c r="AB148" s="14">
        <v>2016</v>
      </c>
      <c r="AC148" s="15">
        <v>0</v>
      </c>
      <c r="AD148" s="15">
        <v>2016</v>
      </c>
      <c r="AE148" s="27"/>
      <c r="AF148" s="8" t="s">
        <v>1482</v>
      </c>
      <c r="AG148" s="16">
        <v>30800000000</v>
      </c>
      <c r="AH148" s="16">
        <v>2314340.52</v>
      </c>
      <c r="AI148" s="16">
        <v>3024841.62</v>
      </c>
      <c r="AJ148" s="16" t="s">
        <v>76</v>
      </c>
      <c r="AK148" s="28">
        <v>240000000</v>
      </c>
      <c r="AL148" s="16">
        <v>18033.82</v>
      </c>
      <c r="AM148" s="16">
        <v>23570.19</v>
      </c>
      <c r="AN148" s="10" t="s">
        <v>64</v>
      </c>
      <c r="AO148" s="8" t="s">
        <v>3756</v>
      </c>
      <c r="AP148" s="15" t="s">
        <v>94</v>
      </c>
      <c r="AQ148" s="15">
        <v>24</v>
      </c>
      <c r="AR148" s="8" t="s">
        <v>3765</v>
      </c>
      <c r="AS148" s="10" t="s">
        <v>3781</v>
      </c>
      <c r="AT148" s="10" t="s">
        <v>3795</v>
      </c>
      <c r="AU148" s="96"/>
      <c r="AV148" s="17" t="s">
        <v>1483</v>
      </c>
      <c r="AW148" s="10"/>
      <c r="AX148" s="7" t="s">
        <v>1484</v>
      </c>
      <c r="AY148" s="10" t="s">
        <v>1485</v>
      </c>
      <c r="AZ148" s="10" t="s">
        <v>1486</v>
      </c>
      <c r="BA148" s="10" t="s">
        <v>1487</v>
      </c>
      <c r="BB148" s="18"/>
      <c r="BC148" s="41" t="s">
        <v>1488</v>
      </c>
    </row>
    <row r="149" spans="1:55" ht="70" customHeight="1" x14ac:dyDescent="0.2">
      <c r="A149" s="88" t="s">
        <v>4333</v>
      </c>
      <c r="B149" s="6" t="s">
        <v>1489</v>
      </c>
      <c r="C149" s="7" t="s">
        <v>1490</v>
      </c>
      <c r="D149" s="8" t="s">
        <v>49</v>
      </c>
      <c r="E149" s="8" t="s">
        <v>50</v>
      </c>
      <c r="F149" s="9" t="s">
        <v>4577</v>
      </c>
      <c r="G149" s="9" t="s">
        <v>365</v>
      </c>
      <c r="H149" s="10" t="s">
        <v>4156</v>
      </c>
      <c r="I149" s="10" t="s">
        <v>53</v>
      </c>
      <c r="J149" s="7" t="s">
        <v>1491</v>
      </c>
      <c r="K149" s="10" t="s">
        <v>55</v>
      </c>
      <c r="L149" s="30" t="s">
        <v>2042</v>
      </c>
      <c r="M149" s="30" t="s">
        <v>537</v>
      </c>
      <c r="N149" s="30" t="s">
        <v>4185</v>
      </c>
      <c r="O149" s="30" t="s">
        <v>4185</v>
      </c>
      <c r="P149" s="8" t="s">
        <v>144</v>
      </c>
      <c r="Q149" s="10" t="s">
        <v>1492</v>
      </c>
      <c r="R149" s="10" t="s">
        <v>529</v>
      </c>
      <c r="S149" s="10"/>
      <c r="T149" s="8" t="s">
        <v>73</v>
      </c>
      <c r="U149" s="11">
        <v>43838</v>
      </c>
      <c r="V149" s="12">
        <v>2020</v>
      </c>
      <c r="W149" s="13">
        <v>44195</v>
      </c>
      <c r="X149" s="14">
        <v>2020</v>
      </c>
      <c r="Y149" s="13">
        <v>44562</v>
      </c>
      <c r="Z149" s="15">
        <v>2022</v>
      </c>
      <c r="AA149" s="13" t="s">
        <v>94</v>
      </c>
      <c r="AB149" s="13" t="s">
        <v>94</v>
      </c>
      <c r="AC149" s="13" t="s">
        <v>94</v>
      </c>
      <c r="AD149" s="15"/>
      <c r="AE149" s="27"/>
      <c r="AF149" s="8" t="s">
        <v>106</v>
      </c>
      <c r="AG149" s="16">
        <v>26400000</v>
      </c>
      <c r="AH149" s="16">
        <v>26400000</v>
      </c>
      <c r="AI149" s="16">
        <v>31997826.989999998</v>
      </c>
      <c r="AJ149" s="16" t="s">
        <v>76</v>
      </c>
      <c r="AK149" s="28" t="s">
        <v>94</v>
      </c>
      <c r="AL149" s="16" t="s">
        <v>94</v>
      </c>
      <c r="AM149" s="16" t="s">
        <v>94</v>
      </c>
      <c r="AN149" s="10" t="s">
        <v>64</v>
      </c>
      <c r="AO149" s="8" t="s">
        <v>3758</v>
      </c>
      <c r="AP149" s="15">
        <v>176</v>
      </c>
      <c r="AQ149" s="15" t="s">
        <v>94</v>
      </c>
      <c r="AR149" s="8" t="s">
        <v>3765</v>
      </c>
      <c r="AS149" s="10" t="s">
        <v>3781</v>
      </c>
      <c r="AT149" s="10" t="s">
        <v>3795</v>
      </c>
      <c r="AU149" s="96"/>
      <c r="AV149" s="17"/>
      <c r="AW149" s="10"/>
      <c r="AX149" s="7" t="s">
        <v>3829</v>
      </c>
      <c r="AY149" s="10" t="s">
        <v>1493</v>
      </c>
      <c r="AZ149" s="10" t="s">
        <v>1494</v>
      </c>
      <c r="BA149" s="10" t="s">
        <v>1495</v>
      </c>
      <c r="BB149" s="18" t="s">
        <v>1496</v>
      </c>
      <c r="BC149" s="41" t="s">
        <v>1497</v>
      </c>
    </row>
    <row r="150" spans="1:55" ht="70" customHeight="1" x14ac:dyDescent="0.2">
      <c r="A150" s="88" t="s">
        <v>4334</v>
      </c>
      <c r="B150" s="6" t="s">
        <v>1498</v>
      </c>
      <c r="C150" s="7" t="s">
        <v>1499</v>
      </c>
      <c r="D150" s="8" t="s">
        <v>49</v>
      </c>
      <c r="E150" s="8" t="s">
        <v>50</v>
      </c>
      <c r="F150" s="9" t="s">
        <v>1500</v>
      </c>
      <c r="G150" s="9" t="s">
        <v>1501</v>
      </c>
      <c r="H150" s="10" t="s">
        <v>4156</v>
      </c>
      <c r="I150" s="10" t="s">
        <v>53</v>
      </c>
      <c r="J150" s="7" t="s">
        <v>1502</v>
      </c>
      <c r="K150" s="10" t="s">
        <v>55</v>
      </c>
      <c r="L150" s="30" t="s">
        <v>2042</v>
      </c>
      <c r="M150" s="30" t="s">
        <v>537</v>
      </c>
      <c r="N150" s="30" t="s">
        <v>4185</v>
      </c>
      <c r="O150" s="30" t="s">
        <v>4185</v>
      </c>
      <c r="P150" s="8" t="s">
        <v>144</v>
      </c>
      <c r="Q150" s="10" t="s">
        <v>1503</v>
      </c>
      <c r="R150" s="10" t="s">
        <v>529</v>
      </c>
      <c r="S150" s="10"/>
      <c r="T150" s="8" t="s">
        <v>73</v>
      </c>
      <c r="U150" s="11">
        <v>33087</v>
      </c>
      <c r="V150" s="12">
        <v>1990</v>
      </c>
      <c r="W150" s="13">
        <v>33331</v>
      </c>
      <c r="X150" s="14">
        <v>1991</v>
      </c>
      <c r="Y150" s="13">
        <v>38353</v>
      </c>
      <c r="Z150" s="15">
        <v>2005</v>
      </c>
      <c r="AA150" s="13">
        <v>44574</v>
      </c>
      <c r="AB150" s="15">
        <v>2022</v>
      </c>
      <c r="AC150" s="15">
        <v>17</v>
      </c>
      <c r="AD150" s="15">
        <v>2022</v>
      </c>
      <c r="AE150" s="27" t="s">
        <v>1504</v>
      </c>
      <c r="AF150" s="8" t="s">
        <v>106</v>
      </c>
      <c r="AG150" s="16">
        <v>52400000000</v>
      </c>
      <c r="AH150" s="16">
        <v>52400000000</v>
      </c>
      <c r="AI150" s="16">
        <v>56166146486.480003</v>
      </c>
      <c r="AJ150" s="16" t="s">
        <v>63</v>
      </c>
      <c r="AK150" s="28">
        <v>52400000000</v>
      </c>
      <c r="AL150" s="16">
        <v>52400000000</v>
      </c>
      <c r="AM150" s="16">
        <v>56166146486.480003</v>
      </c>
      <c r="AN150" s="54" t="s">
        <v>3755</v>
      </c>
      <c r="AO150" s="8" t="s">
        <v>3757</v>
      </c>
      <c r="AP150" s="43">
        <v>1500000</v>
      </c>
      <c r="AQ150" s="43">
        <v>1500000</v>
      </c>
      <c r="AR150" s="8" t="s">
        <v>3766</v>
      </c>
      <c r="AS150" s="69" t="s">
        <v>3819</v>
      </c>
      <c r="AT150" s="10" t="s">
        <v>1505</v>
      </c>
      <c r="AU150" s="96"/>
      <c r="AV150" s="17" t="s">
        <v>3884</v>
      </c>
      <c r="AW150" s="10" t="s">
        <v>3955</v>
      </c>
      <c r="AX150" s="7"/>
      <c r="AY150" s="10" t="s">
        <v>1506</v>
      </c>
      <c r="AZ150" s="10" t="s">
        <v>1507</v>
      </c>
      <c r="BA150" s="10" t="s">
        <v>1508</v>
      </c>
      <c r="BB150" s="18" t="s">
        <v>4169</v>
      </c>
      <c r="BC150" s="41" t="s">
        <v>1509</v>
      </c>
    </row>
    <row r="151" spans="1:55" ht="70" customHeight="1" x14ac:dyDescent="0.2">
      <c r="A151" s="88" t="s">
        <v>4335</v>
      </c>
      <c r="B151" s="6" t="s">
        <v>1510</v>
      </c>
      <c r="C151" s="7" t="s">
        <v>1499</v>
      </c>
      <c r="D151" s="8" t="s">
        <v>49</v>
      </c>
      <c r="E151" s="8" t="s">
        <v>50</v>
      </c>
      <c r="F151" s="9" t="s">
        <v>1500</v>
      </c>
      <c r="G151" s="9" t="s">
        <v>1501</v>
      </c>
      <c r="H151" s="10" t="s">
        <v>4156</v>
      </c>
      <c r="I151" s="10" t="s">
        <v>53</v>
      </c>
      <c r="J151" s="7" t="s">
        <v>1511</v>
      </c>
      <c r="K151" s="10" t="s">
        <v>55</v>
      </c>
      <c r="L151" s="9" t="s">
        <v>1500</v>
      </c>
      <c r="M151" s="9" t="s">
        <v>1501</v>
      </c>
      <c r="N151" s="10" t="s">
        <v>4156</v>
      </c>
      <c r="O151" s="8" t="s">
        <v>53</v>
      </c>
      <c r="P151" s="8" t="s">
        <v>56</v>
      </c>
      <c r="Q151" s="10" t="s">
        <v>1512</v>
      </c>
      <c r="R151" s="10" t="s">
        <v>72</v>
      </c>
      <c r="S151" s="10"/>
      <c r="T151" s="8" t="s">
        <v>73</v>
      </c>
      <c r="U151" s="11">
        <v>37700</v>
      </c>
      <c r="V151" s="12">
        <v>2003</v>
      </c>
      <c r="W151" s="13">
        <v>40175</v>
      </c>
      <c r="X151" s="14">
        <v>2009</v>
      </c>
      <c r="Y151" s="13">
        <v>40175</v>
      </c>
      <c r="Z151" s="15">
        <v>2009</v>
      </c>
      <c r="AA151" s="13">
        <v>41275</v>
      </c>
      <c r="AB151" s="15">
        <v>2013</v>
      </c>
      <c r="AC151" s="15">
        <v>4</v>
      </c>
      <c r="AD151" s="15">
        <v>2013</v>
      </c>
      <c r="AE151" s="27" t="s">
        <v>1513</v>
      </c>
      <c r="AF151" s="8" t="s">
        <v>1514</v>
      </c>
      <c r="AG151" s="28">
        <v>420000000000</v>
      </c>
      <c r="AH151" s="16">
        <v>355000000</v>
      </c>
      <c r="AI151" s="16">
        <v>519069414.60000002</v>
      </c>
      <c r="AJ151" s="16" t="s">
        <v>76</v>
      </c>
      <c r="AK151" s="28">
        <v>370000000000</v>
      </c>
      <c r="AL151" s="16">
        <v>317324185.25</v>
      </c>
      <c r="AM151" s="16">
        <v>427293905.50999999</v>
      </c>
      <c r="AN151" s="10" t="s">
        <v>64</v>
      </c>
      <c r="AO151" s="8" t="s">
        <v>3757</v>
      </c>
      <c r="AP151" s="15" t="s">
        <v>94</v>
      </c>
      <c r="AQ151" s="15" t="s">
        <v>94</v>
      </c>
      <c r="AR151" s="8" t="s">
        <v>3765</v>
      </c>
      <c r="AS151" s="10" t="s">
        <v>269</v>
      </c>
      <c r="AT151" s="10" t="s">
        <v>3795</v>
      </c>
      <c r="AU151" s="96"/>
      <c r="AV151" s="17" t="s">
        <v>3899</v>
      </c>
      <c r="AW151" s="10" t="s">
        <v>1515</v>
      </c>
      <c r="AX151" s="7" t="s">
        <v>1516</v>
      </c>
      <c r="AY151" s="10" t="s">
        <v>1517</v>
      </c>
      <c r="AZ151" s="10" t="s">
        <v>1518</v>
      </c>
      <c r="BA151" s="10" t="s">
        <v>1519</v>
      </c>
      <c r="BB151" s="18" t="s">
        <v>1520</v>
      </c>
      <c r="BC151" s="41" t="s">
        <v>1521</v>
      </c>
    </row>
    <row r="152" spans="1:55" ht="70" customHeight="1" x14ac:dyDescent="0.2">
      <c r="A152" s="88" t="s">
        <v>4336</v>
      </c>
      <c r="B152" s="6" t="s">
        <v>1522</v>
      </c>
      <c r="C152" s="7" t="s">
        <v>1523</v>
      </c>
      <c r="D152" s="8" t="s">
        <v>49</v>
      </c>
      <c r="E152" s="8" t="s">
        <v>50</v>
      </c>
      <c r="F152" s="9" t="s">
        <v>1524</v>
      </c>
      <c r="G152" s="9" t="s">
        <v>1525</v>
      </c>
      <c r="H152" s="10" t="s">
        <v>4154</v>
      </c>
      <c r="I152" s="10" t="s">
        <v>140</v>
      </c>
      <c r="J152" s="7" t="s">
        <v>1526</v>
      </c>
      <c r="K152" s="10" t="s">
        <v>55</v>
      </c>
      <c r="L152" s="9" t="s">
        <v>1524</v>
      </c>
      <c r="M152" s="9" t="s">
        <v>1525</v>
      </c>
      <c r="N152" s="10" t="s">
        <v>4154</v>
      </c>
      <c r="O152" s="8" t="s">
        <v>140</v>
      </c>
      <c r="P152" s="8" t="s">
        <v>56</v>
      </c>
      <c r="Q152" s="10" t="s">
        <v>1527</v>
      </c>
      <c r="R152" s="10" t="s">
        <v>72</v>
      </c>
      <c r="S152" s="10"/>
      <c r="T152" s="8" t="s">
        <v>73</v>
      </c>
      <c r="U152" s="11">
        <v>25116</v>
      </c>
      <c r="V152" s="12">
        <v>1968</v>
      </c>
      <c r="W152" s="13">
        <v>37895</v>
      </c>
      <c r="X152" s="14">
        <v>2003</v>
      </c>
      <c r="Y152" s="13">
        <v>37622</v>
      </c>
      <c r="Z152" s="14">
        <v>2003</v>
      </c>
      <c r="AA152" s="13">
        <v>39083</v>
      </c>
      <c r="AB152" s="15">
        <v>2007</v>
      </c>
      <c r="AC152" s="15">
        <v>4</v>
      </c>
      <c r="AD152" s="15">
        <v>2007</v>
      </c>
      <c r="AE152" s="27" t="s">
        <v>1528</v>
      </c>
      <c r="AF152" s="8" t="s">
        <v>75</v>
      </c>
      <c r="AG152" s="16">
        <v>9000000</v>
      </c>
      <c r="AH152" s="16">
        <v>10180443.529999999</v>
      </c>
      <c r="AI152" s="16">
        <v>17355941.039999999</v>
      </c>
      <c r="AJ152" s="16" t="s">
        <v>76</v>
      </c>
      <c r="AK152" s="28">
        <v>6500000</v>
      </c>
      <c r="AL152" s="16">
        <v>8908107.25</v>
      </c>
      <c r="AM152" s="16">
        <v>13477130.800000001</v>
      </c>
      <c r="AN152" s="54" t="s">
        <v>3755</v>
      </c>
      <c r="AO152" s="8" t="s">
        <v>3757</v>
      </c>
      <c r="AP152" s="15" t="s">
        <v>94</v>
      </c>
      <c r="AQ152" s="15" t="s">
        <v>94</v>
      </c>
      <c r="AR152" s="8" t="s">
        <v>3765</v>
      </c>
      <c r="AS152" s="10" t="s">
        <v>3781</v>
      </c>
      <c r="AT152" s="10" t="s">
        <v>3795</v>
      </c>
      <c r="AU152" s="96"/>
      <c r="AV152" s="17" t="s">
        <v>1529</v>
      </c>
      <c r="AW152" s="10" t="s">
        <v>3956</v>
      </c>
      <c r="AX152" s="10" t="s">
        <v>1366</v>
      </c>
      <c r="AY152" s="10" t="s">
        <v>1530</v>
      </c>
      <c r="AZ152" s="10" t="s">
        <v>1531</v>
      </c>
      <c r="BA152" s="10" t="s">
        <v>1532</v>
      </c>
      <c r="BB152" s="18" t="s">
        <v>1533</v>
      </c>
      <c r="BC152" s="41" t="s">
        <v>1534</v>
      </c>
    </row>
    <row r="153" spans="1:55" ht="70" customHeight="1" x14ac:dyDescent="0.2">
      <c r="A153" s="88" t="s">
        <v>4337</v>
      </c>
      <c r="B153" s="6" t="s">
        <v>1535</v>
      </c>
      <c r="C153" s="7" t="s">
        <v>1523</v>
      </c>
      <c r="D153" s="8" t="s">
        <v>49</v>
      </c>
      <c r="E153" s="8" t="s">
        <v>50</v>
      </c>
      <c r="F153" s="9" t="s">
        <v>1524</v>
      </c>
      <c r="G153" s="9" t="s">
        <v>1525</v>
      </c>
      <c r="H153" s="10" t="s">
        <v>4154</v>
      </c>
      <c r="I153" s="10" t="s">
        <v>140</v>
      </c>
      <c r="J153" s="7" t="s">
        <v>1536</v>
      </c>
      <c r="K153" s="10" t="s">
        <v>55</v>
      </c>
      <c r="L153" s="9" t="s">
        <v>1524</v>
      </c>
      <c r="M153" s="9" t="s">
        <v>1525</v>
      </c>
      <c r="N153" s="10" t="s">
        <v>4154</v>
      </c>
      <c r="O153" s="8" t="s">
        <v>140</v>
      </c>
      <c r="P153" s="8" t="s">
        <v>56</v>
      </c>
      <c r="Q153" s="10" t="s">
        <v>1537</v>
      </c>
      <c r="R153" s="10" t="s">
        <v>1227</v>
      </c>
      <c r="S153" s="10"/>
      <c r="T153" s="8" t="s">
        <v>60</v>
      </c>
      <c r="U153" s="11">
        <v>8037</v>
      </c>
      <c r="V153" s="12">
        <v>1922</v>
      </c>
      <c r="W153" s="13">
        <v>41451</v>
      </c>
      <c r="X153" s="14">
        <v>2013</v>
      </c>
      <c r="Y153" s="13">
        <v>41275</v>
      </c>
      <c r="Z153" s="15">
        <v>2013</v>
      </c>
      <c r="AA153" s="13">
        <v>44562</v>
      </c>
      <c r="AB153" s="15">
        <v>2022</v>
      </c>
      <c r="AC153" s="15">
        <v>9</v>
      </c>
      <c r="AD153" s="15">
        <v>2022</v>
      </c>
      <c r="AE153" s="27"/>
      <c r="AF153" s="8" t="s">
        <v>75</v>
      </c>
      <c r="AG153" s="16">
        <v>58000000</v>
      </c>
      <c r="AH153" s="16">
        <v>75000000</v>
      </c>
      <c r="AI153" s="16">
        <v>100991491.98999999</v>
      </c>
      <c r="AJ153" s="16" t="s">
        <v>76</v>
      </c>
      <c r="AK153" s="28">
        <v>32800000</v>
      </c>
      <c r="AL153" s="16">
        <v>34493074.130000003</v>
      </c>
      <c r="AM153" s="16">
        <v>36972195.689999998</v>
      </c>
      <c r="AN153" s="10" t="s">
        <v>64</v>
      </c>
      <c r="AO153" s="8" t="s">
        <v>3756</v>
      </c>
      <c r="AP153" s="15" t="s">
        <v>94</v>
      </c>
      <c r="AQ153" s="15">
        <v>814</v>
      </c>
      <c r="AR153" s="8" t="s">
        <v>3765</v>
      </c>
      <c r="AS153" s="10" t="s">
        <v>3781</v>
      </c>
      <c r="AT153" s="10" t="s">
        <v>3795</v>
      </c>
      <c r="AU153" s="96"/>
      <c r="AV153" s="17" t="s">
        <v>1538</v>
      </c>
      <c r="AW153" s="10"/>
      <c r="AX153" s="7" t="s">
        <v>3830</v>
      </c>
      <c r="AY153" s="10" t="s">
        <v>1539</v>
      </c>
      <c r="AZ153" s="10" t="s">
        <v>4118</v>
      </c>
      <c r="BA153" s="10" t="s">
        <v>1540</v>
      </c>
      <c r="BB153" s="18" t="s">
        <v>1541</v>
      </c>
      <c r="BC153" s="41" t="s">
        <v>1542</v>
      </c>
    </row>
    <row r="154" spans="1:55" ht="70" customHeight="1" x14ac:dyDescent="0.2">
      <c r="A154" s="88" t="s">
        <v>4338</v>
      </c>
      <c r="B154" s="6" t="s">
        <v>1543</v>
      </c>
      <c r="C154" s="7" t="s">
        <v>1523</v>
      </c>
      <c r="D154" s="8" t="s">
        <v>49</v>
      </c>
      <c r="E154" s="8" t="s">
        <v>50</v>
      </c>
      <c r="F154" s="9" t="s">
        <v>1524</v>
      </c>
      <c r="G154" s="9" t="s">
        <v>1525</v>
      </c>
      <c r="H154" s="10" t="s">
        <v>4154</v>
      </c>
      <c r="I154" s="10" t="s">
        <v>140</v>
      </c>
      <c r="J154" s="7" t="s">
        <v>1544</v>
      </c>
      <c r="K154" s="10" t="s">
        <v>55</v>
      </c>
      <c r="L154" s="9" t="s">
        <v>1524</v>
      </c>
      <c r="M154" s="9" t="s">
        <v>1525</v>
      </c>
      <c r="N154" s="10" t="s">
        <v>4154</v>
      </c>
      <c r="O154" s="8" t="s">
        <v>140</v>
      </c>
      <c r="P154" s="8" t="s">
        <v>56</v>
      </c>
      <c r="Q154" s="10" t="s">
        <v>1545</v>
      </c>
      <c r="R154" s="10" t="s">
        <v>163</v>
      </c>
      <c r="S154" s="10"/>
      <c r="T154" s="8" t="s">
        <v>73</v>
      </c>
      <c r="U154" s="11">
        <v>8037</v>
      </c>
      <c r="V154" s="12">
        <v>1922</v>
      </c>
      <c r="W154" s="13">
        <v>44516</v>
      </c>
      <c r="X154" s="14">
        <v>2021</v>
      </c>
      <c r="Y154" s="13">
        <v>45292</v>
      </c>
      <c r="Z154" s="14">
        <v>2024</v>
      </c>
      <c r="AA154" s="13">
        <v>45292</v>
      </c>
      <c r="AB154" s="14">
        <v>2024</v>
      </c>
      <c r="AC154" s="15">
        <v>0</v>
      </c>
      <c r="AD154" s="15">
        <v>2024</v>
      </c>
      <c r="AE154" s="27" t="s">
        <v>74</v>
      </c>
      <c r="AF154" s="8" t="s">
        <v>75</v>
      </c>
      <c r="AG154" s="16">
        <v>800000000</v>
      </c>
      <c r="AH154" s="16">
        <v>946323843.98000002</v>
      </c>
      <c r="AI154" s="16">
        <v>1095513821.8</v>
      </c>
      <c r="AJ154" s="16" t="s">
        <v>76</v>
      </c>
      <c r="AK154" s="28">
        <v>7000000</v>
      </c>
      <c r="AL154" s="16">
        <v>7572746.1200000001</v>
      </c>
      <c r="AM154" s="16">
        <v>7572746.1200000001</v>
      </c>
      <c r="AN154" s="10" t="s">
        <v>64</v>
      </c>
      <c r="AO154" s="8" t="s">
        <v>3756</v>
      </c>
      <c r="AP154" s="43">
        <v>34000</v>
      </c>
      <c r="AQ154" s="15" t="s">
        <v>94</v>
      </c>
      <c r="AR154" s="8" t="s">
        <v>3765</v>
      </c>
      <c r="AS154" s="10" t="s">
        <v>3781</v>
      </c>
      <c r="AT154" s="10" t="s">
        <v>3795</v>
      </c>
      <c r="AU154" s="96"/>
      <c r="AV154" s="17"/>
      <c r="AW154" s="10"/>
      <c r="AX154" s="7" t="s">
        <v>3831</v>
      </c>
      <c r="AY154" s="10" t="s">
        <v>1546</v>
      </c>
      <c r="AZ154" s="10" t="s">
        <v>1547</v>
      </c>
      <c r="BA154" s="10" t="s">
        <v>1548</v>
      </c>
      <c r="BB154" s="18" t="s">
        <v>1549</v>
      </c>
      <c r="BC154" s="41" t="s">
        <v>1550</v>
      </c>
    </row>
    <row r="155" spans="1:55" ht="69" customHeight="1" x14ac:dyDescent="0.2">
      <c r="A155" s="88" t="s">
        <v>4339</v>
      </c>
      <c r="B155" s="6" t="s">
        <v>1551</v>
      </c>
      <c r="C155" s="7" t="s">
        <v>1552</v>
      </c>
      <c r="D155" s="8" t="s">
        <v>49</v>
      </c>
      <c r="E155" s="8" t="s">
        <v>50</v>
      </c>
      <c r="F155" s="9" t="s">
        <v>1177</v>
      </c>
      <c r="G155" s="9" t="s">
        <v>1178</v>
      </c>
      <c r="H155" s="10" t="s">
        <v>4156</v>
      </c>
      <c r="I155" s="10" t="s">
        <v>140</v>
      </c>
      <c r="J155" s="7" t="s">
        <v>1553</v>
      </c>
      <c r="K155" s="10" t="s">
        <v>1554</v>
      </c>
      <c r="L155" s="30" t="s">
        <v>4185</v>
      </c>
      <c r="M155" s="30" t="s">
        <v>537</v>
      </c>
      <c r="N155" s="30" t="s">
        <v>4185</v>
      </c>
      <c r="O155" s="30" t="s">
        <v>4185</v>
      </c>
      <c r="P155" s="8" t="s">
        <v>144</v>
      </c>
      <c r="Q155" s="10" t="s">
        <v>1555</v>
      </c>
      <c r="R155" s="10" t="s">
        <v>529</v>
      </c>
      <c r="S155" s="10"/>
      <c r="T155" s="8" t="s">
        <v>73</v>
      </c>
      <c r="U155" s="11">
        <v>17793</v>
      </c>
      <c r="V155" s="12">
        <v>1948</v>
      </c>
      <c r="W155" s="13">
        <v>18409</v>
      </c>
      <c r="X155" s="14">
        <v>1950</v>
      </c>
      <c r="Y155" s="13">
        <v>18264</v>
      </c>
      <c r="Z155" s="14">
        <v>1950</v>
      </c>
      <c r="AA155" s="13">
        <v>18264</v>
      </c>
      <c r="AB155" s="14">
        <v>1950</v>
      </c>
      <c r="AC155" s="15">
        <v>0</v>
      </c>
      <c r="AD155" s="15">
        <v>1950</v>
      </c>
      <c r="AE155" s="27"/>
      <c r="AF155" s="8" t="s">
        <v>106</v>
      </c>
      <c r="AG155" s="16">
        <v>54628</v>
      </c>
      <c r="AH155" s="16">
        <v>54628</v>
      </c>
      <c r="AI155" s="16">
        <v>711045.75</v>
      </c>
      <c r="AJ155" s="16" t="s">
        <v>76</v>
      </c>
      <c r="AK155" s="16">
        <v>54628</v>
      </c>
      <c r="AL155" s="16">
        <v>54628</v>
      </c>
      <c r="AM155" s="16">
        <v>711045.75</v>
      </c>
      <c r="AN155" s="10" t="s">
        <v>149</v>
      </c>
      <c r="AO155" s="8" t="s">
        <v>150</v>
      </c>
      <c r="AP155" s="15" t="s">
        <v>151</v>
      </c>
      <c r="AQ155" s="15" t="s">
        <v>151</v>
      </c>
      <c r="AR155" s="8" t="s">
        <v>3765</v>
      </c>
      <c r="AS155" s="10" t="s">
        <v>3781</v>
      </c>
      <c r="AT155" s="10" t="s">
        <v>3795</v>
      </c>
      <c r="AU155" s="96"/>
      <c r="AV155" s="17" t="s">
        <v>1556</v>
      </c>
      <c r="AW155" s="10" t="s">
        <v>1553</v>
      </c>
      <c r="AX155" s="7" t="s">
        <v>577</v>
      </c>
      <c r="AY155" s="10" t="s">
        <v>1557</v>
      </c>
      <c r="AZ155" s="10" t="s">
        <v>1558</v>
      </c>
      <c r="BA155" s="10" t="s">
        <v>1559</v>
      </c>
      <c r="BB155" s="18"/>
      <c r="BC155" s="41" t="s">
        <v>1560</v>
      </c>
    </row>
    <row r="156" spans="1:55" ht="69" customHeight="1" x14ac:dyDescent="0.2">
      <c r="A156" s="88" t="s">
        <v>4340</v>
      </c>
      <c r="B156" s="6" t="s">
        <v>1561</v>
      </c>
      <c r="C156" s="7" t="s">
        <v>1552</v>
      </c>
      <c r="D156" s="8" t="s">
        <v>49</v>
      </c>
      <c r="E156" s="8" t="s">
        <v>50</v>
      </c>
      <c r="F156" s="9" t="s">
        <v>1177</v>
      </c>
      <c r="G156" s="9" t="s">
        <v>1178</v>
      </c>
      <c r="H156" s="10" t="s">
        <v>4156</v>
      </c>
      <c r="I156" s="10" t="s">
        <v>140</v>
      </c>
      <c r="J156" s="7" t="s">
        <v>1562</v>
      </c>
      <c r="K156" s="10" t="s">
        <v>55</v>
      </c>
      <c r="L156" s="9" t="s">
        <v>1177</v>
      </c>
      <c r="M156" s="9" t="s">
        <v>1178</v>
      </c>
      <c r="N156" s="10" t="s">
        <v>4156</v>
      </c>
      <c r="O156" s="8" t="s">
        <v>140</v>
      </c>
      <c r="P156" s="8" t="s">
        <v>56</v>
      </c>
      <c r="Q156" s="10" t="s">
        <v>1563</v>
      </c>
      <c r="R156" s="10" t="s">
        <v>58</v>
      </c>
      <c r="S156" s="10"/>
      <c r="T156" s="8" t="s">
        <v>60</v>
      </c>
      <c r="U156" s="11">
        <v>38579</v>
      </c>
      <c r="V156" s="12">
        <v>2005</v>
      </c>
      <c r="W156" s="13">
        <v>38399</v>
      </c>
      <c r="X156" s="14">
        <v>2005</v>
      </c>
      <c r="Y156" s="13">
        <v>38353</v>
      </c>
      <c r="Z156" s="15">
        <v>2005</v>
      </c>
      <c r="AA156" s="13" t="s">
        <v>94</v>
      </c>
      <c r="AB156" s="13" t="s">
        <v>94</v>
      </c>
      <c r="AC156" s="13" t="s">
        <v>94</v>
      </c>
      <c r="AD156" s="14"/>
      <c r="AE156" s="27"/>
      <c r="AF156" s="8" t="s">
        <v>106</v>
      </c>
      <c r="AG156" s="16">
        <v>870000000</v>
      </c>
      <c r="AH156" s="16">
        <v>870000000</v>
      </c>
      <c r="AI156" s="16">
        <v>1397385714.29</v>
      </c>
      <c r="AJ156" s="16" t="s">
        <v>76</v>
      </c>
      <c r="AK156" s="28" t="s">
        <v>94</v>
      </c>
      <c r="AL156" s="16" t="s">
        <v>94</v>
      </c>
      <c r="AM156" s="16" t="s">
        <v>94</v>
      </c>
      <c r="AN156" s="10" t="s">
        <v>64</v>
      </c>
      <c r="AO156" s="8" t="s">
        <v>3756</v>
      </c>
      <c r="AP156" s="43">
        <v>9000</v>
      </c>
      <c r="AQ156" s="15" t="s">
        <v>94</v>
      </c>
      <c r="AR156" s="8" t="s">
        <v>3765</v>
      </c>
      <c r="AS156" s="10" t="s">
        <v>3781</v>
      </c>
      <c r="AT156" s="10" t="s">
        <v>3795</v>
      </c>
      <c r="AU156" s="96"/>
      <c r="AV156" s="17" t="s">
        <v>1564</v>
      </c>
      <c r="AW156" s="10"/>
      <c r="AX156" s="7" t="s">
        <v>4031</v>
      </c>
      <c r="AY156" s="10" t="s">
        <v>1565</v>
      </c>
      <c r="AZ156" s="10" t="s">
        <v>4119</v>
      </c>
      <c r="BA156" s="10" t="s">
        <v>1566</v>
      </c>
      <c r="BB156" s="18" t="s">
        <v>1567</v>
      </c>
      <c r="BC156" s="41" t="s">
        <v>1568</v>
      </c>
    </row>
    <row r="157" spans="1:55" ht="70" customHeight="1" x14ac:dyDescent="0.2">
      <c r="A157" s="88" t="s">
        <v>4341</v>
      </c>
      <c r="B157" s="6" t="s">
        <v>1569</v>
      </c>
      <c r="C157" s="7" t="s">
        <v>1552</v>
      </c>
      <c r="D157" s="8" t="s">
        <v>49</v>
      </c>
      <c r="E157" s="8" t="s">
        <v>50</v>
      </c>
      <c r="F157" s="9" t="s">
        <v>1177</v>
      </c>
      <c r="G157" s="9" t="s">
        <v>1178</v>
      </c>
      <c r="H157" s="10" t="s">
        <v>4156</v>
      </c>
      <c r="I157" s="10" t="s">
        <v>140</v>
      </c>
      <c r="J157" s="7" t="s">
        <v>1570</v>
      </c>
      <c r="K157" s="10" t="s">
        <v>55</v>
      </c>
      <c r="L157" s="9" t="s">
        <v>4589</v>
      </c>
      <c r="M157" s="9" t="s">
        <v>1571</v>
      </c>
      <c r="N157" s="10" t="s">
        <v>4156</v>
      </c>
      <c r="O157" s="8" t="s">
        <v>103</v>
      </c>
      <c r="P157" s="8" t="s">
        <v>144</v>
      </c>
      <c r="Q157" s="10" t="s">
        <v>1572</v>
      </c>
      <c r="R157" s="10" t="s">
        <v>383</v>
      </c>
      <c r="S157" s="10"/>
      <c r="T157" s="8" t="s">
        <v>73</v>
      </c>
      <c r="U157" s="11">
        <v>37361</v>
      </c>
      <c r="V157" s="12">
        <v>2002</v>
      </c>
      <c r="W157" s="13" t="s">
        <v>94</v>
      </c>
      <c r="X157" s="14">
        <v>2012</v>
      </c>
      <c r="Y157" s="13" t="s">
        <v>94</v>
      </c>
      <c r="Z157" s="13" t="s">
        <v>94</v>
      </c>
      <c r="AA157" s="13" t="s">
        <v>94</v>
      </c>
      <c r="AB157" s="13" t="s">
        <v>94</v>
      </c>
      <c r="AC157" s="13" t="s">
        <v>94</v>
      </c>
      <c r="AD157" s="15"/>
      <c r="AE157" s="27"/>
      <c r="AF157" s="8" t="s">
        <v>1573</v>
      </c>
      <c r="AG157" s="16">
        <v>400000</v>
      </c>
      <c r="AH157" s="16">
        <v>103736.54</v>
      </c>
      <c r="AI157" s="16">
        <v>141732.85</v>
      </c>
      <c r="AJ157" s="16" t="s">
        <v>76</v>
      </c>
      <c r="AK157" s="28" t="s">
        <v>94</v>
      </c>
      <c r="AL157" s="16" t="s">
        <v>94</v>
      </c>
      <c r="AM157" s="16" t="s">
        <v>94</v>
      </c>
      <c r="AN157" s="10" t="s">
        <v>64</v>
      </c>
      <c r="AO157" s="8" t="s">
        <v>3758</v>
      </c>
      <c r="AP157" s="15">
        <v>1</v>
      </c>
      <c r="AQ157" s="15" t="s">
        <v>94</v>
      </c>
      <c r="AR157" s="10" t="s">
        <v>3796</v>
      </c>
      <c r="AS157" s="10" t="s">
        <v>3781</v>
      </c>
      <c r="AT157" s="10" t="s">
        <v>3795</v>
      </c>
      <c r="AU157" s="96"/>
      <c r="AV157" s="17" t="s">
        <v>459</v>
      </c>
      <c r="AW157" s="10"/>
      <c r="AX157" s="7" t="s">
        <v>1574</v>
      </c>
      <c r="AY157" s="10" t="s">
        <v>1575</v>
      </c>
      <c r="AZ157" s="10" t="s">
        <v>1576</v>
      </c>
      <c r="BA157" s="10" t="s">
        <v>1577</v>
      </c>
      <c r="BB157" s="18"/>
      <c r="BC157" s="41" t="s">
        <v>1578</v>
      </c>
    </row>
    <row r="158" spans="1:55" ht="70" customHeight="1" x14ac:dyDescent="0.2">
      <c r="A158" s="88" t="s">
        <v>4342</v>
      </c>
      <c r="B158" s="6" t="s">
        <v>1579</v>
      </c>
      <c r="C158" s="7" t="s">
        <v>1552</v>
      </c>
      <c r="D158" s="8" t="s">
        <v>49</v>
      </c>
      <c r="E158" s="8" t="s">
        <v>50</v>
      </c>
      <c r="F158" s="9" t="s">
        <v>1177</v>
      </c>
      <c r="G158" s="9" t="s">
        <v>1178</v>
      </c>
      <c r="H158" s="10" t="s">
        <v>4156</v>
      </c>
      <c r="I158" s="10" t="s">
        <v>140</v>
      </c>
      <c r="J158" s="7" t="s">
        <v>1580</v>
      </c>
      <c r="K158" s="10" t="s">
        <v>55</v>
      </c>
      <c r="L158" s="9" t="s">
        <v>4589</v>
      </c>
      <c r="M158" s="9" t="s">
        <v>1571</v>
      </c>
      <c r="N158" s="10" t="s">
        <v>4156</v>
      </c>
      <c r="O158" s="8" t="s">
        <v>103</v>
      </c>
      <c r="P158" s="8" t="s">
        <v>144</v>
      </c>
      <c r="Q158" s="10" t="s">
        <v>1581</v>
      </c>
      <c r="R158" s="10" t="s">
        <v>58</v>
      </c>
      <c r="S158" s="10" t="s">
        <v>59</v>
      </c>
      <c r="T158" s="8" t="s">
        <v>60</v>
      </c>
      <c r="U158" s="11">
        <v>34700</v>
      </c>
      <c r="V158" s="12">
        <v>1995</v>
      </c>
      <c r="W158" s="13">
        <v>41814</v>
      </c>
      <c r="X158" s="14">
        <v>2014</v>
      </c>
      <c r="Y158" s="13" t="s">
        <v>94</v>
      </c>
      <c r="Z158" s="13" t="s">
        <v>94</v>
      </c>
      <c r="AA158" s="13" t="s">
        <v>94</v>
      </c>
      <c r="AB158" s="13" t="s">
        <v>94</v>
      </c>
      <c r="AC158" s="13" t="s">
        <v>94</v>
      </c>
      <c r="AD158" s="15"/>
      <c r="AE158" s="27"/>
      <c r="AF158" s="8" t="s">
        <v>1582</v>
      </c>
      <c r="AG158" s="16">
        <v>350000</v>
      </c>
      <c r="AH158" s="16">
        <v>102000</v>
      </c>
      <c r="AI158" s="16">
        <v>135155.95000000001</v>
      </c>
      <c r="AJ158" s="16" t="s">
        <v>76</v>
      </c>
      <c r="AK158" s="28" t="s">
        <v>94</v>
      </c>
      <c r="AL158" s="16" t="s">
        <v>94</v>
      </c>
      <c r="AM158" s="16" t="s">
        <v>94</v>
      </c>
      <c r="AN158" s="10" t="s">
        <v>64</v>
      </c>
      <c r="AO158" s="8" t="s">
        <v>3756</v>
      </c>
      <c r="AP158" s="15">
        <v>6</v>
      </c>
      <c r="AQ158" s="15" t="s">
        <v>94</v>
      </c>
      <c r="AR158" s="8" t="s">
        <v>3762</v>
      </c>
      <c r="AS158" s="10" t="s">
        <v>3781</v>
      </c>
      <c r="AT158" s="10" t="s">
        <v>1583</v>
      </c>
      <c r="AU158" s="96"/>
      <c r="AV158" s="17" t="s">
        <v>459</v>
      </c>
      <c r="AW158" s="10"/>
      <c r="AX158" s="7" t="s">
        <v>1280</v>
      </c>
      <c r="AY158" s="10" t="s">
        <v>1584</v>
      </c>
      <c r="AZ158" s="10" t="s">
        <v>1585</v>
      </c>
      <c r="BA158" s="10" t="s">
        <v>1586</v>
      </c>
      <c r="BB158" s="18"/>
      <c r="BC158" s="41" t="s">
        <v>1587</v>
      </c>
    </row>
    <row r="159" spans="1:55" ht="70" customHeight="1" x14ac:dyDescent="0.2">
      <c r="A159" s="88" t="s">
        <v>4343</v>
      </c>
      <c r="B159" s="6" t="s">
        <v>1588</v>
      </c>
      <c r="C159" s="7" t="s">
        <v>1552</v>
      </c>
      <c r="D159" s="8" t="s">
        <v>49</v>
      </c>
      <c r="E159" s="8" t="s">
        <v>50</v>
      </c>
      <c r="F159" s="9" t="s">
        <v>1177</v>
      </c>
      <c r="G159" s="9" t="s">
        <v>1178</v>
      </c>
      <c r="H159" s="10" t="s">
        <v>4156</v>
      </c>
      <c r="I159" s="10" t="s">
        <v>140</v>
      </c>
      <c r="J159" s="7" t="s">
        <v>1589</v>
      </c>
      <c r="K159" s="10" t="s">
        <v>55</v>
      </c>
      <c r="L159" s="9" t="s">
        <v>4584</v>
      </c>
      <c r="M159" s="9" t="s">
        <v>1590</v>
      </c>
      <c r="N159" s="10" t="s">
        <v>4154</v>
      </c>
      <c r="O159" s="8" t="s">
        <v>53</v>
      </c>
      <c r="P159" s="8" t="s">
        <v>144</v>
      </c>
      <c r="Q159" s="10" t="s">
        <v>1591</v>
      </c>
      <c r="R159" s="10" t="s">
        <v>529</v>
      </c>
      <c r="S159" s="10"/>
      <c r="T159" s="8" t="s">
        <v>73</v>
      </c>
      <c r="U159" s="11">
        <v>40329</v>
      </c>
      <c r="V159" s="12">
        <v>2010</v>
      </c>
      <c r="W159" s="13">
        <v>42602</v>
      </c>
      <c r="X159" s="14">
        <v>2016</v>
      </c>
      <c r="Y159" s="13">
        <v>42643</v>
      </c>
      <c r="Z159" s="15">
        <v>2016</v>
      </c>
      <c r="AA159" s="13">
        <v>42643</v>
      </c>
      <c r="AB159" s="15">
        <v>2016</v>
      </c>
      <c r="AC159" s="15">
        <v>0</v>
      </c>
      <c r="AD159" s="15">
        <v>2016</v>
      </c>
      <c r="AE159" s="27"/>
      <c r="AF159" s="8" t="s">
        <v>106</v>
      </c>
      <c r="AG159" s="16">
        <v>20000000</v>
      </c>
      <c r="AH159" s="16">
        <v>20000000</v>
      </c>
      <c r="AI159" s="16">
        <v>26139987.579999998</v>
      </c>
      <c r="AJ159" s="16" t="s">
        <v>76</v>
      </c>
      <c r="AK159" s="16">
        <v>20000000</v>
      </c>
      <c r="AL159" s="16">
        <v>20000000</v>
      </c>
      <c r="AM159" s="16">
        <v>26139987.579999998</v>
      </c>
      <c r="AN159" s="10" t="s">
        <v>64</v>
      </c>
      <c r="AO159" s="8" t="s">
        <v>3758</v>
      </c>
      <c r="AP159" s="15">
        <v>10</v>
      </c>
      <c r="AQ159" s="15">
        <v>10</v>
      </c>
      <c r="AR159" s="8" t="s">
        <v>3759</v>
      </c>
      <c r="AS159" s="10" t="s">
        <v>3781</v>
      </c>
      <c r="AT159" s="10" t="s">
        <v>3795</v>
      </c>
      <c r="AU159" s="96"/>
      <c r="AV159" s="17"/>
      <c r="AW159" s="10"/>
      <c r="AX159" s="7" t="s">
        <v>4032</v>
      </c>
      <c r="AY159" s="10" t="s">
        <v>1592</v>
      </c>
      <c r="AZ159" s="10" t="s">
        <v>1593</v>
      </c>
      <c r="BA159" s="10" t="s">
        <v>1594</v>
      </c>
      <c r="BB159" s="18"/>
      <c r="BC159" s="41" t="s">
        <v>1595</v>
      </c>
    </row>
    <row r="160" spans="1:55" ht="69" customHeight="1" x14ac:dyDescent="0.2">
      <c r="A160" s="88" t="s">
        <v>4344</v>
      </c>
      <c r="B160" s="6" t="s">
        <v>1596</v>
      </c>
      <c r="C160" s="7" t="s">
        <v>1552</v>
      </c>
      <c r="D160" s="8" t="s">
        <v>49</v>
      </c>
      <c r="E160" s="8" t="s">
        <v>50</v>
      </c>
      <c r="F160" s="9" t="s">
        <v>1177</v>
      </c>
      <c r="G160" s="9" t="s">
        <v>1178</v>
      </c>
      <c r="H160" s="10" t="s">
        <v>4156</v>
      </c>
      <c r="I160" s="10" t="s">
        <v>140</v>
      </c>
      <c r="J160" s="7" t="s">
        <v>1597</v>
      </c>
      <c r="K160" s="10" t="s">
        <v>55</v>
      </c>
      <c r="L160" s="9" t="s">
        <v>1598</v>
      </c>
      <c r="M160" s="9" t="s">
        <v>1599</v>
      </c>
      <c r="N160" s="10" t="s">
        <v>4156</v>
      </c>
      <c r="O160" s="8" t="s">
        <v>103</v>
      </c>
      <c r="P160" s="8" t="s">
        <v>144</v>
      </c>
      <c r="Q160" s="10" t="s">
        <v>1600</v>
      </c>
      <c r="R160" s="10" t="s">
        <v>529</v>
      </c>
      <c r="S160" s="10"/>
      <c r="T160" s="8" t="s">
        <v>73</v>
      </c>
      <c r="U160" s="11">
        <v>41640</v>
      </c>
      <c r="V160" s="12">
        <v>2014</v>
      </c>
      <c r="W160" s="13">
        <v>43120</v>
      </c>
      <c r="X160" s="14">
        <v>2018</v>
      </c>
      <c r="Y160" s="13">
        <v>43101</v>
      </c>
      <c r="Z160" s="14">
        <v>2018</v>
      </c>
      <c r="AA160" s="13">
        <v>43101</v>
      </c>
      <c r="AB160" s="14">
        <v>2018</v>
      </c>
      <c r="AC160" s="15">
        <v>0</v>
      </c>
      <c r="AD160" s="15">
        <v>2018</v>
      </c>
      <c r="AE160" s="27"/>
      <c r="AF160" s="8" t="s">
        <v>106</v>
      </c>
      <c r="AG160" s="16">
        <v>5000000</v>
      </c>
      <c r="AH160" s="16">
        <v>5000000</v>
      </c>
      <c r="AI160" s="16">
        <v>6246122.1699999999</v>
      </c>
      <c r="AJ160" s="16" t="s">
        <v>76</v>
      </c>
      <c r="AK160" s="16">
        <v>5000000</v>
      </c>
      <c r="AL160" s="16">
        <v>5000000</v>
      </c>
      <c r="AM160" s="16">
        <v>6246122.1699999999</v>
      </c>
      <c r="AN160" s="10" t="s">
        <v>64</v>
      </c>
      <c r="AO160" s="8" t="s">
        <v>3758</v>
      </c>
      <c r="AP160" s="15">
        <v>3</v>
      </c>
      <c r="AQ160" s="15">
        <v>3</v>
      </c>
      <c r="AR160" s="8" t="s">
        <v>3765</v>
      </c>
      <c r="AS160" s="10" t="s">
        <v>3781</v>
      </c>
      <c r="AT160" s="10" t="s">
        <v>3795</v>
      </c>
      <c r="AU160" s="96"/>
      <c r="AV160" s="17"/>
      <c r="AW160" s="10"/>
      <c r="AX160" s="7" t="s">
        <v>4033</v>
      </c>
      <c r="AY160" s="10" t="s">
        <v>1601</v>
      </c>
      <c r="AZ160" s="10" t="s">
        <v>1602</v>
      </c>
      <c r="BA160" s="10" t="s">
        <v>1603</v>
      </c>
      <c r="BB160" s="18"/>
      <c r="BC160" s="41" t="s">
        <v>1604</v>
      </c>
    </row>
    <row r="161" spans="1:55" ht="69" customHeight="1" x14ac:dyDescent="0.2">
      <c r="A161" s="88" t="s">
        <v>4345</v>
      </c>
      <c r="B161" s="6" t="s">
        <v>1605</v>
      </c>
      <c r="C161" s="7" t="s">
        <v>1606</v>
      </c>
      <c r="D161" s="8" t="s">
        <v>49</v>
      </c>
      <c r="E161" s="8" t="s">
        <v>50</v>
      </c>
      <c r="F161" s="9" t="s">
        <v>1177</v>
      </c>
      <c r="G161" s="9" t="s">
        <v>1178</v>
      </c>
      <c r="H161" s="10" t="s">
        <v>4156</v>
      </c>
      <c r="I161" s="10" t="s">
        <v>140</v>
      </c>
      <c r="J161" s="7" t="s">
        <v>1607</v>
      </c>
      <c r="K161" s="10" t="s">
        <v>55</v>
      </c>
      <c r="L161" s="30" t="s">
        <v>2042</v>
      </c>
      <c r="M161" s="30" t="s">
        <v>537</v>
      </c>
      <c r="N161" s="30" t="s">
        <v>4185</v>
      </c>
      <c r="O161" s="30" t="s">
        <v>4185</v>
      </c>
      <c r="P161" s="8" t="s">
        <v>144</v>
      </c>
      <c r="Q161" s="10" t="s">
        <v>1608</v>
      </c>
      <c r="R161" s="10" t="s">
        <v>529</v>
      </c>
      <c r="S161" s="10"/>
      <c r="T161" s="8" t="s">
        <v>73</v>
      </c>
      <c r="U161" s="11">
        <v>44573</v>
      </c>
      <c r="V161" s="12">
        <v>2022</v>
      </c>
      <c r="W161" s="13">
        <v>44841</v>
      </c>
      <c r="X161" s="14">
        <v>2022</v>
      </c>
      <c r="Y161" s="13" t="s">
        <v>94</v>
      </c>
      <c r="Z161" s="13" t="s">
        <v>94</v>
      </c>
      <c r="AA161" s="13" t="s">
        <v>94</v>
      </c>
      <c r="AB161" s="13" t="s">
        <v>94</v>
      </c>
      <c r="AC161" s="13" t="s">
        <v>94</v>
      </c>
      <c r="AD161" s="15"/>
      <c r="AE161" s="27"/>
      <c r="AF161" s="8" t="s">
        <v>1582</v>
      </c>
      <c r="AG161" s="16">
        <v>500000</v>
      </c>
      <c r="AH161" s="16">
        <v>140000</v>
      </c>
      <c r="AI161" s="16">
        <v>150062.22</v>
      </c>
      <c r="AJ161" s="16" t="s">
        <v>76</v>
      </c>
      <c r="AK161" s="28" t="s">
        <v>94</v>
      </c>
      <c r="AL161" s="16" t="s">
        <v>94</v>
      </c>
      <c r="AM161" s="16" t="s">
        <v>94</v>
      </c>
      <c r="AN161" s="10" t="s">
        <v>64</v>
      </c>
      <c r="AO161" s="8" t="s">
        <v>3758</v>
      </c>
      <c r="AP161" s="15">
        <v>1</v>
      </c>
      <c r="AQ161" s="15" t="s">
        <v>94</v>
      </c>
      <c r="AR161" s="8" t="s">
        <v>3775</v>
      </c>
      <c r="AS161" s="10" t="s">
        <v>3781</v>
      </c>
      <c r="AT161" s="10" t="s">
        <v>3795</v>
      </c>
      <c r="AU161" s="96"/>
      <c r="AV161" s="17"/>
      <c r="AW161" s="10"/>
      <c r="AX161" s="7" t="s">
        <v>1280</v>
      </c>
      <c r="AY161" s="10" t="s">
        <v>1609</v>
      </c>
      <c r="AZ161" s="10" t="s">
        <v>1610</v>
      </c>
      <c r="BA161" s="10" t="s">
        <v>1611</v>
      </c>
      <c r="BB161" s="18"/>
      <c r="BC161" s="41" t="s">
        <v>1612</v>
      </c>
    </row>
    <row r="162" spans="1:55" ht="69" customHeight="1" x14ac:dyDescent="0.2">
      <c r="A162" s="88" t="s">
        <v>4346</v>
      </c>
      <c r="B162" s="6" t="s">
        <v>1613</v>
      </c>
      <c r="C162" s="7" t="s">
        <v>1614</v>
      </c>
      <c r="D162" s="8" t="s">
        <v>49</v>
      </c>
      <c r="E162" s="8" t="s">
        <v>50</v>
      </c>
      <c r="F162" s="9" t="s">
        <v>1615</v>
      </c>
      <c r="G162" s="9" t="s">
        <v>1616</v>
      </c>
      <c r="H162" s="10" t="s">
        <v>4154</v>
      </c>
      <c r="I162" s="10" t="s">
        <v>140</v>
      </c>
      <c r="J162" s="7" t="s">
        <v>1617</v>
      </c>
      <c r="K162" s="10" t="s">
        <v>49</v>
      </c>
      <c r="L162" s="30" t="s">
        <v>2042</v>
      </c>
      <c r="M162" s="30" t="s">
        <v>537</v>
      </c>
      <c r="N162" s="30" t="s">
        <v>4185</v>
      </c>
      <c r="O162" s="30" t="s">
        <v>4185</v>
      </c>
      <c r="P162" s="8" t="s">
        <v>144</v>
      </c>
      <c r="Q162" s="10" t="s">
        <v>1618</v>
      </c>
      <c r="R162" s="10" t="s">
        <v>529</v>
      </c>
      <c r="S162" s="10"/>
      <c r="T162" s="8" t="s">
        <v>73</v>
      </c>
      <c r="U162" s="11">
        <v>14489</v>
      </c>
      <c r="V162" s="12">
        <v>1939</v>
      </c>
      <c r="W162" s="13">
        <v>17208</v>
      </c>
      <c r="X162" s="14">
        <v>1947</v>
      </c>
      <c r="Y162" s="13">
        <v>17168</v>
      </c>
      <c r="Z162" s="14">
        <v>1947</v>
      </c>
      <c r="AA162" s="13">
        <v>23743</v>
      </c>
      <c r="AB162" s="14">
        <v>1965</v>
      </c>
      <c r="AC162" s="14">
        <v>18</v>
      </c>
      <c r="AD162" s="15">
        <v>1947</v>
      </c>
      <c r="AE162" s="27" t="s">
        <v>1619</v>
      </c>
      <c r="AF162" s="8" t="s">
        <v>106</v>
      </c>
      <c r="AG162" s="16">
        <v>360000000</v>
      </c>
      <c r="AH162" s="16">
        <v>360000000</v>
      </c>
      <c r="AI162" s="16">
        <v>5065200000</v>
      </c>
      <c r="AJ162" s="16" t="s">
        <v>76</v>
      </c>
      <c r="AK162" s="16">
        <v>360000000</v>
      </c>
      <c r="AL162" s="16">
        <v>360000000</v>
      </c>
      <c r="AM162" s="16">
        <v>5064037668.1599998</v>
      </c>
      <c r="AN162" s="10" t="s">
        <v>149</v>
      </c>
      <c r="AO162" s="8" t="s">
        <v>150</v>
      </c>
      <c r="AP162" s="15" t="s">
        <v>151</v>
      </c>
      <c r="AQ162" s="15" t="s">
        <v>151</v>
      </c>
      <c r="AR162" s="8" t="s">
        <v>3770</v>
      </c>
      <c r="AS162" s="10" t="s">
        <v>3809</v>
      </c>
      <c r="AT162" s="10" t="s">
        <v>3795</v>
      </c>
      <c r="AU162" s="98" t="s">
        <v>107</v>
      </c>
      <c r="AV162" s="17"/>
      <c r="AW162" s="10"/>
      <c r="AX162" s="10" t="s">
        <v>1430</v>
      </c>
      <c r="AY162" s="10" t="s">
        <v>1620</v>
      </c>
      <c r="AZ162" s="10" t="s">
        <v>1621</v>
      </c>
      <c r="BA162" s="10" t="s">
        <v>1622</v>
      </c>
      <c r="BB162" s="18" t="s">
        <v>1623</v>
      </c>
      <c r="BC162" s="18" t="s">
        <v>4089</v>
      </c>
    </row>
    <row r="163" spans="1:55" ht="69" customHeight="1" x14ac:dyDescent="0.2">
      <c r="A163" s="88" t="s">
        <v>4347</v>
      </c>
      <c r="B163" s="6" t="s">
        <v>1624</v>
      </c>
      <c r="C163" s="7" t="s">
        <v>1625</v>
      </c>
      <c r="D163" s="8" t="s">
        <v>279</v>
      </c>
      <c r="E163" s="8" t="s">
        <v>280</v>
      </c>
      <c r="F163" s="9" t="s">
        <v>1615</v>
      </c>
      <c r="G163" s="9" t="s">
        <v>1616</v>
      </c>
      <c r="H163" s="10" t="s">
        <v>4154</v>
      </c>
      <c r="I163" s="10" t="s">
        <v>140</v>
      </c>
      <c r="J163" s="7" t="s">
        <v>1626</v>
      </c>
      <c r="K163" s="10" t="s">
        <v>55</v>
      </c>
      <c r="L163" s="9" t="s">
        <v>1169</v>
      </c>
      <c r="M163" s="9" t="s">
        <v>1170</v>
      </c>
      <c r="N163" s="10" t="s">
        <v>4154</v>
      </c>
      <c r="O163" s="8" t="s">
        <v>140</v>
      </c>
      <c r="P163" s="8" t="s">
        <v>144</v>
      </c>
      <c r="Q163" s="10" t="s">
        <v>1627</v>
      </c>
      <c r="R163" s="10" t="s">
        <v>177</v>
      </c>
      <c r="S163" s="10" t="s">
        <v>59</v>
      </c>
      <c r="T163" s="8" t="s">
        <v>60</v>
      </c>
      <c r="U163" s="11">
        <v>12055</v>
      </c>
      <c r="V163" s="12">
        <v>1933</v>
      </c>
      <c r="W163" s="13">
        <v>36489</v>
      </c>
      <c r="X163" s="14">
        <v>1999</v>
      </c>
      <c r="Y163" s="13" t="s">
        <v>94</v>
      </c>
      <c r="Z163" s="13" t="s">
        <v>94</v>
      </c>
      <c r="AA163" s="13" t="s">
        <v>94</v>
      </c>
      <c r="AB163" s="13" t="s">
        <v>94</v>
      </c>
      <c r="AC163" s="13" t="s">
        <v>94</v>
      </c>
      <c r="AD163" s="14"/>
      <c r="AE163" s="27"/>
      <c r="AF163" s="8" t="s">
        <v>106</v>
      </c>
      <c r="AG163" s="16">
        <v>1250000</v>
      </c>
      <c r="AH163" s="16">
        <v>1250000</v>
      </c>
      <c r="AI163" s="16">
        <v>2353608.94</v>
      </c>
      <c r="AJ163" s="16" t="s">
        <v>76</v>
      </c>
      <c r="AK163" s="28" t="s">
        <v>94</v>
      </c>
      <c r="AL163" s="28" t="s">
        <v>94</v>
      </c>
      <c r="AM163" s="28" t="s">
        <v>94</v>
      </c>
      <c r="AN163" s="10" t="s">
        <v>64</v>
      </c>
      <c r="AO163" s="8" t="s">
        <v>3758</v>
      </c>
      <c r="AP163" s="15">
        <v>1</v>
      </c>
      <c r="AQ163" s="15" t="s">
        <v>94</v>
      </c>
      <c r="AR163" s="8" t="s">
        <v>3769</v>
      </c>
      <c r="AS163" s="10" t="s">
        <v>3781</v>
      </c>
      <c r="AT163" s="10" t="s">
        <v>3795</v>
      </c>
      <c r="AU163" s="96"/>
      <c r="AV163" s="17" t="s">
        <v>1628</v>
      </c>
      <c r="AW163" s="10"/>
      <c r="AX163" s="7" t="s">
        <v>577</v>
      </c>
      <c r="AY163" s="10" t="s">
        <v>1629</v>
      </c>
      <c r="AZ163" s="10" t="s">
        <v>1630</v>
      </c>
      <c r="BA163" s="10" t="s">
        <v>1631</v>
      </c>
      <c r="BB163" s="18"/>
      <c r="BC163" s="41" t="s">
        <v>1632</v>
      </c>
    </row>
    <row r="164" spans="1:55" ht="70" customHeight="1" x14ac:dyDescent="0.2">
      <c r="A164" s="88" t="s">
        <v>4348</v>
      </c>
      <c r="B164" s="6" t="s">
        <v>1633</v>
      </c>
      <c r="C164" s="7" t="s">
        <v>1625</v>
      </c>
      <c r="D164" s="8" t="s">
        <v>279</v>
      </c>
      <c r="E164" s="8" t="s">
        <v>280</v>
      </c>
      <c r="F164" s="9" t="s">
        <v>1615</v>
      </c>
      <c r="G164" s="9" t="s">
        <v>1616</v>
      </c>
      <c r="H164" s="10" t="s">
        <v>4154</v>
      </c>
      <c r="I164" s="10" t="s">
        <v>140</v>
      </c>
      <c r="J164" s="7" t="s">
        <v>1634</v>
      </c>
      <c r="K164" s="10" t="s">
        <v>55</v>
      </c>
      <c r="L164" s="30" t="s">
        <v>2042</v>
      </c>
      <c r="M164" s="30" t="s">
        <v>537</v>
      </c>
      <c r="N164" s="30" t="s">
        <v>4185</v>
      </c>
      <c r="O164" s="30" t="s">
        <v>4185</v>
      </c>
      <c r="P164" s="8" t="s">
        <v>144</v>
      </c>
      <c r="Q164" s="10" t="s">
        <v>1627</v>
      </c>
      <c r="R164" s="10" t="s">
        <v>177</v>
      </c>
      <c r="S164" s="10" t="s">
        <v>59</v>
      </c>
      <c r="T164" s="8" t="s">
        <v>60</v>
      </c>
      <c r="U164" s="11">
        <v>12055</v>
      </c>
      <c r="V164" s="12">
        <v>1933</v>
      </c>
      <c r="W164" s="13">
        <v>39140</v>
      </c>
      <c r="X164" s="14">
        <v>2007</v>
      </c>
      <c r="Y164" s="13">
        <v>39083</v>
      </c>
      <c r="Z164" s="14">
        <v>2007</v>
      </c>
      <c r="AA164" s="13">
        <v>39083</v>
      </c>
      <c r="AB164" s="14">
        <v>2007</v>
      </c>
      <c r="AC164" s="14">
        <v>0</v>
      </c>
      <c r="AD164" s="15">
        <v>2007</v>
      </c>
      <c r="AE164" s="27"/>
      <c r="AF164" s="8" t="s">
        <v>106</v>
      </c>
      <c r="AG164" s="16">
        <v>135000000</v>
      </c>
      <c r="AH164" s="16">
        <v>135000000</v>
      </c>
      <c r="AI164" s="16">
        <v>204242338.74000001</v>
      </c>
      <c r="AJ164" s="16" t="s">
        <v>76</v>
      </c>
      <c r="AK164" s="28">
        <v>135000000</v>
      </c>
      <c r="AL164" s="16">
        <v>135000000</v>
      </c>
      <c r="AM164" s="16">
        <v>204242338.74000001</v>
      </c>
      <c r="AN164" s="10" t="s">
        <v>64</v>
      </c>
      <c r="AO164" s="8" t="s">
        <v>3757</v>
      </c>
      <c r="AP164" s="43">
        <v>5500</v>
      </c>
      <c r="AQ164" s="43">
        <v>5500</v>
      </c>
      <c r="AR164" s="10" t="s">
        <v>3774</v>
      </c>
      <c r="AS164" s="10" t="s">
        <v>3781</v>
      </c>
      <c r="AT164" s="10" t="s">
        <v>3795</v>
      </c>
      <c r="AU164" s="96"/>
      <c r="AV164" s="17" t="s">
        <v>1635</v>
      </c>
      <c r="AW164" s="10"/>
      <c r="AX164" s="7" t="s">
        <v>577</v>
      </c>
      <c r="AY164" s="10" t="s">
        <v>1636</v>
      </c>
      <c r="AZ164" s="10" t="s">
        <v>1637</v>
      </c>
      <c r="BA164" s="10" t="s">
        <v>1638</v>
      </c>
      <c r="BB164" s="18"/>
      <c r="BC164" s="41" t="s">
        <v>1639</v>
      </c>
    </row>
    <row r="165" spans="1:55" ht="70" customHeight="1" x14ac:dyDescent="0.2">
      <c r="A165" s="88" t="s">
        <v>4349</v>
      </c>
      <c r="B165" s="6" t="s">
        <v>1640</v>
      </c>
      <c r="C165" s="7" t="s">
        <v>1614</v>
      </c>
      <c r="D165" s="8" t="s">
        <v>49</v>
      </c>
      <c r="E165" s="8" t="s">
        <v>50</v>
      </c>
      <c r="F165" s="9" t="s">
        <v>1615</v>
      </c>
      <c r="G165" s="9" t="s">
        <v>1616</v>
      </c>
      <c r="H165" s="10" t="s">
        <v>4154</v>
      </c>
      <c r="I165" s="10" t="s">
        <v>140</v>
      </c>
      <c r="J165" s="7" t="s">
        <v>1641</v>
      </c>
      <c r="K165" s="10" t="s">
        <v>49</v>
      </c>
      <c r="L165" s="9" t="s">
        <v>1642</v>
      </c>
      <c r="M165" s="9" t="s">
        <v>1643</v>
      </c>
      <c r="N165" s="10" t="s">
        <v>4156</v>
      </c>
      <c r="O165" s="8" t="s">
        <v>53</v>
      </c>
      <c r="P165" s="8" t="s">
        <v>144</v>
      </c>
      <c r="Q165" s="10" t="s">
        <v>1644</v>
      </c>
      <c r="R165" s="10" t="s">
        <v>383</v>
      </c>
      <c r="S165" s="10"/>
      <c r="T165" s="8" t="s">
        <v>73</v>
      </c>
      <c r="U165" s="11">
        <v>4384</v>
      </c>
      <c r="V165" s="12">
        <v>1912</v>
      </c>
      <c r="W165" s="13">
        <v>39690</v>
      </c>
      <c r="X165" s="14">
        <v>2008</v>
      </c>
      <c r="Y165" s="13" t="s">
        <v>94</v>
      </c>
      <c r="Z165" s="13" t="s">
        <v>94</v>
      </c>
      <c r="AA165" s="13" t="s">
        <v>94</v>
      </c>
      <c r="AB165" s="13" t="s">
        <v>94</v>
      </c>
      <c r="AC165" s="13" t="s">
        <v>94</v>
      </c>
      <c r="AD165" s="14"/>
      <c r="AE165" s="27" t="s">
        <v>1645</v>
      </c>
      <c r="AF165" s="8" t="s">
        <v>106</v>
      </c>
      <c r="AG165" s="16">
        <v>5000000000</v>
      </c>
      <c r="AH165" s="16">
        <v>5000000000</v>
      </c>
      <c r="AI165" s="16">
        <v>7284826500.3299999</v>
      </c>
      <c r="AJ165" s="16" t="s">
        <v>76</v>
      </c>
      <c r="AK165" s="28" t="s">
        <v>94</v>
      </c>
      <c r="AL165" s="28" t="s">
        <v>94</v>
      </c>
      <c r="AM165" s="28" t="s">
        <v>94</v>
      </c>
      <c r="AN165" s="54" t="s">
        <v>3755</v>
      </c>
      <c r="AO165" s="8" t="s">
        <v>150</v>
      </c>
      <c r="AP165" s="15" t="s">
        <v>151</v>
      </c>
      <c r="AQ165" s="15" t="s">
        <v>151</v>
      </c>
      <c r="AR165" s="8" t="s">
        <v>3759</v>
      </c>
      <c r="AS165" s="10" t="s">
        <v>3805</v>
      </c>
      <c r="AT165" s="10" t="s">
        <v>3795</v>
      </c>
      <c r="AU165" s="96"/>
      <c r="AV165" s="17" t="s">
        <v>1646</v>
      </c>
      <c r="AW165" s="10"/>
      <c r="AX165" s="7" t="s">
        <v>3832</v>
      </c>
      <c r="AY165" s="10" t="s">
        <v>1647</v>
      </c>
      <c r="AZ165" s="10" t="s">
        <v>1648</v>
      </c>
      <c r="BA165" s="10" t="s">
        <v>1649</v>
      </c>
      <c r="BB165" s="18"/>
      <c r="BC165" s="41" t="s">
        <v>1650</v>
      </c>
    </row>
    <row r="166" spans="1:55" ht="70" customHeight="1" x14ac:dyDescent="0.2">
      <c r="A166" s="88" t="s">
        <v>4350</v>
      </c>
      <c r="B166" s="6" t="s">
        <v>1651</v>
      </c>
      <c r="C166" s="7" t="s">
        <v>1614</v>
      </c>
      <c r="D166" s="8" t="s">
        <v>49</v>
      </c>
      <c r="E166" s="8" t="s">
        <v>50</v>
      </c>
      <c r="F166" s="9" t="s">
        <v>1615</v>
      </c>
      <c r="G166" s="9" t="s">
        <v>1616</v>
      </c>
      <c r="H166" s="10" t="s">
        <v>4154</v>
      </c>
      <c r="I166" s="10" t="s">
        <v>140</v>
      </c>
      <c r="J166" s="7" t="s">
        <v>1652</v>
      </c>
      <c r="K166" s="10" t="s">
        <v>55</v>
      </c>
      <c r="L166" s="30" t="s">
        <v>2042</v>
      </c>
      <c r="M166" s="30" t="s">
        <v>537</v>
      </c>
      <c r="N166" s="30" t="s">
        <v>4185</v>
      </c>
      <c r="O166" s="30" t="s">
        <v>4185</v>
      </c>
      <c r="P166" s="8" t="s">
        <v>144</v>
      </c>
      <c r="Q166" s="10" t="s">
        <v>1653</v>
      </c>
      <c r="R166" s="10" t="s">
        <v>177</v>
      </c>
      <c r="S166" s="10"/>
      <c r="T166" s="8" t="s">
        <v>73</v>
      </c>
      <c r="U166" s="11">
        <v>12055</v>
      </c>
      <c r="V166" s="12">
        <v>1933</v>
      </c>
      <c r="W166" s="13">
        <v>44652</v>
      </c>
      <c r="X166" s="14">
        <v>2022</v>
      </c>
      <c r="Y166" s="13" t="s">
        <v>94</v>
      </c>
      <c r="Z166" s="13" t="s">
        <v>94</v>
      </c>
      <c r="AA166" s="13" t="s">
        <v>94</v>
      </c>
      <c r="AB166" s="13" t="s">
        <v>94</v>
      </c>
      <c r="AC166" s="13" t="s">
        <v>94</v>
      </c>
      <c r="AD166" s="15"/>
      <c r="AE166" s="27" t="s">
        <v>1654</v>
      </c>
      <c r="AF166" s="8" t="s">
        <v>75</v>
      </c>
      <c r="AG166" s="16">
        <v>61000000</v>
      </c>
      <c r="AH166" s="16">
        <v>67000000</v>
      </c>
      <c r="AI166" s="16">
        <v>71815492.640000001</v>
      </c>
      <c r="AJ166" s="16" t="s">
        <v>76</v>
      </c>
      <c r="AK166" s="28" t="s">
        <v>94</v>
      </c>
      <c r="AL166" s="16" t="s">
        <v>94</v>
      </c>
      <c r="AM166" s="16" t="s">
        <v>94</v>
      </c>
      <c r="AN166" s="10" t="s">
        <v>64</v>
      </c>
      <c r="AO166" s="8" t="s">
        <v>3757</v>
      </c>
      <c r="AP166" s="15" t="s">
        <v>94</v>
      </c>
      <c r="AQ166" s="15" t="s">
        <v>94</v>
      </c>
      <c r="AR166" s="8" t="s">
        <v>3764</v>
      </c>
      <c r="AS166" s="69" t="s">
        <v>3819</v>
      </c>
      <c r="AT166" s="10" t="s">
        <v>3794</v>
      </c>
      <c r="AU166" s="96"/>
      <c r="AV166" s="17"/>
      <c r="AW166" s="10"/>
      <c r="AX166" s="7" t="s">
        <v>3834</v>
      </c>
      <c r="AY166" s="10" t="s">
        <v>1655</v>
      </c>
      <c r="AZ166" s="10" t="s">
        <v>4120</v>
      </c>
      <c r="BA166" s="10" t="s">
        <v>1656</v>
      </c>
      <c r="BB166" s="18" t="s">
        <v>1657</v>
      </c>
      <c r="BC166" s="41" t="s">
        <v>1658</v>
      </c>
    </row>
    <row r="167" spans="1:55" ht="69" customHeight="1" x14ac:dyDescent="0.2">
      <c r="A167" s="88" t="s">
        <v>4351</v>
      </c>
      <c r="B167" s="6" t="s">
        <v>1659</v>
      </c>
      <c r="C167" s="7" t="s">
        <v>1660</v>
      </c>
      <c r="D167" s="8" t="s">
        <v>49</v>
      </c>
      <c r="E167" s="8" t="s">
        <v>50</v>
      </c>
      <c r="F167" s="9" t="s">
        <v>1661</v>
      </c>
      <c r="G167" s="9" t="s">
        <v>1662</v>
      </c>
      <c r="H167" s="10" t="s">
        <v>4153</v>
      </c>
      <c r="I167" s="10" t="s">
        <v>140</v>
      </c>
      <c r="J167" s="7" t="s">
        <v>1663</v>
      </c>
      <c r="K167" s="10" t="s">
        <v>49</v>
      </c>
      <c r="L167" s="30" t="s">
        <v>2042</v>
      </c>
      <c r="M167" s="30" t="s">
        <v>537</v>
      </c>
      <c r="N167" s="30" t="s">
        <v>4185</v>
      </c>
      <c r="O167" s="30" t="s">
        <v>4185</v>
      </c>
      <c r="P167" s="8" t="s">
        <v>144</v>
      </c>
      <c r="Q167" s="10" t="s">
        <v>1664</v>
      </c>
      <c r="R167" s="10" t="s">
        <v>529</v>
      </c>
      <c r="S167" s="10"/>
      <c r="T167" s="8" t="s">
        <v>73</v>
      </c>
      <c r="U167" s="11">
        <v>13703</v>
      </c>
      <c r="V167" s="12">
        <v>1937</v>
      </c>
      <c r="W167" s="13">
        <v>18879</v>
      </c>
      <c r="X167" s="14">
        <v>1951</v>
      </c>
      <c r="Y167" s="13">
        <v>20090</v>
      </c>
      <c r="Z167" s="15">
        <v>1955</v>
      </c>
      <c r="AA167" s="13">
        <v>28126</v>
      </c>
      <c r="AB167" s="15">
        <v>1977</v>
      </c>
      <c r="AC167" s="15">
        <v>22</v>
      </c>
      <c r="AD167" s="15">
        <v>2000</v>
      </c>
      <c r="AE167" s="27" t="s">
        <v>1665</v>
      </c>
      <c r="AF167" s="8" t="s">
        <v>1666</v>
      </c>
      <c r="AG167" s="16">
        <v>946000000000</v>
      </c>
      <c r="AH167" s="16">
        <v>8778319727.8400002</v>
      </c>
      <c r="AI167" s="16">
        <v>15991070482.620001</v>
      </c>
      <c r="AJ167" s="16" t="s">
        <v>63</v>
      </c>
      <c r="AK167" s="16">
        <v>946000000000</v>
      </c>
      <c r="AL167" s="16">
        <v>8778319727.8400002</v>
      </c>
      <c r="AM167" s="16">
        <v>15991070482.620001</v>
      </c>
      <c r="AN167" s="10" t="s">
        <v>149</v>
      </c>
      <c r="AO167" s="8" t="s">
        <v>150</v>
      </c>
      <c r="AP167" s="15" t="s">
        <v>151</v>
      </c>
      <c r="AQ167" s="15" t="s">
        <v>151</v>
      </c>
      <c r="AR167" s="10" t="s">
        <v>3771</v>
      </c>
      <c r="AS167" s="10" t="s">
        <v>3810</v>
      </c>
      <c r="AT167" s="10" t="s">
        <v>3795</v>
      </c>
      <c r="AU167" s="96"/>
      <c r="AV167" s="17" t="s">
        <v>1667</v>
      </c>
      <c r="AW167" s="10" t="s">
        <v>1668</v>
      </c>
      <c r="AX167" s="7" t="s">
        <v>3833</v>
      </c>
      <c r="AY167" s="10" t="s">
        <v>1669</v>
      </c>
      <c r="AZ167" s="10" t="s">
        <v>1670</v>
      </c>
      <c r="BA167" s="10" t="s">
        <v>1671</v>
      </c>
      <c r="BB167" s="18" t="s">
        <v>1672</v>
      </c>
      <c r="BC167" s="41" t="s">
        <v>1673</v>
      </c>
    </row>
    <row r="168" spans="1:55" ht="69" customHeight="1" x14ac:dyDescent="0.2">
      <c r="A168" s="88" t="s">
        <v>4352</v>
      </c>
      <c r="B168" s="6" t="s">
        <v>1674</v>
      </c>
      <c r="C168" s="7" t="s">
        <v>1660</v>
      </c>
      <c r="D168" s="8" t="s">
        <v>49</v>
      </c>
      <c r="E168" s="8" t="s">
        <v>50</v>
      </c>
      <c r="F168" s="9" t="s">
        <v>1661</v>
      </c>
      <c r="G168" s="9" t="s">
        <v>1662</v>
      </c>
      <c r="H168" s="10" t="s">
        <v>4153</v>
      </c>
      <c r="I168" s="10" t="s">
        <v>140</v>
      </c>
      <c r="J168" s="7" t="s">
        <v>1675</v>
      </c>
      <c r="K168" s="10" t="s">
        <v>55</v>
      </c>
      <c r="L168" s="9" t="s">
        <v>1661</v>
      </c>
      <c r="M168" s="9" t="s">
        <v>1662</v>
      </c>
      <c r="N168" s="10" t="s">
        <v>4153</v>
      </c>
      <c r="O168" s="8" t="s">
        <v>140</v>
      </c>
      <c r="P168" s="8" t="s">
        <v>56</v>
      </c>
      <c r="Q168" s="10" t="s">
        <v>1676</v>
      </c>
      <c r="R168" s="10" t="s">
        <v>529</v>
      </c>
      <c r="S168" s="10"/>
      <c r="T168" s="8" t="s">
        <v>73</v>
      </c>
      <c r="U168" s="11">
        <v>16655</v>
      </c>
      <c r="V168" s="12">
        <v>1945</v>
      </c>
      <c r="W168" s="13">
        <v>34669</v>
      </c>
      <c r="X168" s="14">
        <v>1994</v>
      </c>
      <c r="Y168" s="13">
        <v>34881</v>
      </c>
      <c r="Z168" s="15">
        <v>1995</v>
      </c>
      <c r="AA168" s="13" t="s">
        <v>94</v>
      </c>
      <c r="AB168" s="13" t="s">
        <v>94</v>
      </c>
      <c r="AC168" s="13" t="s">
        <v>94</v>
      </c>
      <c r="AD168" s="13"/>
      <c r="AE168" s="27" t="s">
        <v>1677</v>
      </c>
      <c r="AF168" s="8" t="s">
        <v>1666</v>
      </c>
      <c r="AG168" s="16">
        <v>151000000000</v>
      </c>
      <c r="AH168" s="16">
        <v>1500000000</v>
      </c>
      <c r="AI168" s="16">
        <v>3174989878.54</v>
      </c>
      <c r="AJ168" s="16" t="s">
        <v>76</v>
      </c>
      <c r="AK168" s="28" t="s">
        <v>94</v>
      </c>
      <c r="AL168" s="16" t="s">
        <v>94</v>
      </c>
      <c r="AM168" s="16" t="s">
        <v>94</v>
      </c>
      <c r="AN168" s="54" t="s">
        <v>3755</v>
      </c>
      <c r="AO168" s="8" t="s">
        <v>3756</v>
      </c>
      <c r="AP168" s="15" t="s">
        <v>94</v>
      </c>
      <c r="AQ168" s="15" t="s">
        <v>94</v>
      </c>
      <c r="AR168" s="8" t="s">
        <v>3762</v>
      </c>
      <c r="AS168" s="10" t="s">
        <v>3806</v>
      </c>
      <c r="AT168" s="10" t="s">
        <v>3795</v>
      </c>
      <c r="AU168" s="96"/>
      <c r="AV168" s="17" t="s">
        <v>1678</v>
      </c>
      <c r="AW168" s="10" t="s">
        <v>1679</v>
      </c>
      <c r="AX168" s="7" t="s">
        <v>3835</v>
      </c>
      <c r="AY168" s="10" t="s">
        <v>1680</v>
      </c>
      <c r="AZ168" s="10" t="s">
        <v>4121</v>
      </c>
      <c r="BA168" s="10" t="s">
        <v>1681</v>
      </c>
      <c r="BB168" s="18" t="s">
        <v>1682</v>
      </c>
      <c r="BC168" s="41" t="s">
        <v>1683</v>
      </c>
    </row>
    <row r="169" spans="1:55" ht="70" customHeight="1" x14ac:dyDescent="0.2">
      <c r="A169" s="88" t="s">
        <v>4353</v>
      </c>
      <c r="B169" s="6" t="s">
        <v>1684</v>
      </c>
      <c r="C169" s="7" t="s">
        <v>1685</v>
      </c>
      <c r="D169" s="8" t="s">
        <v>49</v>
      </c>
      <c r="E169" s="8" t="s">
        <v>50</v>
      </c>
      <c r="F169" s="9" t="s">
        <v>1661</v>
      </c>
      <c r="G169" s="9" t="s">
        <v>1662</v>
      </c>
      <c r="H169" s="10" t="s">
        <v>4153</v>
      </c>
      <c r="I169" s="10" t="s">
        <v>140</v>
      </c>
      <c r="J169" s="7" t="s">
        <v>1686</v>
      </c>
      <c r="K169" s="10" t="s">
        <v>55</v>
      </c>
      <c r="L169" s="30" t="s">
        <v>2042</v>
      </c>
      <c r="M169" s="30" t="s">
        <v>537</v>
      </c>
      <c r="N169" s="30" t="s">
        <v>4185</v>
      </c>
      <c r="O169" s="30" t="s">
        <v>4185</v>
      </c>
      <c r="P169" s="8" t="s">
        <v>144</v>
      </c>
      <c r="Q169" s="10" t="s">
        <v>1687</v>
      </c>
      <c r="R169" s="10" t="s">
        <v>240</v>
      </c>
      <c r="S169" s="10"/>
      <c r="T169" s="8" t="s">
        <v>60</v>
      </c>
      <c r="U169" s="11">
        <v>14881</v>
      </c>
      <c r="V169" s="12">
        <v>1940</v>
      </c>
      <c r="W169" s="13" t="s">
        <v>94</v>
      </c>
      <c r="X169" s="14">
        <v>1994</v>
      </c>
      <c r="Y169" s="13">
        <v>34700</v>
      </c>
      <c r="Z169" s="14">
        <v>1995</v>
      </c>
      <c r="AA169" s="13">
        <v>39083</v>
      </c>
      <c r="AB169" s="15">
        <v>2007</v>
      </c>
      <c r="AC169" s="15">
        <v>12</v>
      </c>
      <c r="AD169" s="15">
        <v>1995</v>
      </c>
      <c r="AE169" s="27" t="s">
        <v>1688</v>
      </c>
      <c r="AF169" s="8" t="s">
        <v>1666</v>
      </c>
      <c r="AG169" s="16">
        <v>5400000000</v>
      </c>
      <c r="AH169" s="16">
        <v>45000000</v>
      </c>
      <c r="AI169" s="16">
        <v>92624704.719999999</v>
      </c>
      <c r="AJ169" s="16" t="s">
        <v>63</v>
      </c>
      <c r="AK169" s="16">
        <v>5400000000</v>
      </c>
      <c r="AL169" s="16">
        <v>45000000</v>
      </c>
      <c r="AM169" s="16">
        <v>92624704.719999999</v>
      </c>
      <c r="AN169" s="54" t="s">
        <v>3755</v>
      </c>
      <c r="AO169" s="8" t="s">
        <v>3756</v>
      </c>
      <c r="AP169" s="15">
        <v>285</v>
      </c>
      <c r="AQ169" s="15">
        <v>285</v>
      </c>
      <c r="AR169" s="8" t="s">
        <v>3765</v>
      </c>
      <c r="AS169" s="10" t="s">
        <v>3816</v>
      </c>
      <c r="AT169" s="10" t="s">
        <v>3795</v>
      </c>
      <c r="AU169" s="96"/>
      <c r="AV169" s="17" t="s">
        <v>1689</v>
      </c>
      <c r="AW169" s="10" t="s">
        <v>1668</v>
      </c>
      <c r="AX169" s="7" t="s">
        <v>3833</v>
      </c>
      <c r="AY169" s="10" t="s">
        <v>1690</v>
      </c>
      <c r="AZ169" s="10" t="s">
        <v>1691</v>
      </c>
      <c r="BA169" s="10" t="s">
        <v>1692</v>
      </c>
      <c r="BB169" s="18" t="s">
        <v>1693</v>
      </c>
      <c r="BC169" s="41" t="s">
        <v>1694</v>
      </c>
    </row>
    <row r="170" spans="1:55" ht="70" customHeight="1" x14ac:dyDescent="0.2">
      <c r="A170" s="88" t="s">
        <v>4354</v>
      </c>
      <c r="B170" s="6" t="s">
        <v>1695</v>
      </c>
      <c r="C170" s="7" t="s">
        <v>1696</v>
      </c>
      <c r="D170" s="8" t="s">
        <v>279</v>
      </c>
      <c r="E170" s="8" t="s">
        <v>280</v>
      </c>
      <c r="F170" s="9" t="s">
        <v>1661</v>
      </c>
      <c r="G170" s="9" t="s">
        <v>1662</v>
      </c>
      <c r="H170" s="10" t="s">
        <v>4153</v>
      </c>
      <c r="I170" s="10" t="s">
        <v>140</v>
      </c>
      <c r="J170" s="7" t="s">
        <v>1697</v>
      </c>
      <c r="K170" s="10" t="s">
        <v>55</v>
      </c>
      <c r="L170" s="9" t="s">
        <v>919</v>
      </c>
      <c r="M170" s="9" t="s">
        <v>920</v>
      </c>
      <c r="N170" s="10" t="s">
        <v>4153</v>
      </c>
      <c r="O170" s="8" t="s">
        <v>53</v>
      </c>
      <c r="P170" s="8" t="s">
        <v>144</v>
      </c>
      <c r="Q170" s="10" t="s">
        <v>1698</v>
      </c>
      <c r="R170" s="10" t="s">
        <v>1227</v>
      </c>
      <c r="S170" s="10"/>
      <c r="T170" s="8" t="s">
        <v>73</v>
      </c>
      <c r="U170" s="11">
        <v>14489</v>
      </c>
      <c r="V170" s="12">
        <v>1939</v>
      </c>
      <c r="W170" s="13">
        <v>36860</v>
      </c>
      <c r="X170" s="14">
        <v>2000</v>
      </c>
      <c r="Y170" s="13">
        <v>36526</v>
      </c>
      <c r="Z170" s="14">
        <v>2000</v>
      </c>
      <c r="AA170" s="13">
        <v>36892</v>
      </c>
      <c r="AB170" s="14">
        <v>2001</v>
      </c>
      <c r="AC170" s="14">
        <v>1</v>
      </c>
      <c r="AD170" s="14">
        <v>2001</v>
      </c>
      <c r="AE170" s="27" t="s">
        <v>1699</v>
      </c>
      <c r="AF170" s="8" t="s">
        <v>1666</v>
      </c>
      <c r="AG170" s="16">
        <v>500000000</v>
      </c>
      <c r="AH170" s="16">
        <v>4600000</v>
      </c>
      <c r="AI170" s="16">
        <v>8379613.2400000002</v>
      </c>
      <c r="AJ170" s="16" t="s">
        <v>76</v>
      </c>
      <c r="AK170" s="16">
        <v>5250000</v>
      </c>
      <c r="AL170" s="16">
        <v>42000</v>
      </c>
      <c r="AM170" s="28">
        <v>74392.649999999994</v>
      </c>
      <c r="AN170" s="54" t="s">
        <v>3755</v>
      </c>
      <c r="AO170" s="8" t="s">
        <v>3757</v>
      </c>
      <c r="AP170" s="43">
        <v>1000</v>
      </c>
      <c r="AQ170" s="15">
        <v>21</v>
      </c>
      <c r="AR170" s="8" t="s">
        <v>3764</v>
      </c>
      <c r="AS170" s="10" t="s">
        <v>3819</v>
      </c>
      <c r="AT170" s="10" t="s">
        <v>1700</v>
      </c>
      <c r="AU170" s="96"/>
      <c r="AV170" s="17" t="s">
        <v>1701</v>
      </c>
      <c r="AW170" s="10"/>
      <c r="AX170" s="7" t="s">
        <v>4034</v>
      </c>
      <c r="AY170" s="10" t="s">
        <v>1702</v>
      </c>
      <c r="AZ170" s="10" t="s">
        <v>1703</v>
      </c>
      <c r="BA170" s="10" t="s">
        <v>1704</v>
      </c>
      <c r="BB170" s="18" t="s">
        <v>1705</v>
      </c>
      <c r="BC170" s="41" t="s">
        <v>1706</v>
      </c>
    </row>
    <row r="171" spans="1:55" ht="70" customHeight="1" x14ac:dyDescent="0.2">
      <c r="A171" s="88" t="s">
        <v>4355</v>
      </c>
      <c r="B171" s="6" t="s">
        <v>1707</v>
      </c>
      <c r="C171" s="7" t="s">
        <v>1660</v>
      </c>
      <c r="D171" s="8" t="s">
        <v>49</v>
      </c>
      <c r="E171" s="8" t="s">
        <v>50</v>
      </c>
      <c r="F171" s="9" t="s">
        <v>1661</v>
      </c>
      <c r="G171" s="9" t="s">
        <v>1662</v>
      </c>
      <c r="H171" s="10" t="s">
        <v>4153</v>
      </c>
      <c r="I171" s="10" t="s">
        <v>140</v>
      </c>
      <c r="J171" s="7" t="s">
        <v>1708</v>
      </c>
      <c r="K171" s="10" t="s">
        <v>55</v>
      </c>
      <c r="L171" s="9" t="s">
        <v>1661</v>
      </c>
      <c r="M171" s="9" t="s">
        <v>1662</v>
      </c>
      <c r="N171" s="10" t="s">
        <v>4153</v>
      </c>
      <c r="O171" s="8" t="s">
        <v>140</v>
      </c>
      <c r="P171" s="8" t="s">
        <v>56</v>
      </c>
      <c r="Q171" s="10" t="s">
        <v>1709</v>
      </c>
      <c r="R171" s="10" t="s">
        <v>584</v>
      </c>
      <c r="S171" s="10"/>
      <c r="T171" s="8" t="s">
        <v>60</v>
      </c>
      <c r="U171" s="11">
        <v>19360</v>
      </c>
      <c r="V171" s="12">
        <v>1953</v>
      </c>
      <c r="W171" s="13">
        <v>37012</v>
      </c>
      <c r="X171" s="14">
        <v>2001</v>
      </c>
      <c r="Y171" s="13">
        <v>36892</v>
      </c>
      <c r="Z171" s="14">
        <v>2001</v>
      </c>
      <c r="AA171" s="13">
        <v>36892</v>
      </c>
      <c r="AB171" s="14">
        <v>2001</v>
      </c>
      <c r="AC171" s="15">
        <v>0</v>
      </c>
      <c r="AD171" s="14">
        <v>2001</v>
      </c>
      <c r="AE171" s="27"/>
      <c r="AF171" s="8" t="s">
        <v>1666</v>
      </c>
      <c r="AG171" s="16">
        <v>1820000000</v>
      </c>
      <c r="AH171" s="16">
        <v>15000000</v>
      </c>
      <c r="AI171" s="16">
        <v>26568802.940000001</v>
      </c>
      <c r="AJ171" s="16" t="s">
        <v>76</v>
      </c>
      <c r="AK171" s="28">
        <v>1820000000</v>
      </c>
      <c r="AL171" s="16">
        <v>15000000</v>
      </c>
      <c r="AM171" s="16">
        <v>26568802.940000001</v>
      </c>
      <c r="AN171" s="10" t="s">
        <v>64</v>
      </c>
      <c r="AO171" s="8" t="s">
        <v>3756</v>
      </c>
      <c r="AP171" s="15">
        <v>127</v>
      </c>
      <c r="AQ171" s="15">
        <v>127</v>
      </c>
      <c r="AR171" s="8" t="s">
        <v>3762</v>
      </c>
      <c r="AS171" s="10" t="s">
        <v>269</v>
      </c>
      <c r="AT171" s="10" t="s">
        <v>3795</v>
      </c>
      <c r="AU171" s="96"/>
      <c r="AV171" s="17" t="s">
        <v>3900</v>
      </c>
      <c r="AW171" s="10" t="s">
        <v>1660</v>
      </c>
      <c r="AX171" s="7" t="s">
        <v>3836</v>
      </c>
      <c r="AY171" s="10" t="s">
        <v>1710</v>
      </c>
      <c r="AZ171" s="10" t="s">
        <v>1711</v>
      </c>
      <c r="BA171" s="10" t="s">
        <v>1712</v>
      </c>
      <c r="BB171" s="18" t="s">
        <v>157</v>
      </c>
      <c r="BC171" s="41" t="s">
        <v>1713</v>
      </c>
    </row>
    <row r="172" spans="1:55" ht="70" customHeight="1" x14ac:dyDescent="0.2">
      <c r="A172" s="88" t="s">
        <v>4356</v>
      </c>
      <c r="B172" s="6" t="s">
        <v>1714</v>
      </c>
      <c r="C172" s="7" t="s">
        <v>1660</v>
      </c>
      <c r="D172" s="8" t="s">
        <v>49</v>
      </c>
      <c r="E172" s="8" t="s">
        <v>50</v>
      </c>
      <c r="F172" s="9" t="s">
        <v>1661</v>
      </c>
      <c r="G172" s="9" t="s">
        <v>1662</v>
      </c>
      <c r="H172" s="10" t="s">
        <v>4153</v>
      </c>
      <c r="I172" s="10" t="s">
        <v>140</v>
      </c>
      <c r="J172" s="7" t="s">
        <v>1715</v>
      </c>
      <c r="K172" s="10" t="s">
        <v>55</v>
      </c>
      <c r="L172" s="9" t="s">
        <v>4578</v>
      </c>
      <c r="M172" s="9" t="s">
        <v>1716</v>
      </c>
      <c r="N172" s="10" t="s">
        <v>4153</v>
      </c>
      <c r="O172" s="8" t="s">
        <v>140</v>
      </c>
      <c r="P172" s="8" t="s">
        <v>144</v>
      </c>
      <c r="Q172" s="10" t="s">
        <v>1717</v>
      </c>
      <c r="R172" s="10" t="s">
        <v>240</v>
      </c>
      <c r="S172" s="10"/>
      <c r="T172" s="8" t="s">
        <v>60</v>
      </c>
      <c r="U172" s="11">
        <v>3654</v>
      </c>
      <c r="V172" s="12">
        <v>1910</v>
      </c>
      <c r="W172" s="13">
        <v>42366</v>
      </c>
      <c r="X172" s="14">
        <v>2015</v>
      </c>
      <c r="Y172" s="13">
        <v>42005</v>
      </c>
      <c r="Z172" s="14">
        <v>2015</v>
      </c>
      <c r="AA172" s="13">
        <v>43466</v>
      </c>
      <c r="AB172" s="14">
        <v>2019</v>
      </c>
      <c r="AC172" s="14">
        <v>4</v>
      </c>
      <c r="AD172" s="15">
        <v>2015</v>
      </c>
      <c r="AE172" s="27" t="s">
        <v>1718</v>
      </c>
      <c r="AF172" s="8" t="s">
        <v>1666</v>
      </c>
      <c r="AG172" s="16">
        <v>1000000000</v>
      </c>
      <c r="AH172" s="16">
        <v>9270000</v>
      </c>
      <c r="AI172" s="16">
        <v>12268727.689999999</v>
      </c>
      <c r="AJ172" s="16" t="s">
        <v>76</v>
      </c>
      <c r="AK172" s="28">
        <v>456000000</v>
      </c>
      <c r="AL172" s="16">
        <v>3767224.34</v>
      </c>
      <c r="AM172" s="16">
        <v>4985873.74</v>
      </c>
      <c r="AN172" s="10" t="s">
        <v>64</v>
      </c>
      <c r="AO172" s="8" t="s">
        <v>3757</v>
      </c>
      <c r="AP172" s="15">
        <v>246</v>
      </c>
      <c r="AQ172" s="15">
        <v>105</v>
      </c>
      <c r="AR172" s="8" t="s">
        <v>3759</v>
      </c>
      <c r="AS172" s="8" t="s">
        <v>292</v>
      </c>
      <c r="AT172" s="10" t="s">
        <v>3795</v>
      </c>
      <c r="AU172" s="96"/>
      <c r="AV172" s="17" t="s">
        <v>1126</v>
      </c>
      <c r="AW172" s="10"/>
      <c r="AX172" s="7" t="s">
        <v>3837</v>
      </c>
      <c r="AY172" s="10" t="s">
        <v>1719</v>
      </c>
      <c r="AZ172" s="10" t="s">
        <v>1720</v>
      </c>
      <c r="BA172" s="10" t="s">
        <v>1721</v>
      </c>
      <c r="BB172" s="18" t="s">
        <v>157</v>
      </c>
      <c r="BC172" s="41" t="s">
        <v>1722</v>
      </c>
    </row>
    <row r="173" spans="1:55" ht="70" customHeight="1" x14ac:dyDescent="0.2">
      <c r="A173" s="88" t="s">
        <v>4357</v>
      </c>
      <c r="B173" s="6" t="s">
        <v>1723</v>
      </c>
      <c r="C173" s="7" t="s">
        <v>1660</v>
      </c>
      <c r="D173" s="8" t="s">
        <v>49</v>
      </c>
      <c r="E173" s="8" t="s">
        <v>50</v>
      </c>
      <c r="F173" s="9" t="s">
        <v>1661</v>
      </c>
      <c r="G173" s="9" t="s">
        <v>1662</v>
      </c>
      <c r="H173" s="10" t="s">
        <v>4153</v>
      </c>
      <c r="I173" s="10" t="s">
        <v>140</v>
      </c>
      <c r="J173" s="7" t="s">
        <v>1724</v>
      </c>
      <c r="K173" s="10" t="s">
        <v>55</v>
      </c>
      <c r="L173" s="9" t="s">
        <v>1661</v>
      </c>
      <c r="M173" s="9" t="s">
        <v>1662</v>
      </c>
      <c r="N173" s="10" t="s">
        <v>4153</v>
      </c>
      <c r="O173" s="8" t="s">
        <v>140</v>
      </c>
      <c r="P173" s="8" t="s">
        <v>56</v>
      </c>
      <c r="Q173" s="10" t="s">
        <v>1725</v>
      </c>
      <c r="R173" s="10" t="s">
        <v>584</v>
      </c>
      <c r="S173" s="10"/>
      <c r="T173" s="8" t="s">
        <v>60</v>
      </c>
      <c r="U173" s="11">
        <v>17533</v>
      </c>
      <c r="V173" s="12">
        <v>1948</v>
      </c>
      <c r="W173" s="13">
        <v>43578</v>
      </c>
      <c r="X173" s="14">
        <v>2019</v>
      </c>
      <c r="Y173" s="13">
        <v>43466</v>
      </c>
      <c r="Z173" s="15">
        <v>2019</v>
      </c>
      <c r="AA173" s="13" t="s">
        <v>94</v>
      </c>
      <c r="AB173" s="13" t="s">
        <v>94</v>
      </c>
      <c r="AC173" s="13" t="s">
        <v>94</v>
      </c>
      <c r="AD173" s="15"/>
      <c r="AE173" s="27"/>
      <c r="AF173" s="8" t="s">
        <v>1666</v>
      </c>
      <c r="AG173" s="28">
        <v>3356800000</v>
      </c>
      <c r="AH173" s="16">
        <v>30793599.559999999</v>
      </c>
      <c r="AI173" s="16">
        <v>37783489.020000003</v>
      </c>
      <c r="AJ173" s="16" t="s">
        <v>76</v>
      </c>
      <c r="AK173" s="28" t="s">
        <v>94</v>
      </c>
      <c r="AL173" s="16" t="s">
        <v>94</v>
      </c>
      <c r="AM173" s="16" t="s">
        <v>94</v>
      </c>
      <c r="AN173" s="10" t="s">
        <v>64</v>
      </c>
      <c r="AO173" s="8" t="s">
        <v>3756</v>
      </c>
      <c r="AP173" s="43">
        <v>1049</v>
      </c>
      <c r="AQ173" s="15" t="s">
        <v>94</v>
      </c>
      <c r="AR173" s="8" t="s">
        <v>3765</v>
      </c>
      <c r="AS173" s="10" t="s">
        <v>3781</v>
      </c>
      <c r="AT173" s="10" t="s">
        <v>3795</v>
      </c>
      <c r="AU173" s="96"/>
      <c r="AV173" s="17" t="s">
        <v>1726</v>
      </c>
      <c r="AW173" s="10"/>
      <c r="AX173" s="7" t="s">
        <v>4035</v>
      </c>
      <c r="AY173" s="10" t="s">
        <v>1727</v>
      </c>
      <c r="AZ173" s="10" t="s">
        <v>1728</v>
      </c>
      <c r="BA173" s="10" t="s">
        <v>1729</v>
      </c>
      <c r="BB173" s="18" t="s">
        <v>1730</v>
      </c>
      <c r="BC173" s="41" t="s">
        <v>1731</v>
      </c>
    </row>
    <row r="174" spans="1:55" ht="70" customHeight="1" x14ac:dyDescent="0.2">
      <c r="A174" s="88" t="s">
        <v>4358</v>
      </c>
      <c r="B174" s="6" t="s">
        <v>1732</v>
      </c>
      <c r="C174" s="7" t="s">
        <v>1660</v>
      </c>
      <c r="D174" s="8" t="s">
        <v>49</v>
      </c>
      <c r="E174" s="8" t="s">
        <v>50</v>
      </c>
      <c r="F174" s="9" t="s">
        <v>1661</v>
      </c>
      <c r="G174" s="9" t="s">
        <v>1662</v>
      </c>
      <c r="H174" s="10" t="s">
        <v>4153</v>
      </c>
      <c r="I174" s="10" t="s">
        <v>140</v>
      </c>
      <c r="J174" s="7" t="s">
        <v>1733</v>
      </c>
      <c r="K174" s="10" t="s">
        <v>55</v>
      </c>
      <c r="L174" s="9" t="s">
        <v>1661</v>
      </c>
      <c r="M174" s="9" t="s">
        <v>1662</v>
      </c>
      <c r="N174" s="10" t="s">
        <v>4153</v>
      </c>
      <c r="O174" s="8" t="s">
        <v>140</v>
      </c>
      <c r="P174" s="8" t="s">
        <v>56</v>
      </c>
      <c r="Q174" s="10" t="s">
        <v>1709</v>
      </c>
      <c r="R174" s="10" t="s">
        <v>584</v>
      </c>
      <c r="S174" s="18"/>
      <c r="T174" s="8" t="s">
        <v>60</v>
      </c>
      <c r="U174" s="11">
        <v>19360</v>
      </c>
      <c r="V174" s="12">
        <v>1953</v>
      </c>
      <c r="W174" s="13" t="s">
        <v>94</v>
      </c>
      <c r="X174" s="14">
        <v>2019</v>
      </c>
      <c r="Y174" s="13" t="s">
        <v>94</v>
      </c>
      <c r="Z174" s="13" t="s">
        <v>94</v>
      </c>
      <c r="AA174" s="13" t="s">
        <v>94</v>
      </c>
      <c r="AB174" s="13" t="s">
        <v>94</v>
      </c>
      <c r="AC174" s="13" t="s">
        <v>94</v>
      </c>
      <c r="AD174" s="15"/>
      <c r="AE174" s="27" t="s">
        <v>119</v>
      </c>
      <c r="AF174" s="8" t="s">
        <v>1666</v>
      </c>
      <c r="AG174" s="16">
        <v>370000000</v>
      </c>
      <c r="AH174" s="16">
        <v>3400000</v>
      </c>
      <c r="AI174" s="16">
        <v>4171771.55</v>
      </c>
      <c r="AJ174" s="16" t="s">
        <v>76</v>
      </c>
      <c r="AK174" s="28" t="s">
        <v>94</v>
      </c>
      <c r="AL174" s="16" t="s">
        <v>94</v>
      </c>
      <c r="AM174" s="16" t="s">
        <v>94</v>
      </c>
      <c r="AN174" s="10" t="s">
        <v>64</v>
      </c>
      <c r="AO174" s="8" t="s">
        <v>3758</v>
      </c>
      <c r="AP174" s="15">
        <v>541</v>
      </c>
      <c r="AQ174" s="15" t="s">
        <v>94</v>
      </c>
      <c r="AR174" s="8" t="s">
        <v>3762</v>
      </c>
      <c r="AS174" s="10" t="s">
        <v>3781</v>
      </c>
      <c r="AT174" s="10" t="s">
        <v>3795</v>
      </c>
      <c r="AU174" s="98"/>
      <c r="AV174" s="17"/>
      <c r="AW174" s="18"/>
      <c r="AX174" s="19" t="s">
        <v>3838</v>
      </c>
      <c r="AY174" s="18" t="s">
        <v>1734</v>
      </c>
      <c r="AZ174" s="18" t="s">
        <v>1735</v>
      </c>
      <c r="BA174" s="18" t="s">
        <v>1736</v>
      </c>
      <c r="BB174" s="18"/>
      <c r="BC174" s="18" t="s">
        <v>4090</v>
      </c>
    </row>
    <row r="175" spans="1:55" ht="70" customHeight="1" x14ac:dyDescent="0.2">
      <c r="A175" s="88" t="s">
        <v>4359</v>
      </c>
      <c r="B175" s="6" t="s">
        <v>1737</v>
      </c>
      <c r="C175" s="7" t="s">
        <v>1660</v>
      </c>
      <c r="D175" s="8" t="s">
        <v>49</v>
      </c>
      <c r="E175" s="8" t="s">
        <v>50</v>
      </c>
      <c r="F175" s="9" t="s">
        <v>1661</v>
      </c>
      <c r="G175" s="9" t="s">
        <v>1662</v>
      </c>
      <c r="H175" s="10" t="s">
        <v>4153</v>
      </c>
      <c r="I175" s="10" t="s">
        <v>140</v>
      </c>
      <c r="J175" s="7" t="s">
        <v>1738</v>
      </c>
      <c r="K175" s="10" t="s">
        <v>55</v>
      </c>
      <c r="L175" s="9" t="s">
        <v>4578</v>
      </c>
      <c r="M175" s="9" t="s">
        <v>1716</v>
      </c>
      <c r="N175" s="10" t="s">
        <v>4153</v>
      </c>
      <c r="O175" s="8" t="s">
        <v>140</v>
      </c>
      <c r="P175" s="8" t="s">
        <v>144</v>
      </c>
      <c r="Q175" s="10" t="s">
        <v>1717</v>
      </c>
      <c r="R175" s="10" t="s">
        <v>240</v>
      </c>
      <c r="S175" s="10"/>
      <c r="T175" s="8" t="s">
        <v>60</v>
      </c>
      <c r="U175" s="11">
        <v>3654</v>
      </c>
      <c r="V175" s="12">
        <v>1910</v>
      </c>
      <c r="W175" s="13">
        <v>44204</v>
      </c>
      <c r="X175" s="14">
        <v>2021</v>
      </c>
      <c r="Y175" s="13" t="s">
        <v>94</v>
      </c>
      <c r="Z175" s="13" t="s">
        <v>94</v>
      </c>
      <c r="AA175" s="13" t="s">
        <v>94</v>
      </c>
      <c r="AB175" s="13" t="s">
        <v>94</v>
      </c>
      <c r="AC175" s="13" t="s">
        <v>94</v>
      </c>
      <c r="AD175" s="15"/>
      <c r="AE175" s="27"/>
      <c r="AF175" s="8" t="s">
        <v>1739</v>
      </c>
      <c r="AG175" s="16">
        <v>1200000000</v>
      </c>
      <c r="AH175" s="16">
        <v>1096320</v>
      </c>
      <c r="AI175" s="16">
        <v>1269157.19</v>
      </c>
      <c r="AJ175" s="16" t="s">
        <v>76</v>
      </c>
      <c r="AK175" s="28" t="s">
        <v>94</v>
      </c>
      <c r="AL175" s="16" t="s">
        <v>94</v>
      </c>
      <c r="AM175" s="16" t="s">
        <v>94</v>
      </c>
      <c r="AN175" s="10" t="s">
        <v>64</v>
      </c>
      <c r="AO175" s="8" t="s">
        <v>3757</v>
      </c>
      <c r="AP175" s="15">
        <v>12</v>
      </c>
      <c r="AQ175" s="15" t="s">
        <v>94</v>
      </c>
      <c r="AR175" s="8" t="s">
        <v>3762</v>
      </c>
      <c r="AS175" s="10" t="s">
        <v>3781</v>
      </c>
      <c r="AT175" s="10" t="s">
        <v>3795</v>
      </c>
      <c r="AU175" s="96"/>
      <c r="AV175" s="17"/>
      <c r="AW175" s="18"/>
      <c r="AX175" s="19" t="s">
        <v>3839</v>
      </c>
      <c r="AY175" s="18" t="s">
        <v>1740</v>
      </c>
      <c r="AZ175" s="18" t="s">
        <v>1741</v>
      </c>
      <c r="BA175" s="18" t="s">
        <v>1742</v>
      </c>
      <c r="BB175" s="18"/>
      <c r="BC175" s="41" t="s">
        <v>1743</v>
      </c>
    </row>
    <row r="176" spans="1:55" ht="70" customHeight="1" x14ac:dyDescent="0.2">
      <c r="A176" s="88" t="s">
        <v>4360</v>
      </c>
      <c r="B176" s="6" t="s">
        <v>1744</v>
      </c>
      <c r="C176" s="7" t="s">
        <v>1660</v>
      </c>
      <c r="D176" s="8" t="s">
        <v>49</v>
      </c>
      <c r="E176" s="8" t="s">
        <v>50</v>
      </c>
      <c r="F176" s="9" t="s">
        <v>1661</v>
      </c>
      <c r="G176" s="9" t="s">
        <v>1662</v>
      </c>
      <c r="H176" s="10" t="s">
        <v>4153</v>
      </c>
      <c r="I176" s="10" t="s">
        <v>140</v>
      </c>
      <c r="J176" s="7" t="s">
        <v>1738</v>
      </c>
      <c r="K176" s="10" t="s">
        <v>55</v>
      </c>
      <c r="L176" s="9" t="s">
        <v>4578</v>
      </c>
      <c r="M176" s="9" t="s">
        <v>1716</v>
      </c>
      <c r="N176" s="10" t="s">
        <v>4153</v>
      </c>
      <c r="O176" s="8" t="s">
        <v>140</v>
      </c>
      <c r="P176" s="8" t="s">
        <v>144</v>
      </c>
      <c r="Q176" s="10" t="s">
        <v>1717</v>
      </c>
      <c r="R176" s="10" t="s">
        <v>240</v>
      </c>
      <c r="S176" s="10"/>
      <c r="T176" s="8" t="s">
        <v>60</v>
      </c>
      <c r="U176" s="11">
        <v>3654</v>
      </c>
      <c r="V176" s="12">
        <v>1910</v>
      </c>
      <c r="W176" s="13">
        <v>45253</v>
      </c>
      <c r="X176" s="14">
        <v>2023</v>
      </c>
      <c r="Y176" s="13" t="s">
        <v>94</v>
      </c>
      <c r="Z176" s="13" t="s">
        <v>94</v>
      </c>
      <c r="AA176" s="13" t="s">
        <v>94</v>
      </c>
      <c r="AB176" s="13" t="s">
        <v>94</v>
      </c>
      <c r="AC176" s="13" t="s">
        <v>94</v>
      </c>
      <c r="AD176" s="15"/>
      <c r="AE176" s="27"/>
      <c r="AF176" s="8" t="s">
        <v>1739</v>
      </c>
      <c r="AG176" s="16">
        <v>3200000000</v>
      </c>
      <c r="AH176" s="16">
        <v>2464000</v>
      </c>
      <c r="AI176" s="16">
        <v>2536674.1800000002</v>
      </c>
      <c r="AJ176" s="16" t="s">
        <v>76</v>
      </c>
      <c r="AK176" s="28" t="s">
        <v>94</v>
      </c>
      <c r="AL176" s="16" t="s">
        <v>94</v>
      </c>
      <c r="AM176" s="16" t="s">
        <v>94</v>
      </c>
      <c r="AN176" s="10" t="s">
        <v>64</v>
      </c>
      <c r="AO176" s="8" t="s">
        <v>3757</v>
      </c>
      <c r="AP176" s="15">
        <v>16</v>
      </c>
      <c r="AQ176" s="15" t="s">
        <v>94</v>
      </c>
      <c r="AR176" s="8" t="s">
        <v>3762</v>
      </c>
      <c r="AS176" s="10" t="s">
        <v>3781</v>
      </c>
      <c r="AT176" s="10" t="s">
        <v>3795</v>
      </c>
      <c r="AU176" s="96"/>
      <c r="AV176" s="17"/>
      <c r="AW176" s="10"/>
      <c r="AX176" s="7" t="s">
        <v>1745</v>
      </c>
      <c r="AY176" s="10" t="s">
        <v>1746</v>
      </c>
      <c r="AZ176" s="10" t="s">
        <v>1747</v>
      </c>
      <c r="BA176" s="10" t="s">
        <v>1748</v>
      </c>
      <c r="BB176" s="18" t="s">
        <v>1749</v>
      </c>
      <c r="BC176" s="41" t="s">
        <v>1750</v>
      </c>
    </row>
    <row r="177" spans="1:55" ht="69" customHeight="1" x14ac:dyDescent="0.2">
      <c r="A177" s="88" t="s">
        <v>4361</v>
      </c>
      <c r="B177" s="6" t="s">
        <v>1751</v>
      </c>
      <c r="C177" s="7" t="s">
        <v>1660</v>
      </c>
      <c r="D177" s="8" t="s">
        <v>49</v>
      </c>
      <c r="E177" s="8" t="s">
        <v>50</v>
      </c>
      <c r="F177" s="9" t="s">
        <v>1661</v>
      </c>
      <c r="G177" s="9" t="s">
        <v>1662</v>
      </c>
      <c r="H177" s="10" t="s">
        <v>4153</v>
      </c>
      <c r="I177" s="10" t="s">
        <v>140</v>
      </c>
      <c r="J177" s="7" t="s">
        <v>1724</v>
      </c>
      <c r="K177" s="10" t="s">
        <v>55</v>
      </c>
      <c r="L177" s="9" t="s">
        <v>1661</v>
      </c>
      <c r="M177" s="9" t="s">
        <v>1662</v>
      </c>
      <c r="N177" s="10" t="s">
        <v>4153</v>
      </c>
      <c r="O177" s="8" t="s">
        <v>140</v>
      </c>
      <c r="P177" s="8" t="s">
        <v>56</v>
      </c>
      <c r="Q177" s="10" t="s">
        <v>1725</v>
      </c>
      <c r="R177" s="10" t="s">
        <v>584</v>
      </c>
      <c r="S177" s="10"/>
      <c r="T177" s="8" t="s">
        <v>60</v>
      </c>
      <c r="U177" s="11">
        <v>17533</v>
      </c>
      <c r="V177" s="12">
        <v>1948</v>
      </c>
      <c r="W177" s="13">
        <v>45573</v>
      </c>
      <c r="X177" s="14">
        <v>2024</v>
      </c>
      <c r="Y177" s="13" t="s">
        <v>94</v>
      </c>
      <c r="Z177" s="13" t="s">
        <v>94</v>
      </c>
      <c r="AA177" s="13" t="s">
        <v>94</v>
      </c>
      <c r="AB177" s="13" t="s">
        <v>94</v>
      </c>
      <c r="AC177" s="13" t="s">
        <v>94</v>
      </c>
      <c r="AD177" s="15"/>
      <c r="AE177" s="27" t="s">
        <v>119</v>
      </c>
      <c r="AF177" s="8" t="s">
        <v>1666</v>
      </c>
      <c r="AG177" s="16">
        <v>22000000</v>
      </c>
      <c r="AH177" s="16">
        <v>145342.79999999999</v>
      </c>
      <c r="AI177" s="16">
        <v>145342.79999999999</v>
      </c>
      <c r="AJ177" s="16" t="s">
        <v>76</v>
      </c>
      <c r="AK177" s="28" t="s">
        <v>94</v>
      </c>
      <c r="AL177" s="16" t="s">
        <v>94</v>
      </c>
      <c r="AM177" s="16" t="s">
        <v>94</v>
      </c>
      <c r="AN177" s="10" t="s">
        <v>64</v>
      </c>
      <c r="AO177" s="8" t="s">
        <v>3757</v>
      </c>
      <c r="AP177" s="15" t="s">
        <v>94</v>
      </c>
      <c r="AQ177" s="15" t="s">
        <v>94</v>
      </c>
      <c r="AR177" s="8" t="s">
        <v>3762</v>
      </c>
      <c r="AS177" s="10" t="s">
        <v>3781</v>
      </c>
      <c r="AT177" s="10" t="s">
        <v>3795</v>
      </c>
      <c r="AU177" s="96"/>
      <c r="AV177" s="17"/>
      <c r="AW177" s="10"/>
      <c r="AX177" s="7" t="s">
        <v>4036</v>
      </c>
      <c r="AY177" s="10" t="s">
        <v>1752</v>
      </c>
      <c r="AZ177" s="10" t="s">
        <v>1753</v>
      </c>
      <c r="BA177" s="10" t="s">
        <v>1754</v>
      </c>
      <c r="BB177" s="18" t="s">
        <v>1755</v>
      </c>
      <c r="BC177" s="41" t="s">
        <v>1756</v>
      </c>
    </row>
    <row r="178" spans="1:55" ht="69" customHeight="1" x14ac:dyDescent="0.2">
      <c r="A178" s="88" t="s">
        <v>4362</v>
      </c>
      <c r="B178" s="6" t="s">
        <v>1757</v>
      </c>
      <c r="C178" s="7" t="s">
        <v>1758</v>
      </c>
      <c r="D178" s="8" t="s">
        <v>49</v>
      </c>
      <c r="E178" s="8" t="s">
        <v>50</v>
      </c>
      <c r="F178" s="9" t="s">
        <v>1759</v>
      </c>
      <c r="G178" s="9" t="s">
        <v>1760</v>
      </c>
      <c r="H178" s="10" t="s">
        <v>380</v>
      </c>
      <c r="I178" s="10" t="s">
        <v>103</v>
      </c>
      <c r="J178" s="7" t="s">
        <v>1761</v>
      </c>
      <c r="K178" s="10" t="s">
        <v>55</v>
      </c>
      <c r="L178" s="9" t="s">
        <v>1759</v>
      </c>
      <c r="M178" s="9" t="s">
        <v>1760</v>
      </c>
      <c r="N178" s="10" t="s">
        <v>380</v>
      </c>
      <c r="O178" s="8" t="s">
        <v>103</v>
      </c>
      <c r="P178" s="8" t="s">
        <v>56</v>
      </c>
      <c r="Q178" s="10" t="s">
        <v>1762</v>
      </c>
      <c r="R178" s="10" t="s">
        <v>58</v>
      </c>
      <c r="S178" s="10"/>
      <c r="T178" s="8" t="s">
        <v>60</v>
      </c>
      <c r="U178" s="11" t="s">
        <v>269</v>
      </c>
      <c r="V178" s="12" t="s">
        <v>269</v>
      </c>
      <c r="W178" s="13">
        <v>44735</v>
      </c>
      <c r="X178" s="14">
        <v>2022</v>
      </c>
      <c r="Y178" s="13" t="s">
        <v>94</v>
      </c>
      <c r="Z178" s="13" t="s">
        <v>94</v>
      </c>
      <c r="AA178" s="13" t="s">
        <v>94</v>
      </c>
      <c r="AB178" s="13" t="s">
        <v>94</v>
      </c>
      <c r="AC178" s="13" t="s">
        <v>94</v>
      </c>
      <c r="AD178" s="15"/>
      <c r="AE178" s="27"/>
      <c r="AF178" s="8" t="s">
        <v>106</v>
      </c>
      <c r="AG178" s="16">
        <v>1340551</v>
      </c>
      <c r="AH178" s="16">
        <v>1340551</v>
      </c>
      <c r="AI178" s="16">
        <v>1436900.45</v>
      </c>
      <c r="AJ178" s="16" t="s">
        <v>76</v>
      </c>
      <c r="AK178" s="28" t="s">
        <v>94</v>
      </c>
      <c r="AL178" s="16" t="s">
        <v>94</v>
      </c>
      <c r="AM178" s="16" t="s">
        <v>94</v>
      </c>
      <c r="AN178" s="10" t="s">
        <v>149</v>
      </c>
      <c r="AO178" s="8" t="s">
        <v>3756</v>
      </c>
      <c r="AP178" s="15" t="s">
        <v>151</v>
      </c>
      <c r="AQ178" s="15" t="s">
        <v>151</v>
      </c>
      <c r="AR178" s="8" t="s">
        <v>3761</v>
      </c>
      <c r="AS178" s="10" t="s">
        <v>3811</v>
      </c>
      <c r="AT178" s="10" t="s">
        <v>553</v>
      </c>
      <c r="AU178" s="96"/>
      <c r="AV178" s="17"/>
      <c r="AW178" s="10"/>
      <c r="AX178" s="7" t="s">
        <v>1763</v>
      </c>
      <c r="AY178" s="10" t="s">
        <v>1764</v>
      </c>
      <c r="AZ178" s="10" t="s">
        <v>1765</v>
      </c>
      <c r="BA178" s="10" t="s">
        <v>1766</v>
      </c>
      <c r="BB178" s="18" t="s">
        <v>1767</v>
      </c>
      <c r="BC178" s="41" t="s">
        <v>1768</v>
      </c>
    </row>
    <row r="179" spans="1:55" ht="70" customHeight="1" x14ac:dyDescent="0.2">
      <c r="A179" s="88" t="s">
        <v>4363</v>
      </c>
      <c r="B179" s="6" t="s">
        <v>1769</v>
      </c>
      <c r="C179" s="7" t="s">
        <v>1770</v>
      </c>
      <c r="D179" s="8" t="s">
        <v>49</v>
      </c>
      <c r="E179" s="8" t="s">
        <v>50</v>
      </c>
      <c r="F179" s="9" t="s">
        <v>4578</v>
      </c>
      <c r="G179" s="9" t="s">
        <v>1716</v>
      </c>
      <c r="H179" s="10" t="s">
        <v>4153</v>
      </c>
      <c r="I179" s="10" t="s">
        <v>140</v>
      </c>
      <c r="J179" s="7" t="s">
        <v>1771</v>
      </c>
      <c r="K179" s="10" t="s">
        <v>55</v>
      </c>
      <c r="L179" s="9" t="s">
        <v>4578</v>
      </c>
      <c r="M179" s="9" t="s">
        <v>1716</v>
      </c>
      <c r="N179" s="10" t="s">
        <v>4153</v>
      </c>
      <c r="O179" s="8" t="s">
        <v>140</v>
      </c>
      <c r="P179" s="8" t="s">
        <v>56</v>
      </c>
      <c r="Q179" s="10" t="s">
        <v>1772</v>
      </c>
      <c r="R179" s="10" t="s">
        <v>72</v>
      </c>
      <c r="S179" s="10"/>
      <c r="T179" s="8" t="s">
        <v>73</v>
      </c>
      <c r="U179" s="11">
        <v>29359</v>
      </c>
      <c r="V179" s="12">
        <v>1980</v>
      </c>
      <c r="W179" s="13">
        <v>33091</v>
      </c>
      <c r="X179" s="14">
        <v>1990</v>
      </c>
      <c r="Y179" s="13">
        <v>32874</v>
      </c>
      <c r="Z179" s="14">
        <v>1990</v>
      </c>
      <c r="AA179" s="13">
        <v>42005</v>
      </c>
      <c r="AB179" s="14">
        <v>2015</v>
      </c>
      <c r="AC179" s="15">
        <v>25</v>
      </c>
      <c r="AD179" s="15">
        <v>2015</v>
      </c>
      <c r="AE179" s="27"/>
      <c r="AF179" s="8" t="s">
        <v>1739</v>
      </c>
      <c r="AG179" s="28">
        <v>251119000000</v>
      </c>
      <c r="AH179" s="16">
        <v>222042039.78999999</v>
      </c>
      <c r="AI179" s="16">
        <v>293869829.67000002</v>
      </c>
      <c r="AJ179" s="16" t="s">
        <v>63</v>
      </c>
      <c r="AK179" s="28">
        <v>251119000000</v>
      </c>
      <c r="AL179" s="16">
        <v>222042039.78999999</v>
      </c>
      <c r="AM179" s="16">
        <v>293869829.67000002</v>
      </c>
      <c r="AN179" s="10" t="s">
        <v>64</v>
      </c>
      <c r="AO179" s="8" t="s">
        <v>3757</v>
      </c>
      <c r="AP179" s="15">
        <v>5807</v>
      </c>
      <c r="AQ179" s="15">
        <v>5807</v>
      </c>
      <c r="AR179" s="8" t="s">
        <v>3765</v>
      </c>
      <c r="AS179" s="10" t="s">
        <v>3781</v>
      </c>
      <c r="AT179" s="10" t="s">
        <v>3795</v>
      </c>
      <c r="AU179" s="96"/>
      <c r="AV179" s="17" t="s">
        <v>3901</v>
      </c>
      <c r="AW179" s="10" t="s">
        <v>1773</v>
      </c>
      <c r="AX179" s="7"/>
      <c r="AY179" s="10" t="s">
        <v>1774</v>
      </c>
      <c r="AZ179" s="10" t="s">
        <v>4122</v>
      </c>
      <c r="BA179" s="10" t="s">
        <v>1775</v>
      </c>
      <c r="BB179" s="18" t="s">
        <v>1776</v>
      </c>
      <c r="BC179" s="41" t="s">
        <v>1777</v>
      </c>
    </row>
    <row r="180" spans="1:55" ht="70" customHeight="1" x14ac:dyDescent="0.2">
      <c r="A180" s="88" t="s">
        <v>4364</v>
      </c>
      <c r="B180" s="6" t="s">
        <v>1778</v>
      </c>
      <c r="C180" s="7" t="s">
        <v>1770</v>
      </c>
      <c r="D180" s="8" t="s">
        <v>49</v>
      </c>
      <c r="E180" s="8" t="s">
        <v>50</v>
      </c>
      <c r="F180" s="9" t="s">
        <v>4578</v>
      </c>
      <c r="G180" s="9" t="s">
        <v>1716</v>
      </c>
      <c r="H180" s="10" t="s">
        <v>4153</v>
      </c>
      <c r="I180" s="10" t="s">
        <v>140</v>
      </c>
      <c r="J180" s="7" t="s">
        <v>1779</v>
      </c>
      <c r="K180" s="10" t="s">
        <v>55</v>
      </c>
      <c r="L180" s="9" t="s">
        <v>4578</v>
      </c>
      <c r="M180" s="9" t="s">
        <v>1716</v>
      </c>
      <c r="N180" s="10" t="s">
        <v>4153</v>
      </c>
      <c r="O180" s="8" t="s">
        <v>140</v>
      </c>
      <c r="P180" s="8" t="s">
        <v>56</v>
      </c>
      <c r="Q180" s="10" t="s">
        <v>1780</v>
      </c>
      <c r="R180" s="10" t="s">
        <v>72</v>
      </c>
      <c r="S180" s="10"/>
      <c r="T180" s="8" t="s">
        <v>73</v>
      </c>
      <c r="U180" s="11">
        <v>23460</v>
      </c>
      <c r="V180" s="12">
        <v>1964</v>
      </c>
      <c r="W180" s="13">
        <v>36537</v>
      </c>
      <c r="X180" s="14">
        <v>2000</v>
      </c>
      <c r="Y180" s="13">
        <v>36526</v>
      </c>
      <c r="Z180" s="14">
        <v>2000</v>
      </c>
      <c r="AA180" s="13">
        <v>38718</v>
      </c>
      <c r="AB180" s="15">
        <v>2006</v>
      </c>
      <c r="AC180" s="15">
        <v>6</v>
      </c>
      <c r="AD180" s="15">
        <v>2006</v>
      </c>
      <c r="AE180" s="27"/>
      <c r="AF180" s="8" t="s">
        <v>106</v>
      </c>
      <c r="AG180" s="28">
        <v>28700000</v>
      </c>
      <c r="AH180" s="28">
        <v>28700000</v>
      </c>
      <c r="AI180" s="16">
        <v>44657114.579999998</v>
      </c>
      <c r="AJ180" s="16" t="s">
        <v>63</v>
      </c>
      <c r="AK180" s="28">
        <v>28700000</v>
      </c>
      <c r="AL180" s="16">
        <v>28700000</v>
      </c>
      <c r="AM180" s="16">
        <v>44657114.579999998</v>
      </c>
      <c r="AN180" s="54" t="s">
        <v>3755</v>
      </c>
      <c r="AO180" s="8" t="s">
        <v>3757</v>
      </c>
      <c r="AP180" s="15" t="s">
        <v>94</v>
      </c>
      <c r="AQ180" s="15" t="s">
        <v>94</v>
      </c>
      <c r="AR180" s="8" t="s">
        <v>3765</v>
      </c>
      <c r="AS180" s="10" t="s">
        <v>269</v>
      </c>
      <c r="AT180" s="10" t="s">
        <v>3795</v>
      </c>
      <c r="AU180" s="96"/>
      <c r="AV180" s="17" t="s">
        <v>1781</v>
      </c>
      <c r="AW180" s="10" t="s">
        <v>1778</v>
      </c>
      <c r="AX180" s="7"/>
      <c r="AY180" s="10" t="s">
        <v>1782</v>
      </c>
      <c r="AZ180" s="10" t="s">
        <v>1783</v>
      </c>
      <c r="BA180" s="10" t="s">
        <v>1784</v>
      </c>
      <c r="BB180" s="18" t="s">
        <v>1785</v>
      </c>
      <c r="BC180" s="41" t="s">
        <v>1786</v>
      </c>
    </row>
    <row r="181" spans="1:55" ht="70" customHeight="1" x14ac:dyDescent="0.2">
      <c r="A181" s="88" t="s">
        <v>4365</v>
      </c>
      <c r="B181" s="6" t="s">
        <v>1787</v>
      </c>
      <c r="C181" s="7" t="s">
        <v>1770</v>
      </c>
      <c r="D181" s="8" t="s">
        <v>49</v>
      </c>
      <c r="E181" s="8" t="s">
        <v>50</v>
      </c>
      <c r="F181" s="9" t="s">
        <v>4578</v>
      </c>
      <c r="G181" s="9" t="s">
        <v>1716</v>
      </c>
      <c r="H181" s="10" t="s">
        <v>4153</v>
      </c>
      <c r="I181" s="10" t="s">
        <v>140</v>
      </c>
      <c r="J181" s="7" t="s">
        <v>1788</v>
      </c>
      <c r="K181" s="10" t="s">
        <v>55</v>
      </c>
      <c r="L181" s="9" t="s">
        <v>1789</v>
      </c>
      <c r="M181" s="9" t="s">
        <v>1790</v>
      </c>
      <c r="N181" s="10" t="s">
        <v>4153</v>
      </c>
      <c r="O181" s="8" t="s">
        <v>103</v>
      </c>
      <c r="P181" s="8" t="s">
        <v>144</v>
      </c>
      <c r="Q181" s="10" t="s">
        <v>1791</v>
      </c>
      <c r="R181" s="10" t="s">
        <v>529</v>
      </c>
      <c r="S181" s="10"/>
      <c r="T181" s="8" t="s">
        <v>73</v>
      </c>
      <c r="U181" s="11">
        <v>24869</v>
      </c>
      <c r="V181" s="12">
        <v>1968</v>
      </c>
      <c r="W181" s="13">
        <v>44964</v>
      </c>
      <c r="X181" s="14">
        <v>2023</v>
      </c>
      <c r="Y181" s="13" t="s">
        <v>94</v>
      </c>
      <c r="Z181" s="13" t="s">
        <v>94</v>
      </c>
      <c r="AA181" s="13" t="s">
        <v>94</v>
      </c>
      <c r="AB181" s="13" t="s">
        <v>94</v>
      </c>
      <c r="AC181" s="13" t="s">
        <v>94</v>
      </c>
      <c r="AD181" s="15"/>
      <c r="AE181" s="27"/>
      <c r="AF181" s="8" t="s">
        <v>1739</v>
      </c>
      <c r="AG181" s="16">
        <v>30000000</v>
      </c>
      <c r="AH181" s="16">
        <v>24000</v>
      </c>
      <c r="AI181" s="16">
        <v>24707.87</v>
      </c>
      <c r="AJ181" s="16" t="s">
        <v>76</v>
      </c>
      <c r="AK181" s="28" t="s">
        <v>94</v>
      </c>
      <c r="AL181" s="16" t="s">
        <v>94</v>
      </c>
      <c r="AM181" s="16" t="s">
        <v>94</v>
      </c>
      <c r="AN181" s="10" t="s">
        <v>64</v>
      </c>
      <c r="AO181" s="8" t="s">
        <v>3756</v>
      </c>
      <c r="AP181" s="15">
        <v>1</v>
      </c>
      <c r="AQ181" s="15" t="s">
        <v>94</v>
      </c>
      <c r="AR181" s="8" t="s">
        <v>3761</v>
      </c>
      <c r="AS181" s="10" t="s">
        <v>3781</v>
      </c>
      <c r="AT181" s="10" t="s">
        <v>3795</v>
      </c>
      <c r="AU181" s="96"/>
      <c r="AV181" s="17"/>
      <c r="AW181" s="10"/>
      <c r="AX181" s="7" t="s">
        <v>1792</v>
      </c>
      <c r="AY181" s="10" t="s">
        <v>1793</v>
      </c>
      <c r="AZ181" s="10" t="s">
        <v>1794</v>
      </c>
      <c r="BA181" s="10" t="s">
        <v>1795</v>
      </c>
      <c r="BB181" s="18" t="s">
        <v>1796</v>
      </c>
      <c r="BC181" s="41" t="s">
        <v>1797</v>
      </c>
    </row>
    <row r="182" spans="1:55" ht="70" customHeight="1" x14ac:dyDescent="0.2">
      <c r="A182" s="88" t="s">
        <v>4366</v>
      </c>
      <c r="B182" s="6" t="s">
        <v>1798</v>
      </c>
      <c r="C182" s="7" t="s">
        <v>1799</v>
      </c>
      <c r="D182" s="8" t="s">
        <v>49</v>
      </c>
      <c r="E182" s="8" t="s">
        <v>50</v>
      </c>
      <c r="F182" s="9" t="s">
        <v>4578</v>
      </c>
      <c r="G182" s="9" t="s">
        <v>1716</v>
      </c>
      <c r="H182" s="10" t="s">
        <v>4153</v>
      </c>
      <c r="I182" s="10" t="s">
        <v>140</v>
      </c>
      <c r="J182" s="7" t="s">
        <v>1800</v>
      </c>
      <c r="K182" s="10" t="s">
        <v>55</v>
      </c>
      <c r="L182" s="9" t="s">
        <v>4578</v>
      </c>
      <c r="M182" s="9" t="s">
        <v>1716</v>
      </c>
      <c r="N182" s="10" t="s">
        <v>4153</v>
      </c>
      <c r="O182" s="8" t="s">
        <v>140</v>
      </c>
      <c r="P182" s="8" t="s">
        <v>56</v>
      </c>
      <c r="Q182" s="10" t="s">
        <v>1801</v>
      </c>
      <c r="R182" s="10" t="s">
        <v>1227</v>
      </c>
      <c r="S182" s="10"/>
      <c r="T182" s="8" t="s">
        <v>60</v>
      </c>
      <c r="U182" s="11">
        <v>3887</v>
      </c>
      <c r="V182" s="12">
        <v>1910</v>
      </c>
      <c r="W182" s="13">
        <v>44991</v>
      </c>
      <c r="X182" s="14">
        <v>2023</v>
      </c>
      <c r="Y182" s="28" t="s">
        <v>384</v>
      </c>
      <c r="Z182" s="28" t="s">
        <v>384</v>
      </c>
      <c r="AA182" s="28" t="s">
        <v>384</v>
      </c>
      <c r="AB182" s="28" t="s">
        <v>384</v>
      </c>
      <c r="AC182" s="13" t="s">
        <v>94</v>
      </c>
      <c r="AD182" s="15"/>
      <c r="AE182" s="27"/>
      <c r="AF182" s="8" t="s">
        <v>106</v>
      </c>
      <c r="AG182" s="16">
        <v>3000000</v>
      </c>
      <c r="AH182" s="16">
        <v>3000000</v>
      </c>
      <c r="AI182" s="16">
        <v>3088483.17</v>
      </c>
      <c r="AJ182" s="16" t="s">
        <v>76</v>
      </c>
      <c r="AK182" s="28" t="s">
        <v>384</v>
      </c>
      <c r="AL182" s="28" t="s">
        <v>384</v>
      </c>
      <c r="AM182" s="28" t="s">
        <v>384</v>
      </c>
      <c r="AN182" s="10" t="s">
        <v>64</v>
      </c>
      <c r="AO182" s="8" t="s">
        <v>3758</v>
      </c>
      <c r="AP182" s="15">
        <v>3</v>
      </c>
      <c r="AQ182" s="15" t="s">
        <v>94</v>
      </c>
      <c r="AR182" s="8" t="s">
        <v>3765</v>
      </c>
      <c r="AS182" s="10" t="s">
        <v>292</v>
      </c>
      <c r="AT182" s="10" t="s">
        <v>3795</v>
      </c>
      <c r="AU182" s="96"/>
      <c r="AV182" s="17"/>
      <c r="AW182" s="10"/>
      <c r="AX182" s="7" t="s">
        <v>883</v>
      </c>
      <c r="AY182" s="10" t="s">
        <v>1802</v>
      </c>
      <c r="AZ182" s="10" t="s">
        <v>1803</v>
      </c>
      <c r="BA182" s="10" t="s">
        <v>1804</v>
      </c>
      <c r="BB182" s="18"/>
      <c r="BC182" s="41" t="s">
        <v>1805</v>
      </c>
    </row>
    <row r="183" spans="1:55" ht="70" customHeight="1" x14ac:dyDescent="0.2">
      <c r="A183" s="88" t="s">
        <v>4367</v>
      </c>
      <c r="B183" s="6" t="s">
        <v>1806</v>
      </c>
      <c r="C183" s="7" t="s">
        <v>1770</v>
      </c>
      <c r="D183" s="8" t="s">
        <v>49</v>
      </c>
      <c r="E183" s="8" t="s">
        <v>50</v>
      </c>
      <c r="F183" s="9" t="s">
        <v>4578</v>
      </c>
      <c r="G183" s="9" t="s">
        <v>1716</v>
      </c>
      <c r="H183" s="10" t="s">
        <v>4153</v>
      </c>
      <c r="I183" s="10" t="s">
        <v>140</v>
      </c>
      <c r="J183" s="7" t="s">
        <v>1807</v>
      </c>
      <c r="K183" s="10" t="s">
        <v>55</v>
      </c>
      <c r="L183" s="9" t="s">
        <v>4578</v>
      </c>
      <c r="M183" s="9" t="s">
        <v>1716</v>
      </c>
      <c r="N183" s="10" t="s">
        <v>4153</v>
      </c>
      <c r="O183" s="8" t="s">
        <v>140</v>
      </c>
      <c r="P183" s="8" t="s">
        <v>56</v>
      </c>
      <c r="Q183" s="10" t="s">
        <v>1772</v>
      </c>
      <c r="R183" s="10" t="s">
        <v>72</v>
      </c>
      <c r="S183" s="10"/>
      <c r="T183" s="8" t="s">
        <v>73</v>
      </c>
      <c r="U183" s="11">
        <v>29359</v>
      </c>
      <c r="V183" s="12">
        <v>1980</v>
      </c>
      <c r="W183" s="13">
        <v>45570</v>
      </c>
      <c r="X183" s="14">
        <v>2024</v>
      </c>
      <c r="Y183" s="13" t="s">
        <v>94</v>
      </c>
      <c r="Z183" s="13" t="s">
        <v>94</v>
      </c>
      <c r="AA183" s="13" t="s">
        <v>94</v>
      </c>
      <c r="AB183" s="13" t="s">
        <v>94</v>
      </c>
      <c r="AC183" s="13" t="s">
        <v>94</v>
      </c>
      <c r="AD183" s="15"/>
      <c r="AE183" s="27"/>
      <c r="AF183" s="8" t="s">
        <v>1739</v>
      </c>
      <c r="AG183" s="16">
        <v>43065000000</v>
      </c>
      <c r="AH183" s="16">
        <v>32200000</v>
      </c>
      <c r="AI183" s="16">
        <v>32200000</v>
      </c>
      <c r="AJ183" s="16" t="s">
        <v>76</v>
      </c>
      <c r="AK183" s="28" t="s">
        <v>94</v>
      </c>
      <c r="AL183" s="16" t="s">
        <v>94</v>
      </c>
      <c r="AM183" s="16" t="s">
        <v>94</v>
      </c>
      <c r="AN183" s="10" t="s">
        <v>64</v>
      </c>
      <c r="AO183" s="8" t="s">
        <v>3757</v>
      </c>
      <c r="AP183" s="15">
        <v>840</v>
      </c>
      <c r="AQ183" s="15" t="s">
        <v>94</v>
      </c>
      <c r="AR183" s="8" t="s">
        <v>3762</v>
      </c>
      <c r="AS183" s="10" t="s">
        <v>3781</v>
      </c>
      <c r="AT183" s="10" t="s">
        <v>3795</v>
      </c>
      <c r="AU183" s="96"/>
      <c r="AV183" s="17"/>
      <c r="AW183" s="10"/>
      <c r="AX183" s="7" t="s">
        <v>4037</v>
      </c>
      <c r="AY183" s="10" t="s">
        <v>1808</v>
      </c>
      <c r="AZ183" s="10" t="s">
        <v>1809</v>
      </c>
      <c r="BA183" s="10" t="s">
        <v>1810</v>
      </c>
      <c r="BB183" s="18"/>
      <c r="BC183" s="41" t="s">
        <v>1811</v>
      </c>
    </row>
    <row r="184" spans="1:55" ht="70" customHeight="1" x14ac:dyDescent="0.2">
      <c r="A184" s="88" t="s">
        <v>4368</v>
      </c>
      <c r="B184" s="6" t="s">
        <v>1812</v>
      </c>
      <c r="C184" s="7" t="s">
        <v>1813</v>
      </c>
      <c r="D184" s="8" t="s">
        <v>49</v>
      </c>
      <c r="E184" s="8" t="s">
        <v>50</v>
      </c>
      <c r="F184" s="9" t="s">
        <v>1814</v>
      </c>
      <c r="G184" s="9" t="s">
        <v>1815</v>
      </c>
      <c r="H184" s="10" t="s">
        <v>4154</v>
      </c>
      <c r="I184" s="10" t="s">
        <v>53</v>
      </c>
      <c r="J184" s="7" t="s">
        <v>1816</v>
      </c>
      <c r="K184" s="10" t="s">
        <v>55</v>
      </c>
      <c r="L184" s="9" t="s">
        <v>1814</v>
      </c>
      <c r="M184" s="9" t="s">
        <v>1815</v>
      </c>
      <c r="N184" s="10" t="s">
        <v>4154</v>
      </c>
      <c r="O184" s="8" t="s">
        <v>53</v>
      </c>
      <c r="P184" s="8" t="s">
        <v>56</v>
      </c>
      <c r="Q184" s="10" t="s">
        <v>1817</v>
      </c>
      <c r="R184" s="10" t="s">
        <v>72</v>
      </c>
      <c r="S184" s="10"/>
      <c r="T184" s="8" t="s">
        <v>73</v>
      </c>
      <c r="U184" s="11">
        <v>35853</v>
      </c>
      <c r="V184" s="12">
        <v>1998</v>
      </c>
      <c r="W184" s="13">
        <v>41718</v>
      </c>
      <c r="X184" s="14">
        <v>2014</v>
      </c>
      <c r="Y184" s="13">
        <v>42856</v>
      </c>
      <c r="Z184" s="15">
        <v>2017</v>
      </c>
      <c r="AA184" s="13" t="s">
        <v>94</v>
      </c>
      <c r="AB184" s="13" t="s">
        <v>94</v>
      </c>
      <c r="AC184" s="13" t="s">
        <v>94</v>
      </c>
      <c r="AD184" s="15"/>
      <c r="AE184" s="27"/>
      <c r="AF184" s="8" t="s">
        <v>75</v>
      </c>
      <c r="AG184" s="16">
        <v>1000000</v>
      </c>
      <c r="AH184" s="16">
        <v>1328500.78</v>
      </c>
      <c r="AI184" s="16">
        <v>1760340.98</v>
      </c>
      <c r="AJ184" s="16" t="s">
        <v>76</v>
      </c>
      <c r="AK184" s="28" t="s">
        <v>94</v>
      </c>
      <c r="AL184" s="16" t="s">
        <v>94</v>
      </c>
      <c r="AM184" s="16" t="s">
        <v>94</v>
      </c>
      <c r="AN184" s="10" t="s">
        <v>64</v>
      </c>
      <c r="AO184" s="8" t="s">
        <v>3756</v>
      </c>
      <c r="AP184" s="43">
        <v>1870</v>
      </c>
      <c r="AQ184" s="15" t="s">
        <v>94</v>
      </c>
      <c r="AR184" s="8" t="s">
        <v>3765</v>
      </c>
      <c r="AS184" s="10" t="s">
        <v>292</v>
      </c>
      <c r="AT184" s="10" t="s">
        <v>3795</v>
      </c>
      <c r="AU184" s="96"/>
      <c r="AV184" s="17" t="s">
        <v>1818</v>
      </c>
      <c r="AW184" s="10" t="s">
        <v>1812</v>
      </c>
      <c r="AX184" s="7"/>
      <c r="AY184" s="10" t="s">
        <v>1819</v>
      </c>
      <c r="AZ184" s="10" t="s">
        <v>1820</v>
      </c>
      <c r="BA184" s="10" t="s">
        <v>1821</v>
      </c>
      <c r="BB184" s="18" t="s">
        <v>1822</v>
      </c>
      <c r="BC184" s="41" t="s">
        <v>1823</v>
      </c>
    </row>
    <row r="185" spans="1:55" ht="69" customHeight="1" x14ac:dyDescent="0.2">
      <c r="A185" s="88" t="s">
        <v>4369</v>
      </c>
      <c r="B185" s="6" t="s">
        <v>1824</v>
      </c>
      <c r="C185" s="7" t="s">
        <v>1825</v>
      </c>
      <c r="D185" s="8" t="s">
        <v>453</v>
      </c>
      <c r="E185" s="8" t="s">
        <v>280</v>
      </c>
      <c r="F185" s="9" t="s">
        <v>1814</v>
      </c>
      <c r="G185" s="9" t="s">
        <v>1815</v>
      </c>
      <c r="H185" s="10" t="s">
        <v>4154</v>
      </c>
      <c r="I185" s="10" t="s">
        <v>53</v>
      </c>
      <c r="J185" s="7" t="s">
        <v>1826</v>
      </c>
      <c r="K185" s="10" t="s">
        <v>55</v>
      </c>
      <c r="L185" s="9" t="s">
        <v>1814</v>
      </c>
      <c r="M185" s="9" t="s">
        <v>1815</v>
      </c>
      <c r="N185" s="10" t="s">
        <v>4154</v>
      </c>
      <c r="O185" s="8" t="s">
        <v>53</v>
      </c>
      <c r="P185" s="8" t="s">
        <v>56</v>
      </c>
      <c r="Q185" s="10" t="s">
        <v>1827</v>
      </c>
      <c r="R185" s="10" t="s">
        <v>72</v>
      </c>
      <c r="S185" s="10"/>
      <c r="T185" s="8" t="s">
        <v>73</v>
      </c>
      <c r="U185" s="11">
        <v>36251</v>
      </c>
      <c r="V185" s="12">
        <v>1999</v>
      </c>
      <c r="W185" s="13">
        <v>45022</v>
      </c>
      <c r="X185" s="14">
        <v>2023</v>
      </c>
      <c r="Y185" s="13" t="s">
        <v>94</v>
      </c>
      <c r="Z185" s="13" t="s">
        <v>94</v>
      </c>
      <c r="AA185" s="13" t="s">
        <v>94</v>
      </c>
      <c r="AB185" s="13" t="s">
        <v>94</v>
      </c>
      <c r="AC185" s="13" t="s">
        <v>94</v>
      </c>
      <c r="AD185" s="15"/>
      <c r="AE185" s="27"/>
      <c r="AF185" s="8" t="s">
        <v>75</v>
      </c>
      <c r="AG185" s="16">
        <v>207000</v>
      </c>
      <c r="AH185" s="16">
        <v>223854.06</v>
      </c>
      <c r="AI185" s="16">
        <v>230456.5</v>
      </c>
      <c r="AJ185" s="16" t="s">
        <v>76</v>
      </c>
      <c r="AK185" s="28" t="s">
        <v>94</v>
      </c>
      <c r="AL185" s="16" t="s">
        <v>94</v>
      </c>
      <c r="AM185" s="16" t="s">
        <v>94</v>
      </c>
      <c r="AN185" s="10" t="s">
        <v>64</v>
      </c>
      <c r="AO185" s="8" t="s">
        <v>3757</v>
      </c>
      <c r="AP185" s="15">
        <v>8</v>
      </c>
      <c r="AQ185" s="15" t="s">
        <v>94</v>
      </c>
      <c r="AR185" s="8" t="s">
        <v>3762</v>
      </c>
      <c r="AS185" s="10" t="s">
        <v>3781</v>
      </c>
      <c r="AT185" s="10" t="s">
        <v>1828</v>
      </c>
      <c r="AU185" s="96"/>
      <c r="AV185" s="17"/>
      <c r="AW185" s="10"/>
      <c r="AX185" s="7" t="s">
        <v>469</v>
      </c>
      <c r="AY185" s="10" t="s">
        <v>1829</v>
      </c>
      <c r="AZ185" s="10" t="s">
        <v>1830</v>
      </c>
      <c r="BA185" s="10" t="s">
        <v>1831</v>
      </c>
      <c r="BB185" s="18" t="s">
        <v>1832</v>
      </c>
      <c r="BC185" s="41" t="s">
        <v>1833</v>
      </c>
    </row>
    <row r="186" spans="1:55" ht="70" customHeight="1" x14ac:dyDescent="0.2">
      <c r="A186" s="88" t="s">
        <v>4370</v>
      </c>
      <c r="B186" s="6" t="s">
        <v>1834</v>
      </c>
      <c r="C186" s="7" t="s">
        <v>1835</v>
      </c>
      <c r="D186" s="8" t="s">
        <v>453</v>
      </c>
      <c r="E186" s="8" t="s">
        <v>280</v>
      </c>
      <c r="F186" s="9" t="s">
        <v>1814</v>
      </c>
      <c r="G186" s="9" t="s">
        <v>1815</v>
      </c>
      <c r="H186" s="10" t="s">
        <v>4154</v>
      </c>
      <c r="I186" s="10" t="s">
        <v>53</v>
      </c>
      <c r="J186" s="7" t="s">
        <v>1836</v>
      </c>
      <c r="K186" s="10" t="s">
        <v>55</v>
      </c>
      <c r="L186" s="9" t="s">
        <v>51</v>
      </c>
      <c r="M186" s="9" t="s">
        <v>52</v>
      </c>
      <c r="N186" s="10" t="s">
        <v>4154</v>
      </c>
      <c r="O186" s="8" t="s">
        <v>53</v>
      </c>
      <c r="P186" s="8" t="s">
        <v>144</v>
      </c>
      <c r="Q186" s="10" t="s">
        <v>1837</v>
      </c>
      <c r="R186" s="10" t="s">
        <v>72</v>
      </c>
      <c r="S186" s="10"/>
      <c r="T186" s="8" t="s">
        <v>73</v>
      </c>
      <c r="U186" s="11">
        <v>36297</v>
      </c>
      <c r="V186" s="12">
        <v>1999</v>
      </c>
      <c r="W186" s="13">
        <v>45625</v>
      </c>
      <c r="X186" s="14">
        <v>2024</v>
      </c>
      <c r="Y186" s="13" t="s">
        <v>94</v>
      </c>
      <c r="Z186" s="13" t="s">
        <v>94</v>
      </c>
      <c r="AA186" s="13" t="s">
        <v>94</v>
      </c>
      <c r="AB186" s="13" t="s">
        <v>94</v>
      </c>
      <c r="AC186" s="13" t="s">
        <v>94</v>
      </c>
      <c r="AD186" s="15"/>
      <c r="AE186" s="27"/>
      <c r="AF186" s="8" t="s">
        <v>75</v>
      </c>
      <c r="AG186" s="16">
        <v>208000</v>
      </c>
      <c r="AH186" s="16">
        <v>225018.74</v>
      </c>
      <c r="AI186" s="16">
        <v>225018.74</v>
      </c>
      <c r="AJ186" s="16" t="s">
        <v>76</v>
      </c>
      <c r="AK186" s="28" t="s">
        <v>94</v>
      </c>
      <c r="AL186" s="16" t="s">
        <v>94</v>
      </c>
      <c r="AM186" s="16" t="s">
        <v>94</v>
      </c>
      <c r="AN186" s="54" t="s">
        <v>3755</v>
      </c>
      <c r="AO186" s="8" t="s">
        <v>3757</v>
      </c>
      <c r="AP186" s="15">
        <v>8</v>
      </c>
      <c r="AQ186" s="15" t="s">
        <v>94</v>
      </c>
      <c r="AR186" s="8" t="s">
        <v>3762</v>
      </c>
      <c r="AS186" s="10" t="s">
        <v>3781</v>
      </c>
      <c r="AT186" s="10" t="s">
        <v>1828</v>
      </c>
      <c r="AU186" s="96"/>
      <c r="AV186" s="17"/>
      <c r="AW186" s="10" t="s">
        <v>1838</v>
      </c>
      <c r="AX186" s="7" t="s">
        <v>1839</v>
      </c>
      <c r="AY186" s="10" t="s">
        <v>1840</v>
      </c>
      <c r="AZ186" s="10" t="s">
        <v>1841</v>
      </c>
      <c r="BA186" s="10" t="s">
        <v>1842</v>
      </c>
      <c r="BB186" s="18" t="s">
        <v>1843</v>
      </c>
      <c r="BC186" s="41" t="s">
        <v>1844</v>
      </c>
    </row>
    <row r="187" spans="1:55" ht="70" customHeight="1" x14ac:dyDescent="0.2">
      <c r="A187" s="88" t="s">
        <v>4371</v>
      </c>
      <c r="B187" s="6" t="s">
        <v>1845</v>
      </c>
      <c r="C187" s="7" t="s">
        <v>1846</v>
      </c>
      <c r="D187" s="8" t="s">
        <v>49</v>
      </c>
      <c r="E187" s="8" t="s">
        <v>50</v>
      </c>
      <c r="F187" s="9" t="s">
        <v>4579</v>
      </c>
      <c r="G187" s="9" t="s">
        <v>1847</v>
      </c>
      <c r="H187" s="10" t="s">
        <v>4154</v>
      </c>
      <c r="I187" s="10" t="s">
        <v>103</v>
      </c>
      <c r="J187" s="7" t="s">
        <v>1848</v>
      </c>
      <c r="K187" s="10" t="s">
        <v>55</v>
      </c>
      <c r="L187" s="9" t="s">
        <v>4579</v>
      </c>
      <c r="M187" s="9" t="s">
        <v>1847</v>
      </c>
      <c r="N187" s="10" t="s">
        <v>4154</v>
      </c>
      <c r="O187" s="8" t="s">
        <v>103</v>
      </c>
      <c r="P187" s="8" t="s">
        <v>56</v>
      </c>
      <c r="Q187" s="10" t="s">
        <v>1849</v>
      </c>
      <c r="R187" s="10" t="s">
        <v>72</v>
      </c>
      <c r="S187" s="10"/>
      <c r="T187" s="8" t="s">
        <v>73</v>
      </c>
      <c r="U187" s="11">
        <v>40340</v>
      </c>
      <c r="V187" s="12">
        <v>2010</v>
      </c>
      <c r="W187" s="13" t="s">
        <v>94</v>
      </c>
      <c r="X187" s="14">
        <v>2011</v>
      </c>
      <c r="Y187" s="13" t="s">
        <v>94</v>
      </c>
      <c r="Z187" s="13" t="s">
        <v>94</v>
      </c>
      <c r="AA187" s="13" t="s">
        <v>94</v>
      </c>
      <c r="AB187" s="13" t="s">
        <v>94</v>
      </c>
      <c r="AC187" s="13" t="s">
        <v>94</v>
      </c>
      <c r="AD187" s="15"/>
      <c r="AE187" s="27"/>
      <c r="AF187" s="8" t="s">
        <v>106</v>
      </c>
      <c r="AG187" s="16">
        <v>12900000</v>
      </c>
      <c r="AH187" s="16">
        <v>12900000</v>
      </c>
      <c r="AI187" s="16">
        <v>17989713.210000001</v>
      </c>
      <c r="AJ187" s="16" t="s">
        <v>76</v>
      </c>
      <c r="AK187" s="28" t="s">
        <v>94</v>
      </c>
      <c r="AL187" s="16" t="s">
        <v>94</v>
      </c>
      <c r="AM187" s="16" t="s">
        <v>94</v>
      </c>
      <c r="AN187" s="10" t="s">
        <v>64</v>
      </c>
      <c r="AO187" s="8" t="s">
        <v>3758</v>
      </c>
      <c r="AP187" s="15">
        <v>470</v>
      </c>
      <c r="AQ187" s="15" t="s">
        <v>94</v>
      </c>
      <c r="AR187" s="8" t="s">
        <v>3765</v>
      </c>
      <c r="AS187" s="10" t="s">
        <v>3781</v>
      </c>
      <c r="AT187" s="10" t="s">
        <v>3795</v>
      </c>
      <c r="AU187" s="96"/>
      <c r="AV187" s="17"/>
      <c r="AW187" s="10"/>
      <c r="AX187" s="7" t="s">
        <v>1850</v>
      </c>
      <c r="AY187" s="10" t="s">
        <v>1851</v>
      </c>
      <c r="AZ187" s="10" t="s">
        <v>1852</v>
      </c>
      <c r="BA187" s="10" t="s">
        <v>1853</v>
      </c>
      <c r="BB187" s="18"/>
      <c r="BC187" s="41" t="s">
        <v>1854</v>
      </c>
    </row>
    <row r="188" spans="1:55" ht="69" customHeight="1" x14ac:dyDescent="0.2">
      <c r="A188" s="88" t="s">
        <v>4372</v>
      </c>
      <c r="B188" s="6" t="s">
        <v>1855</v>
      </c>
      <c r="C188" s="7" t="s">
        <v>1856</v>
      </c>
      <c r="D188" s="8" t="s">
        <v>49</v>
      </c>
      <c r="E188" s="8" t="s">
        <v>50</v>
      </c>
      <c r="F188" s="9" t="s">
        <v>1857</v>
      </c>
      <c r="G188" s="9" t="s">
        <v>1858</v>
      </c>
      <c r="H188" s="10" t="s">
        <v>4154</v>
      </c>
      <c r="I188" s="10" t="s">
        <v>140</v>
      </c>
      <c r="J188" s="7" t="s">
        <v>1859</v>
      </c>
      <c r="K188" s="10" t="s">
        <v>55</v>
      </c>
      <c r="L188" s="9" t="s">
        <v>1857</v>
      </c>
      <c r="M188" s="9" t="s">
        <v>1858</v>
      </c>
      <c r="N188" s="10" t="s">
        <v>4154</v>
      </c>
      <c r="O188" s="8" t="s">
        <v>140</v>
      </c>
      <c r="P188" s="8" t="s">
        <v>56</v>
      </c>
      <c r="Q188" s="10" t="s">
        <v>1860</v>
      </c>
      <c r="R188" s="10" t="s">
        <v>177</v>
      </c>
      <c r="S188" s="10" t="s">
        <v>59</v>
      </c>
      <c r="T188" s="8" t="s">
        <v>73</v>
      </c>
      <c r="U188" s="11">
        <v>14489</v>
      </c>
      <c r="V188" s="12">
        <v>1939</v>
      </c>
      <c r="W188" s="13">
        <v>44469</v>
      </c>
      <c r="X188" s="14">
        <v>2021</v>
      </c>
      <c r="Y188" s="13">
        <v>44562</v>
      </c>
      <c r="Z188" s="14">
        <v>2022</v>
      </c>
      <c r="AA188" s="13" t="s">
        <v>94</v>
      </c>
      <c r="AB188" s="13" t="s">
        <v>94</v>
      </c>
      <c r="AC188" s="13" t="s">
        <v>94</v>
      </c>
      <c r="AD188" s="15"/>
      <c r="AE188" s="27" t="s">
        <v>1861</v>
      </c>
      <c r="AF188" s="8" t="s">
        <v>106</v>
      </c>
      <c r="AG188" s="16">
        <v>46000000</v>
      </c>
      <c r="AH188" s="16">
        <v>46000000</v>
      </c>
      <c r="AI188" s="16">
        <v>53251998.380000003</v>
      </c>
      <c r="AJ188" s="16" t="s">
        <v>76</v>
      </c>
      <c r="AK188" s="28" t="s">
        <v>94</v>
      </c>
      <c r="AL188" s="16" t="s">
        <v>94</v>
      </c>
      <c r="AM188" s="16" t="s">
        <v>94</v>
      </c>
      <c r="AN188" s="10" t="s">
        <v>149</v>
      </c>
      <c r="AO188" s="8" t="s">
        <v>3756</v>
      </c>
      <c r="AP188" s="15" t="s">
        <v>94</v>
      </c>
      <c r="AQ188" s="15" t="s">
        <v>94</v>
      </c>
      <c r="AR188" s="8" t="s">
        <v>3765</v>
      </c>
      <c r="AS188" s="10" t="s">
        <v>3798</v>
      </c>
      <c r="AT188" s="10" t="s">
        <v>3795</v>
      </c>
      <c r="AU188" s="96"/>
      <c r="AV188" s="17"/>
      <c r="AW188" s="10"/>
      <c r="AX188" s="7" t="s">
        <v>1280</v>
      </c>
      <c r="AY188" s="10" t="s">
        <v>1862</v>
      </c>
      <c r="AZ188" s="10" t="s">
        <v>1863</v>
      </c>
      <c r="BA188" s="10" t="s">
        <v>1864</v>
      </c>
      <c r="BB188" s="18"/>
      <c r="BC188" s="41" t="s">
        <v>1865</v>
      </c>
    </row>
    <row r="189" spans="1:55" ht="70" customHeight="1" x14ac:dyDescent="0.2">
      <c r="A189" s="88" t="s">
        <v>4373</v>
      </c>
      <c r="B189" s="6" t="s">
        <v>1866</v>
      </c>
      <c r="C189" s="7" t="s">
        <v>1867</v>
      </c>
      <c r="D189" s="8" t="s">
        <v>49</v>
      </c>
      <c r="E189" s="8" t="s">
        <v>50</v>
      </c>
      <c r="F189" s="9" t="s">
        <v>1868</v>
      </c>
      <c r="G189" s="9" t="s">
        <v>1869</v>
      </c>
      <c r="H189" s="10" t="s">
        <v>4156</v>
      </c>
      <c r="I189" s="10" t="s">
        <v>103</v>
      </c>
      <c r="J189" s="7" t="s">
        <v>1870</v>
      </c>
      <c r="K189" s="10" t="s">
        <v>55</v>
      </c>
      <c r="L189" s="9" t="s">
        <v>1868</v>
      </c>
      <c r="M189" s="9" t="s">
        <v>1869</v>
      </c>
      <c r="N189" s="10" t="s">
        <v>4156</v>
      </c>
      <c r="O189" s="8" t="s">
        <v>103</v>
      </c>
      <c r="P189" s="8" t="s">
        <v>56</v>
      </c>
      <c r="Q189" s="10" t="s">
        <v>1871</v>
      </c>
      <c r="R189" s="10" t="s">
        <v>529</v>
      </c>
      <c r="S189" s="10"/>
      <c r="T189" s="8" t="s">
        <v>73</v>
      </c>
      <c r="U189" s="11">
        <v>38910</v>
      </c>
      <c r="V189" s="12">
        <v>2006</v>
      </c>
      <c r="W189" s="13">
        <v>38991</v>
      </c>
      <c r="X189" s="14">
        <v>2006</v>
      </c>
      <c r="Y189" s="13">
        <v>38718</v>
      </c>
      <c r="Z189" s="14">
        <v>2006</v>
      </c>
      <c r="AA189" s="13">
        <v>39083</v>
      </c>
      <c r="AB189" s="14">
        <v>2007</v>
      </c>
      <c r="AC189" s="14">
        <v>1</v>
      </c>
      <c r="AD189" s="15">
        <v>2006</v>
      </c>
      <c r="AE189" s="27"/>
      <c r="AF189" s="8" t="s">
        <v>106</v>
      </c>
      <c r="AG189" s="28">
        <v>760000000</v>
      </c>
      <c r="AH189" s="28">
        <v>760000000</v>
      </c>
      <c r="AI189" s="16">
        <v>1182557738.0999999</v>
      </c>
      <c r="AJ189" s="16" t="s">
        <v>76</v>
      </c>
      <c r="AK189" s="28">
        <v>709300000</v>
      </c>
      <c r="AL189" s="28">
        <v>709300000</v>
      </c>
      <c r="AM189" s="16">
        <v>1103668688.99</v>
      </c>
      <c r="AN189" s="10" t="s">
        <v>64</v>
      </c>
      <c r="AO189" s="8" t="s">
        <v>3757</v>
      </c>
      <c r="AP189" s="43">
        <v>13529</v>
      </c>
      <c r="AQ189" s="43">
        <v>13529</v>
      </c>
      <c r="AR189" s="8" t="s">
        <v>3765</v>
      </c>
      <c r="AS189" s="10" t="s">
        <v>3781</v>
      </c>
      <c r="AT189" s="10" t="s">
        <v>3795</v>
      </c>
      <c r="AU189" s="96"/>
      <c r="AV189" s="17" t="s">
        <v>3902</v>
      </c>
      <c r="AW189" s="10" t="s">
        <v>1872</v>
      </c>
      <c r="AX189" s="7"/>
      <c r="AY189" s="10"/>
      <c r="AZ189" s="10"/>
      <c r="BA189" s="10" t="s">
        <v>1873</v>
      </c>
      <c r="BB189" s="18" t="s">
        <v>1874</v>
      </c>
      <c r="BC189" s="41" t="s">
        <v>1875</v>
      </c>
    </row>
    <row r="190" spans="1:55" ht="69" customHeight="1" x14ac:dyDescent="0.2">
      <c r="A190" s="88" t="s">
        <v>4374</v>
      </c>
      <c r="B190" s="6" t="s">
        <v>1876</v>
      </c>
      <c r="C190" s="7" t="s">
        <v>1867</v>
      </c>
      <c r="D190" s="8" t="s">
        <v>49</v>
      </c>
      <c r="E190" s="8" t="s">
        <v>50</v>
      </c>
      <c r="F190" s="9" t="s">
        <v>1868</v>
      </c>
      <c r="G190" s="9" t="s">
        <v>1869</v>
      </c>
      <c r="H190" s="10" t="s">
        <v>4156</v>
      </c>
      <c r="I190" s="10" t="s">
        <v>103</v>
      </c>
      <c r="J190" s="7" t="s">
        <v>1877</v>
      </c>
      <c r="K190" s="10" t="s">
        <v>55</v>
      </c>
      <c r="L190" s="9" t="s">
        <v>1868</v>
      </c>
      <c r="M190" s="9" t="s">
        <v>1869</v>
      </c>
      <c r="N190" s="10" t="s">
        <v>4156</v>
      </c>
      <c r="O190" s="8" t="s">
        <v>103</v>
      </c>
      <c r="P190" s="8" t="s">
        <v>56</v>
      </c>
      <c r="Q190" s="10" t="s">
        <v>1878</v>
      </c>
      <c r="R190" s="10" t="s">
        <v>529</v>
      </c>
      <c r="S190" s="10"/>
      <c r="T190" s="8" t="s">
        <v>73</v>
      </c>
      <c r="U190" s="11">
        <v>45206</v>
      </c>
      <c r="V190" s="12">
        <v>2023</v>
      </c>
      <c r="W190" s="13">
        <v>45371</v>
      </c>
      <c r="X190" s="14">
        <v>2024</v>
      </c>
      <c r="Y190" s="13" t="s">
        <v>94</v>
      </c>
      <c r="Z190" s="13" t="s">
        <v>94</v>
      </c>
      <c r="AA190" s="13" t="s">
        <v>94</v>
      </c>
      <c r="AB190" s="13" t="s">
        <v>94</v>
      </c>
      <c r="AC190" s="13" t="s">
        <v>94</v>
      </c>
      <c r="AD190" s="15"/>
      <c r="AE190" s="27"/>
      <c r="AF190" s="8" t="s">
        <v>106</v>
      </c>
      <c r="AG190" s="16">
        <v>46440000</v>
      </c>
      <c r="AH190" s="16">
        <v>46440000</v>
      </c>
      <c r="AI190" s="16">
        <v>46440000</v>
      </c>
      <c r="AJ190" s="16" t="s">
        <v>76</v>
      </c>
      <c r="AK190" s="16" t="s">
        <v>94</v>
      </c>
      <c r="AL190" s="16" t="s">
        <v>94</v>
      </c>
      <c r="AM190" s="16" t="s">
        <v>94</v>
      </c>
      <c r="AN190" s="10" t="s">
        <v>64</v>
      </c>
      <c r="AO190" s="8" t="s">
        <v>3757</v>
      </c>
      <c r="AP190" s="43">
        <v>1322</v>
      </c>
      <c r="AQ190" s="15" t="s">
        <v>94</v>
      </c>
      <c r="AR190" s="8" t="s">
        <v>3765</v>
      </c>
      <c r="AS190" s="10" t="s">
        <v>3781</v>
      </c>
      <c r="AT190" s="10" t="s">
        <v>3795</v>
      </c>
      <c r="AU190" s="96"/>
      <c r="AV190" s="17"/>
      <c r="AW190" s="10"/>
      <c r="AX190" s="7" t="s">
        <v>1879</v>
      </c>
      <c r="AY190" s="10" t="s">
        <v>1880</v>
      </c>
      <c r="AZ190" s="10" t="s">
        <v>1881</v>
      </c>
      <c r="BA190" s="10" t="s">
        <v>1882</v>
      </c>
      <c r="BB190" s="18"/>
      <c r="BC190" s="41" t="s">
        <v>1883</v>
      </c>
    </row>
    <row r="191" spans="1:55" ht="70" customHeight="1" x14ac:dyDescent="0.2">
      <c r="A191" s="88" t="s">
        <v>4375</v>
      </c>
      <c r="B191" s="6" t="s">
        <v>1884</v>
      </c>
      <c r="C191" s="7" t="s">
        <v>1867</v>
      </c>
      <c r="D191" s="8" t="s">
        <v>49</v>
      </c>
      <c r="E191" s="8" t="s">
        <v>50</v>
      </c>
      <c r="F191" s="9" t="s">
        <v>1868</v>
      </c>
      <c r="G191" s="9" t="s">
        <v>1869</v>
      </c>
      <c r="H191" s="10" t="s">
        <v>4156</v>
      </c>
      <c r="I191" s="10" t="s">
        <v>103</v>
      </c>
      <c r="J191" s="7" t="s">
        <v>1885</v>
      </c>
      <c r="K191" s="10" t="s">
        <v>55</v>
      </c>
      <c r="L191" s="9" t="s">
        <v>1868</v>
      </c>
      <c r="M191" s="9" t="s">
        <v>1869</v>
      </c>
      <c r="N191" s="10" t="s">
        <v>4156</v>
      </c>
      <c r="O191" s="8" t="s">
        <v>103</v>
      </c>
      <c r="P191" s="8" t="s">
        <v>56</v>
      </c>
      <c r="Q191" s="10" t="s">
        <v>1886</v>
      </c>
      <c r="R191" s="10" t="s">
        <v>72</v>
      </c>
      <c r="S191" s="10"/>
      <c r="T191" s="8" t="s">
        <v>60</v>
      </c>
      <c r="U191" s="11">
        <v>43062</v>
      </c>
      <c r="V191" s="12">
        <v>2017</v>
      </c>
      <c r="W191" s="13">
        <v>45631</v>
      </c>
      <c r="X191" s="14">
        <v>2024</v>
      </c>
      <c r="Y191" s="13" t="s">
        <v>94</v>
      </c>
      <c r="Z191" s="13" t="s">
        <v>94</v>
      </c>
      <c r="AA191" s="13" t="s">
        <v>94</v>
      </c>
      <c r="AB191" s="13" t="s">
        <v>94</v>
      </c>
      <c r="AC191" s="13" t="s">
        <v>94</v>
      </c>
      <c r="AD191" s="15"/>
      <c r="AE191" s="27"/>
      <c r="AF191" s="8" t="s">
        <v>1887</v>
      </c>
      <c r="AG191" s="16">
        <v>480000000</v>
      </c>
      <c r="AH191" s="16">
        <v>5360</v>
      </c>
      <c r="AI191" s="16">
        <v>5360</v>
      </c>
      <c r="AJ191" s="16" t="s">
        <v>76</v>
      </c>
      <c r="AK191" s="28" t="s">
        <v>94</v>
      </c>
      <c r="AL191" s="16" t="s">
        <v>94</v>
      </c>
      <c r="AM191" s="16" t="s">
        <v>94</v>
      </c>
      <c r="AN191" s="10" t="s">
        <v>64</v>
      </c>
      <c r="AO191" s="8" t="s">
        <v>3756</v>
      </c>
      <c r="AP191" s="15">
        <v>1</v>
      </c>
      <c r="AQ191" s="15" t="s">
        <v>94</v>
      </c>
      <c r="AR191" s="8" t="s">
        <v>3762</v>
      </c>
      <c r="AS191" s="10" t="s">
        <v>3781</v>
      </c>
      <c r="AT191" s="10" t="s">
        <v>1888</v>
      </c>
      <c r="AU191" s="96"/>
      <c r="AV191" s="17"/>
      <c r="AW191" s="10"/>
      <c r="AX191" s="7" t="s">
        <v>436</v>
      </c>
      <c r="AY191" s="10" t="s">
        <v>1889</v>
      </c>
      <c r="AZ191" s="10" t="s">
        <v>1890</v>
      </c>
      <c r="BA191" s="10" t="s">
        <v>1891</v>
      </c>
      <c r="BB191" s="18"/>
      <c r="BC191" s="41" t="s">
        <v>1892</v>
      </c>
    </row>
    <row r="192" spans="1:55" ht="70" customHeight="1" x14ac:dyDescent="0.2">
      <c r="A192" s="88" t="s">
        <v>4376</v>
      </c>
      <c r="B192" s="6" t="s">
        <v>1893</v>
      </c>
      <c r="C192" s="7" t="s">
        <v>1894</v>
      </c>
      <c r="D192" s="8" t="s">
        <v>49</v>
      </c>
      <c r="E192" s="8" t="s">
        <v>50</v>
      </c>
      <c r="F192" s="9" t="s">
        <v>1895</v>
      </c>
      <c r="G192" s="9" t="s">
        <v>1896</v>
      </c>
      <c r="H192" s="10" t="s">
        <v>380</v>
      </c>
      <c r="I192" s="10" t="s">
        <v>381</v>
      </c>
      <c r="J192" s="7" t="s">
        <v>1897</v>
      </c>
      <c r="K192" s="10" t="s">
        <v>55</v>
      </c>
      <c r="L192" s="9" t="s">
        <v>1895</v>
      </c>
      <c r="M192" s="9" t="s">
        <v>1896</v>
      </c>
      <c r="N192" s="10" t="s">
        <v>380</v>
      </c>
      <c r="O192" s="8" t="s">
        <v>381</v>
      </c>
      <c r="P192" s="8" t="s">
        <v>56</v>
      </c>
      <c r="Q192" s="10" t="s">
        <v>1898</v>
      </c>
      <c r="R192" s="10" t="s">
        <v>59</v>
      </c>
      <c r="S192" s="10"/>
      <c r="T192" s="8" t="s">
        <v>60</v>
      </c>
      <c r="U192" s="11">
        <v>43466</v>
      </c>
      <c r="V192" s="12">
        <v>2019</v>
      </c>
      <c r="W192" s="13">
        <v>44145</v>
      </c>
      <c r="X192" s="14">
        <v>2020</v>
      </c>
      <c r="Y192" s="13" t="s">
        <v>94</v>
      </c>
      <c r="Z192" s="13" t="s">
        <v>94</v>
      </c>
      <c r="AA192" s="13" t="s">
        <v>94</v>
      </c>
      <c r="AB192" s="13" t="s">
        <v>94</v>
      </c>
      <c r="AC192" s="13" t="s">
        <v>94</v>
      </c>
      <c r="AD192" s="15"/>
      <c r="AE192" s="27"/>
      <c r="AF192" s="8" t="s">
        <v>106</v>
      </c>
      <c r="AG192" s="16">
        <v>200000</v>
      </c>
      <c r="AH192" s="16">
        <v>200000</v>
      </c>
      <c r="AI192" s="16">
        <v>242407.78</v>
      </c>
      <c r="AJ192" s="16" t="s">
        <v>76</v>
      </c>
      <c r="AK192" s="28" t="s">
        <v>94</v>
      </c>
      <c r="AL192" s="16" t="s">
        <v>94</v>
      </c>
      <c r="AM192" s="16" t="s">
        <v>94</v>
      </c>
      <c r="AN192" s="10" t="s">
        <v>64</v>
      </c>
      <c r="AO192" s="8" t="s">
        <v>3756</v>
      </c>
      <c r="AP192" s="15">
        <v>1</v>
      </c>
      <c r="AQ192" s="15" t="s">
        <v>94</v>
      </c>
      <c r="AR192" s="8" t="s">
        <v>3761</v>
      </c>
      <c r="AS192" s="10" t="s">
        <v>3781</v>
      </c>
      <c r="AT192" s="10" t="s">
        <v>1899</v>
      </c>
      <c r="AU192" s="96"/>
      <c r="AV192" s="17"/>
      <c r="AW192" s="10"/>
      <c r="AX192" s="7" t="s">
        <v>4038</v>
      </c>
      <c r="AY192" s="10" t="s">
        <v>1900</v>
      </c>
      <c r="AZ192" s="10" t="s">
        <v>1901</v>
      </c>
      <c r="BA192" s="10" t="s">
        <v>1902</v>
      </c>
      <c r="BB192" s="18"/>
      <c r="BC192" s="41" t="s">
        <v>1903</v>
      </c>
    </row>
    <row r="193" spans="1:55" ht="69" customHeight="1" x14ac:dyDescent="0.2">
      <c r="A193" s="88" t="s">
        <v>4377</v>
      </c>
      <c r="B193" s="6" t="s">
        <v>1904</v>
      </c>
      <c r="C193" s="7" t="s">
        <v>1641</v>
      </c>
      <c r="D193" s="8" t="s">
        <v>49</v>
      </c>
      <c r="E193" s="8" t="s">
        <v>50</v>
      </c>
      <c r="F193" s="9" t="s">
        <v>1642</v>
      </c>
      <c r="G193" s="9" t="s">
        <v>1643</v>
      </c>
      <c r="H193" s="10" t="s">
        <v>4156</v>
      </c>
      <c r="I193" s="10" t="s">
        <v>53</v>
      </c>
      <c r="J193" s="7" t="s">
        <v>1905</v>
      </c>
      <c r="K193" s="10" t="s">
        <v>55</v>
      </c>
      <c r="L193" s="30" t="s">
        <v>2042</v>
      </c>
      <c r="M193" s="30" t="s">
        <v>537</v>
      </c>
      <c r="N193" s="30" t="s">
        <v>4185</v>
      </c>
      <c r="O193" s="30" t="s">
        <v>4185</v>
      </c>
      <c r="P193" s="8" t="s">
        <v>144</v>
      </c>
      <c r="Q193" s="10" t="s">
        <v>1906</v>
      </c>
      <c r="R193" s="10" t="s">
        <v>529</v>
      </c>
      <c r="S193" s="10"/>
      <c r="T193" s="8" t="s">
        <v>73</v>
      </c>
      <c r="U193" s="11">
        <v>32498</v>
      </c>
      <c r="V193" s="12">
        <v>1988</v>
      </c>
      <c r="W193" s="13">
        <v>37847</v>
      </c>
      <c r="X193" s="14">
        <v>2003</v>
      </c>
      <c r="Y193" s="13">
        <v>37847</v>
      </c>
      <c r="Z193" s="15">
        <v>2003</v>
      </c>
      <c r="AA193" s="13">
        <v>39448</v>
      </c>
      <c r="AB193" s="14">
        <v>2008</v>
      </c>
      <c r="AC193" s="14">
        <v>5</v>
      </c>
      <c r="AD193" s="14">
        <v>2008</v>
      </c>
      <c r="AE193" s="27"/>
      <c r="AF193" s="8" t="s">
        <v>106</v>
      </c>
      <c r="AG193" s="16">
        <v>2700000000</v>
      </c>
      <c r="AH193" s="16">
        <v>2700000000</v>
      </c>
      <c r="AI193" s="16">
        <v>4603045108.6999998</v>
      </c>
      <c r="AJ193" s="16" t="s">
        <v>76</v>
      </c>
      <c r="AK193" s="28">
        <v>2700000000</v>
      </c>
      <c r="AL193" s="16">
        <v>2700000000</v>
      </c>
      <c r="AM193" s="16">
        <v>3933806310.1799998</v>
      </c>
      <c r="AN193" s="10" t="s">
        <v>64</v>
      </c>
      <c r="AO193" s="8" t="s">
        <v>3758</v>
      </c>
      <c r="AP193" s="15">
        <v>270</v>
      </c>
      <c r="AQ193" s="15">
        <v>270</v>
      </c>
      <c r="AR193" s="8" t="s">
        <v>3775</v>
      </c>
      <c r="AS193" s="10" t="s">
        <v>3781</v>
      </c>
      <c r="AT193" s="10" t="s">
        <v>3795</v>
      </c>
      <c r="AU193" s="96"/>
      <c r="AV193" s="17" t="s">
        <v>3903</v>
      </c>
      <c r="AW193" s="10"/>
      <c r="AX193" s="7" t="s">
        <v>4039</v>
      </c>
      <c r="AY193" s="10" t="s">
        <v>1907</v>
      </c>
      <c r="AZ193" s="10" t="s">
        <v>1908</v>
      </c>
      <c r="BA193" s="10" t="s">
        <v>1909</v>
      </c>
      <c r="BB193" s="18" t="s">
        <v>1910</v>
      </c>
      <c r="BC193" s="41" t="s">
        <v>1911</v>
      </c>
    </row>
    <row r="194" spans="1:55" ht="69" customHeight="1" x14ac:dyDescent="0.2">
      <c r="A194" s="88" t="s">
        <v>4378</v>
      </c>
      <c r="B194" s="6" t="s">
        <v>1912</v>
      </c>
      <c r="C194" s="7" t="s">
        <v>1641</v>
      </c>
      <c r="D194" s="8" t="s">
        <v>49</v>
      </c>
      <c r="E194" s="8" t="s">
        <v>50</v>
      </c>
      <c r="F194" s="9" t="s">
        <v>1642</v>
      </c>
      <c r="G194" s="9" t="s">
        <v>1643</v>
      </c>
      <c r="H194" s="10" t="s">
        <v>4156</v>
      </c>
      <c r="I194" s="10" t="s">
        <v>53</v>
      </c>
      <c r="J194" s="7" t="s">
        <v>1913</v>
      </c>
      <c r="K194" s="10" t="s">
        <v>55</v>
      </c>
      <c r="L194" s="30" t="s">
        <v>2042</v>
      </c>
      <c r="M194" s="30" t="s">
        <v>537</v>
      </c>
      <c r="N194" s="30" t="s">
        <v>4185</v>
      </c>
      <c r="O194" s="30" t="s">
        <v>4185</v>
      </c>
      <c r="P194" s="8" t="s">
        <v>144</v>
      </c>
      <c r="Q194" s="10" t="s">
        <v>1914</v>
      </c>
      <c r="R194" s="10" t="s">
        <v>529</v>
      </c>
      <c r="S194" s="10"/>
      <c r="T194" s="8" t="s">
        <v>73</v>
      </c>
      <c r="U194" s="11">
        <v>31507</v>
      </c>
      <c r="V194" s="12">
        <v>1986</v>
      </c>
      <c r="W194" s="13">
        <v>38209</v>
      </c>
      <c r="X194" s="14">
        <v>2004</v>
      </c>
      <c r="Y194" s="13" t="s">
        <v>94</v>
      </c>
      <c r="Z194" s="13" t="s">
        <v>94</v>
      </c>
      <c r="AA194" s="13" t="s">
        <v>94</v>
      </c>
      <c r="AB194" s="13" t="s">
        <v>94</v>
      </c>
      <c r="AC194" s="13" t="s">
        <v>94</v>
      </c>
      <c r="AD194" s="13"/>
      <c r="AE194" s="27"/>
      <c r="AF194" s="8" t="s">
        <v>106</v>
      </c>
      <c r="AG194" s="16">
        <v>35000000</v>
      </c>
      <c r="AH194" s="16">
        <v>35000000</v>
      </c>
      <c r="AI194" s="16">
        <v>58121307.57</v>
      </c>
      <c r="AJ194" s="16" t="s">
        <v>76</v>
      </c>
      <c r="AK194" s="28" t="s">
        <v>94</v>
      </c>
      <c r="AL194" s="16" t="s">
        <v>94</v>
      </c>
      <c r="AM194" s="16" t="s">
        <v>94</v>
      </c>
      <c r="AN194" s="10" t="s">
        <v>64</v>
      </c>
      <c r="AO194" s="8" t="s">
        <v>3756</v>
      </c>
      <c r="AP194" s="15">
        <v>150</v>
      </c>
      <c r="AQ194" s="15" t="s">
        <v>94</v>
      </c>
      <c r="AR194" s="8" t="s">
        <v>3769</v>
      </c>
      <c r="AS194" s="10" t="s">
        <v>3781</v>
      </c>
      <c r="AT194" s="10" t="s">
        <v>3795</v>
      </c>
      <c r="AU194" s="96"/>
      <c r="AV194" s="17" t="s">
        <v>1915</v>
      </c>
      <c r="AW194" s="10"/>
      <c r="AX194" s="7" t="s">
        <v>883</v>
      </c>
      <c r="AY194" s="10" t="s">
        <v>1916</v>
      </c>
      <c r="AZ194" s="10" t="s">
        <v>1917</v>
      </c>
      <c r="BA194" s="10" t="s">
        <v>1918</v>
      </c>
      <c r="BB194" s="18"/>
      <c r="BC194" s="41" t="s">
        <v>1919</v>
      </c>
    </row>
    <row r="195" spans="1:55" ht="69" customHeight="1" x14ac:dyDescent="0.2">
      <c r="A195" s="88" t="s">
        <v>4379</v>
      </c>
      <c r="B195" s="6" t="s">
        <v>1920</v>
      </c>
      <c r="C195" s="7" t="s">
        <v>1641</v>
      </c>
      <c r="D195" s="8" t="s">
        <v>49</v>
      </c>
      <c r="E195" s="8" t="s">
        <v>50</v>
      </c>
      <c r="F195" s="9" t="s">
        <v>1642</v>
      </c>
      <c r="G195" s="9" t="s">
        <v>1643</v>
      </c>
      <c r="H195" s="10" t="s">
        <v>4156</v>
      </c>
      <c r="I195" s="10" t="s">
        <v>53</v>
      </c>
      <c r="J195" s="7" t="s">
        <v>1921</v>
      </c>
      <c r="K195" s="10" t="s">
        <v>55</v>
      </c>
      <c r="L195" s="9" t="s">
        <v>922</v>
      </c>
      <c r="M195" s="9" t="s">
        <v>923</v>
      </c>
      <c r="N195" s="10" t="s">
        <v>572</v>
      </c>
      <c r="O195" s="8" t="s">
        <v>140</v>
      </c>
      <c r="P195" s="8" t="s">
        <v>144</v>
      </c>
      <c r="Q195" s="10" t="s">
        <v>1922</v>
      </c>
      <c r="R195" s="10" t="s">
        <v>529</v>
      </c>
      <c r="S195" s="10"/>
      <c r="T195" s="8" t="s">
        <v>73</v>
      </c>
      <c r="U195" s="11">
        <v>29221</v>
      </c>
      <c r="V195" s="12">
        <v>1980</v>
      </c>
      <c r="W195" s="13">
        <v>39674</v>
      </c>
      <c r="X195" s="14">
        <v>2008</v>
      </c>
      <c r="Y195" s="13">
        <v>39448</v>
      </c>
      <c r="Z195" s="14">
        <v>2008</v>
      </c>
      <c r="AA195" s="13">
        <v>39448</v>
      </c>
      <c r="AB195" s="14">
        <v>2008</v>
      </c>
      <c r="AC195" s="14">
        <v>0</v>
      </c>
      <c r="AD195" s="15">
        <v>2008</v>
      </c>
      <c r="AE195" s="27"/>
      <c r="AF195" s="8" t="s">
        <v>106</v>
      </c>
      <c r="AG195" s="16">
        <v>1800000000</v>
      </c>
      <c r="AH195" s="16">
        <v>1800000000</v>
      </c>
      <c r="AI195" s="16">
        <v>2622537540.1199999</v>
      </c>
      <c r="AJ195" s="16" t="s">
        <v>76</v>
      </c>
      <c r="AK195" s="16">
        <v>1500000000</v>
      </c>
      <c r="AL195" s="16">
        <v>1500000000</v>
      </c>
      <c r="AM195" s="16">
        <v>2185447950.0999999</v>
      </c>
      <c r="AN195" s="10" t="s">
        <v>64</v>
      </c>
      <c r="AO195" s="8" t="s">
        <v>3758</v>
      </c>
      <c r="AP195" s="15" t="s">
        <v>94</v>
      </c>
      <c r="AQ195" s="15" t="s">
        <v>94</v>
      </c>
      <c r="AR195" s="8" t="s">
        <v>3759</v>
      </c>
      <c r="AS195" s="10" t="s">
        <v>292</v>
      </c>
      <c r="AT195" s="10" t="s">
        <v>3795</v>
      </c>
      <c r="AU195" s="96"/>
      <c r="AV195" s="17"/>
      <c r="AW195" s="10"/>
      <c r="AX195" s="7" t="s">
        <v>4040</v>
      </c>
      <c r="AY195" s="10" t="s">
        <v>1923</v>
      </c>
      <c r="AZ195" s="10" t="s">
        <v>1924</v>
      </c>
      <c r="BA195" s="10" t="s">
        <v>1925</v>
      </c>
      <c r="BB195" s="18"/>
      <c r="BC195" s="41" t="s">
        <v>1926</v>
      </c>
    </row>
    <row r="196" spans="1:55" ht="69" customHeight="1" x14ac:dyDescent="0.2">
      <c r="A196" s="88" t="s">
        <v>4380</v>
      </c>
      <c r="B196" s="6" t="s">
        <v>1927</v>
      </c>
      <c r="C196" s="7" t="s">
        <v>1928</v>
      </c>
      <c r="D196" s="8" t="s">
        <v>49</v>
      </c>
      <c r="E196" s="8" t="s">
        <v>50</v>
      </c>
      <c r="F196" s="9" t="s">
        <v>1642</v>
      </c>
      <c r="G196" s="9" t="s">
        <v>1643</v>
      </c>
      <c r="H196" s="10" t="s">
        <v>4156</v>
      </c>
      <c r="I196" s="10" t="s">
        <v>53</v>
      </c>
      <c r="J196" s="7" t="s">
        <v>1929</v>
      </c>
      <c r="K196" s="10" t="s">
        <v>55</v>
      </c>
      <c r="L196" s="9" t="s">
        <v>1642</v>
      </c>
      <c r="M196" s="9" t="s">
        <v>1643</v>
      </c>
      <c r="N196" s="10" t="s">
        <v>4156</v>
      </c>
      <c r="O196" s="8" t="s">
        <v>53</v>
      </c>
      <c r="P196" s="8" t="s">
        <v>56</v>
      </c>
      <c r="Q196" s="10" t="s">
        <v>1930</v>
      </c>
      <c r="R196" s="10" t="s">
        <v>72</v>
      </c>
      <c r="S196" s="10"/>
      <c r="T196" s="8" t="s">
        <v>73</v>
      </c>
      <c r="U196" s="11">
        <v>40544</v>
      </c>
      <c r="V196" s="12">
        <v>2011</v>
      </c>
      <c r="W196" s="13">
        <v>42613</v>
      </c>
      <c r="X196" s="14">
        <v>2016</v>
      </c>
      <c r="Y196" s="13" t="s">
        <v>94</v>
      </c>
      <c r="Z196" s="13" t="s">
        <v>94</v>
      </c>
      <c r="AA196" s="13" t="s">
        <v>94</v>
      </c>
      <c r="AB196" s="13" t="s">
        <v>94</v>
      </c>
      <c r="AC196" s="13" t="s">
        <v>94</v>
      </c>
      <c r="AD196" s="15"/>
      <c r="AE196" s="27"/>
      <c r="AF196" s="8" t="s">
        <v>1931</v>
      </c>
      <c r="AG196" s="16">
        <v>460000000</v>
      </c>
      <c r="AH196" s="16">
        <v>330847498.93000001</v>
      </c>
      <c r="AI196" s="16">
        <v>432417475.70999998</v>
      </c>
      <c r="AJ196" s="16" t="s">
        <v>76</v>
      </c>
      <c r="AK196" s="28" t="s">
        <v>94</v>
      </c>
      <c r="AL196" s="16" t="s">
        <v>94</v>
      </c>
      <c r="AM196" s="16" t="s">
        <v>94</v>
      </c>
      <c r="AN196" s="10" t="s">
        <v>64</v>
      </c>
      <c r="AO196" s="8" t="s">
        <v>3757</v>
      </c>
      <c r="AP196" s="15" t="s">
        <v>94</v>
      </c>
      <c r="AQ196" s="15" t="s">
        <v>94</v>
      </c>
      <c r="AR196" s="8" t="s">
        <v>3770</v>
      </c>
      <c r="AS196" s="10" t="s">
        <v>292</v>
      </c>
      <c r="AT196" s="10" t="s">
        <v>1932</v>
      </c>
      <c r="AU196" s="96"/>
      <c r="AV196" s="17" t="s">
        <v>1933</v>
      </c>
      <c r="AW196" s="10" t="s">
        <v>1934</v>
      </c>
      <c r="AX196" s="7" t="s">
        <v>1935</v>
      </c>
      <c r="AY196" s="10" t="s">
        <v>1936</v>
      </c>
      <c r="AZ196" s="10" t="s">
        <v>1937</v>
      </c>
      <c r="BA196" s="10" t="s">
        <v>1938</v>
      </c>
      <c r="BB196" s="18"/>
      <c r="BC196" s="41" t="s">
        <v>1939</v>
      </c>
    </row>
    <row r="197" spans="1:55" ht="69" customHeight="1" x14ac:dyDescent="0.2">
      <c r="A197" s="88" t="s">
        <v>4381</v>
      </c>
      <c r="B197" s="6" t="s">
        <v>1940</v>
      </c>
      <c r="C197" s="7" t="s">
        <v>1941</v>
      </c>
      <c r="D197" s="8" t="s">
        <v>49</v>
      </c>
      <c r="E197" s="8" t="s">
        <v>50</v>
      </c>
      <c r="F197" s="9" t="s">
        <v>1942</v>
      </c>
      <c r="G197" s="9" t="s">
        <v>1943</v>
      </c>
      <c r="H197" s="10" t="s">
        <v>4154</v>
      </c>
      <c r="I197" s="10" t="s">
        <v>140</v>
      </c>
      <c r="J197" s="7" t="s">
        <v>1944</v>
      </c>
      <c r="K197" s="10" t="s">
        <v>55</v>
      </c>
      <c r="L197" s="9" t="s">
        <v>1942</v>
      </c>
      <c r="M197" s="9" t="s">
        <v>1943</v>
      </c>
      <c r="N197" s="10" t="s">
        <v>4154</v>
      </c>
      <c r="O197" s="8" t="s">
        <v>140</v>
      </c>
      <c r="P197" s="8" t="s">
        <v>56</v>
      </c>
      <c r="Q197" s="10" t="s">
        <v>1945</v>
      </c>
      <c r="R197" s="10" t="s">
        <v>177</v>
      </c>
      <c r="S197" s="10"/>
      <c r="T197" s="8" t="s">
        <v>73</v>
      </c>
      <c r="U197" s="11">
        <v>14489</v>
      </c>
      <c r="V197" s="12">
        <v>1939</v>
      </c>
      <c r="W197" s="13">
        <v>44926</v>
      </c>
      <c r="X197" s="14">
        <v>2022</v>
      </c>
      <c r="Y197" s="13" t="s">
        <v>94</v>
      </c>
      <c r="Z197" s="13" t="s">
        <v>94</v>
      </c>
      <c r="AA197" s="13" t="s">
        <v>94</v>
      </c>
      <c r="AB197" s="13" t="s">
        <v>94</v>
      </c>
      <c r="AC197" s="13" t="s">
        <v>94</v>
      </c>
      <c r="AD197" s="15"/>
      <c r="AE197" s="27" t="s">
        <v>1946</v>
      </c>
      <c r="AF197" s="8" t="s">
        <v>75</v>
      </c>
      <c r="AG197" s="16">
        <v>37000000</v>
      </c>
      <c r="AH197" s="16">
        <v>38000000</v>
      </c>
      <c r="AI197" s="16">
        <v>40731174.93</v>
      </c>
      <c r="AJ197" s="16" t="s">
        <v>76</v>
      </c>
      <c r="AK197" s="28" t="s">
        <v>94</v>
      </c>
      <c r="AL197" s="16" t="s">
        <v>94</v>
      </c>
      <c r="AM197" s="16" t="s">
        <v>94</v>
      </c>
      <c r="AN197" s="10" t="s">
        <v>64</v>
      </c>
      <c r="AO197" s="8" t="s">
        <v>3757</v>
      </c>
      <c r="AP197" s="15" t="s">
        <v>94</v>
      </c>
      <c r="AQ197" s="15" t="s">
        <v>94</v>
      </c>
      <c r="AR197" s="8" t="s">
        <v>3765</v>
      </c>
      <c r="AS197" s="69" t="s">
        <v>3819</v>
      </c>
      <c r="AT197" s="10" t="s">
        <v>3795</v>
      </c>
      <c r="AU197" s="96"/>
      <c r="AV197" s="17"/>
      <c r="AW197" s="10"/>
      <c r="AX197" s="7" t="s">
        <v>1280</v>
      </c>
      <c r="AY197" s="10" t="s">
        <v>1947</v>
      </c>
      <c r="AZ197" s="10" t="s">
        <v>1948</v>
      </c>
      <c r="BA197" s="10" t="s">
        <v>1949</v>
      </c>
      <c r="BB197" s="18" t="s">
        <v>1950</v>
      </c>
      <c r="BC197" s="41" t="s">
        <v>1951</v>
      </c>
    </row>
    <row r="198" spans="1:55" ht="69" customHeight="1" x14ac:dyDescent="0.2">
      <c r="A198" s="88" t="s">
        <v>4382</v>
      </c>
      <c r="B198" s="6" t="s">
        <v>1952</v>
      </c>
      <c r="C198" s="7" t="s">
        <v>1953</v>
      </c>
      <c r="D198" s="8" t="s">
        <v>49</v>
      </c>
      <c r="E198" s="8" t="s">
        <v>50</v>
      </c>
      <c r="F198" s="9" t="s">
        <v>1954</v>
      </c>
      <c r="G198" s="9" t="s">
        <v>1955</v>
      </c>
      <c r="H198" s="10" t="s">
        <v>380</v>
      </c>
      <c r="I198" s="10" t="s">
        <v>381</v>
      </c>
      <c r="J198" s="7" t="s">
        <v>1956</v>
      </c>
      <c r="K198" s="10" t="s">
        <v>55</v>
      </c>
      <c r="L198" s="9" t="s">
        <v>1954</v>
      </c>
      <c r="M198" s="9" t="s">
        <v>1955</v>
      </c>
      <c r="N198" s="10" t="s">
        <v>380</v>
      </c>
      <c r="O198" s="8" t="s">
        <v>381</v>
      </c>
      <c r="P198" s="8" t="s">
        <v>56</v>
      </c>
      <c r="Q198" s="10" t="s">
        <v>1957</v>
      </c>
      <c r="R198" s="10" t="s">
        <v>72</v>
      </c>
      <c r="S198" s="10"/>
      <c r="T198" s="8" t="s">
        <v>60</v>
      </c>
      <c r="U198" s="11">
        <v>23564</v>
      </c>
      <c r="V198" s="12">
        <v>1964</v>
      </c>
      <c r="W198" s="13">
        <v>34472</v>
      </c>
      <c r="X198" s="14">
        <v>1994</v>
      </c>
      <c r="Y198" s="13">
        <v>35217</v>
      </c>
      <c r="Z198" s="15">
        <v>1996</v>
      </c>
      <c r="AA198" s="13">
        <v>37622</v>
      </c>
      <c r="AB198" s="15">
        <v>2003</v>
      </c>
      <c r="AC198" s="15">
        <v>7</v>
      </c>
      <c r="AD198" s="15">
        <v>2003</v>
      </c>
      <c r="AE198" s="27" t="s">
        <v>1958</v>
      </c>
      <c r="AF198" s="8" t="s">
        <v>1959</v>
      </c>
      <c r="AG198" s="28">
        <v>100000000</v>
      </c>
      <c r="AH198" s="16">
        <v>1026351.84</v>
      </c>
      <c r="AI198" s="16">
        <v>1749756.97</v>
      </c>
      <c r="AJ198" s="16" t="s">
        <v>63</v>
      </c>
      <c r="AK198" s="28">
        <v>100000000</v>
      </c>
      <c r="AL198" s="16">
        <v>1026351.84</v>
      </c>
      <c r="AM198" s="16">
        <v>1749756.97</v>
      </c>
      <c r="AN198" s="10" t="s">
        <v>64</v>
      </c>
      <c r="AO198" s="8" t="s">
        <v>3757</v>
      </c>
      <c r="AP198" s="43">
        <v>25000</v>
      </c>
      <c r="AQ198" s="43">
        <v>7600</v>
      </c>
      <c r="AR198" s="8" t="s">
        <v>3765</v>
      </c>
      <c r="AS198" s="10" t="s">
        <v>3781</v>
      </c>
      <c r="AT198" s="10" t="s">
        <v>3795</v>
      </c>
      <c r="AU198" s="96"/>
      <c r="AV198" s="17" t="s">
        <v>3904</v>
      </c>
      <c r="AW198" s="10" t="s">
        <v>1960</v>
      </c>
      <c r="AX198" s="7" t="s">
        <v>1182</v>
      </c>
      <c r="AY198" s="10" t="s">
        <v>1961</v>
      </c>
      <c r="AZ198" s="10" t="s">
        <v>1962</v>
      </c>
      <c r="BA198" s="10" t="s">
        <v>1963</v>
      </c>
      <c r="BB198" s="18" t="s">
        <v>1964</v>
      </c>
      <c r="BC198" s="41" t="s">
        <v>1965</v>
      </c>
    </row>
    <row r="199" spans="1:55" ht="70" customHeight="1" x14ac:dyDescent="0.2">
      <c r="A199" s="88" t="s">
        <v>4383</v>
      </c>
      <c r="B199" s="6" t="s">
        <v>1966</v>
      </c>
      <c r="C199" s="7" t="s">
        <v>1967</v>
      </c>
      <c r="D199" s="8" t="s">
        <v>49</v>
      </c>
      <c r="E199" s="8" t="s">
        <v>50</v>
      </c>
      <c r="F199" s="9" t="s">
        <v>1968</v>
      </c>
      <c r="G199" s="9" t="s">
        <v>1969</v>
      </c>
      <c r="H199" s="10" t="s">
        <v>4155</v>
      </c>
      <c r="I199" s="10" t="s">
        <v>53</v>
      </c>
      <c r="J199" s="7" t="s">
        <v>1970</v>
      </c>
      <c r="K199" s="10" t="s">
        <v>55</v>
      </c>
      <c r="L199" s="9" t="s">
        <v>1968</v>
      </c>
      <c r="M199" s="9" t="s">
        <v>1969</v>
      </c>
      <c r="N199" s="10" t="s">
        <v>4592</v>
      </c>
      <c r="O199" s="8" t="s">
        <v>53</v>
      </c>
      <c r="P199" s="8" t="s">
        <v>56</v>
      </c>
      <c r="Q199" s="10" t="s">
        <v>1971</v>
      </c>
      <c r="R199" s="10" t="s">
        <v>59</v>
      </c>
      <c r="S199" s="10"/>
      <c r="T199" s="8" t="s">
        <v>60</v>
      </c>
      <c r="U199" s="11">
        <v>15342</v>
      </c>
      <c r="V199" s="12">
        <v>1942</v>
      </c>
      <c r="W199" s="13" t="s">
        <v>94</v>
      </c>
      <c r="X199" s="14">
        <v>2008</v>
      </c>
      <c r="Y199" s="14" t="s">
        <v>94</v>
      </c>
      <c r="Z199" s="14" t="s">
        <v>94</v>
      </c>
      <c r="AA199" s="14" t="s">
        <v>94</v>
      </c>
      <c r="AB199" s="14" t="s">
        <v>94</v>
      </c>
      <c r="AC199" s="14" t="s">
        <v>94</v>
      </c>
      <c r="AD199" s="13"/>
      <c r="AE199" s="27"/>
      <c r="AF199" s="8" t="s">
        <v>106</v>
      </c>
      <c r="AG199" s="16">
        <v>14600000</v>
      </c>
      <c r="AH199" s="16">
        <v>14600000</v>
      </c>
      <c r="AI199" s="16">
        <v>21271693.379999999</v>
      </c>
      <c r="AJ199" s="16" t="s">
        <v>76</v>
      </c>
      <c r="AK199" s="28" t="s">
        <v>94</v>
      </c>
      <c r="AL199" s="28" t="s">
        <v>94</v>
      </c>
      <c r="AM199" s="28" t="s">
        <v>94</v>
      </c>
      <c r="AN199" s="10" t="s">
        <v>64</v>
      </c>
      <c r="AO199" s="8" t="s">
        <v>3757</v>
      </c>
      <c r="AP199" s="43">
        <v>49000</v>
      </c>
      <c r="AQ199" s="15" t="s">
        <v>94</v>
      </c>
      <c r="AR199" s="8" t="s">
        <v>3764</v>
      </c>
      <c r="AS199" s="10" t="s">
        <v>3781</v>
      </c>
      <c r="AT199" s="10" t="s">
        <v>3795</v>
      </c>
      <c r="AU199" s="96"/>
      <c r="AV199" s="17" t="s">
        <v>1972</v>
      </c>
      <c r="AW199" s="10"/>
      <c r="AX199" s="7" t="s">
        <v>3840</v>
      </c>
      <c r="AY199" s="10" t="s">
        <v>1973</v>
      </c>
      <c r="AZ199" s="10" t="s">
        <v>4103</v>
      </c>
      <c r="BA199" s="10" t="s">
        <v>1974</v>
      </c>
      <c r="BB199" s="18"/>
      <c r="BC199" s="41" t="s">
        <v>1975</v>
      </c>
    </row>
    <row r="200" spans="1:55" ht="70" customHeight="1" x14ac:dyDescent="0.2">
      <c r="A200" s="88" t="s">
        <v>4384</v>
      </c>
      <c r="B200" s="6" t="s">
        <v>1976</v>
      </c>
      <c r="C200" s="7" t="s">
        <v>1967</v>
      </c>
      <c r="D200" s="8" t="s">
        <v>49</v>
      </c>
      <c r="E200" s="8" t="s">
        <v>50</v>
      </c>
      <c r="F200" s="9" t="s">
        <v>1968</v>
      </c>
      <c r="G200" s="9" t="s">
        <v>1969</v>
      </c>
      <c r="H200" s="10" t="s">
        <v>4155</v>
      </c>
      <c r="I200" s="10" t="s">
        <v>53</v>
      </c>
      <c r="J200" s="7" t="s">
        <v>1977</v>
      </c>
      <c r="K200" s="10" t="s">
        <v>55</v>
      </c>
      <c r="L200" s="9" t="s">
        <v>1968</v>
      </c>
      <c r="M200" s="9" t="s">
        <v>1969</v>
      </c>
      <c r="N200" s="10" t="s">
        <v>4592</v>
      </c>
      <c r="O200" s="8" t="s">
        <v>53</v>
      </c>
      <c r="P200" s="8" t="s">
        <v>56</v>
      </c>
      <c r="Q200" s="10" t="s">
        <v>1978</v>
      </c>
      <c r="R200" s="10" t="s">
        <v>72</v>
      </c>
      <c r="S200" s="10"/>
      <c r="T200" s="8" t="s">
        <v>73</v>
      </c>
      <c r="U200" s="11">
        <v>40414</v>
      </c>
      <c r="V200" s="12">
        <v>2010</v>
      </c>
      <c r="W200" s="13" t="s">
        <v>94</v>
      </c>
      <c r="X200" s="12">
        <v>2010</v>
      </c>
      <c r="Y200" s="13">
        <v>40179</v>
      </c>
      <c r="Z200" s="12">
        <v>2010</v>
      </c>
      <c r="AA200" s="13">
        <v>45292</v>
      </c>
      <c r="AB200" s="12">
        <v>2024</v>
      </c>
      <c r="AC200" s="15">
        <v>14</v>
      </c>
      <c r="AD200" s="15">
        <v>2024</v>
      </c>
      <c r="AE200" s="27" t="s">
        <v>1979</v>
      </c>
      <c r="AF200" s="8" t="s">
        <v>106</v>
      </c>
      <c r="AG200" s="28">
        <v>2100000</v>
      </c>
      <c r="AH200" s="16">
        <v>2100000</v>
      </c>
      <c r="AI200" s="16">
        <v>2100000</v>
      </c>
      <c r="AJ200" s="16" t="s">
        <v>63</v>
      </c>
      <c r="AK200" s="28">
        <v>2100000</v>
      </c>
      <c r="AL200" s="16">
        <v>2100000</v>
      </c>
      <c r="AM200" s="16">
        <v>2100000</v>
      </c>
      <c r="AN200" s="10" t="s">
        <v>64</v>
      </c>
      <c r="AO200" s="8" t="s">
        <v>3757</v>
      </c>
      <c r="AP200" s="15">
        <v>197</v>
      </c>
      <c r="AQ200" s="15">
        <v>6</v>
      </c>
      <c r="AR200" s="8" t="s">
        <v>3765</v>
      </c>
      <c r="AS200" s="10" t="s">
        <v>269</v>
      </c>
      <c r="AT200" s="10" t="s">
        <v>3795</v>
      </c>
      <c r="AU200" s="96"/>
      <c r="AV200" s="17"/>
      <c r="AW200" s="10"/>
      <c r="AX200" s="7" t="s">
        <v>3841</v>
      </c>
      <c r="AY200" s="10" t="s">
        <v>1980</v>
      </c>
      <c r="AZ200" s="10" t="s">
        <v>4123</v>
      </c>
      <c r="BA200" s="10" t="s">
        <v>1981</v>
      </c>
      <c r="BB200" s="18" t="s">
        <v>1982</v>
      </c>
      <c r="BC200" s="41" t="s">
        <v>1983</v>
      </c>
    </row>
    <row r="201" spans="1:55" ht="70" customHeight="1" x14ac:dyDescent="0.2">
      <c r="A201" s="88" t="s">
        <v>4385</v>
      </c>
      <c r="B201" s="6" t="s">
        <v>1984</v>
      </c>
      <c r="C201" s="7" t="s">
        <v>1967</v>
      </c>
      <c r="D201" s="8" t="s">
        <v>49</v>
      </c>
      <c r="E201" s="8" t="s">
        <v>50</v>
      </c>
      <c r="F201" s="9" t="s">
        <v>1968</v>
      </c>
      <c r="G201" s="9" t="s">
        <v>1969</v>
      </c>
      <c r="H201" s="10" t="s">
        <v>4155</v>
      </c>
      <c r="I201" s="10" t="s">
        <v>53</v>
      </c>
      <c r="J201" s="7" t="s">
        <v>1985</v>
      </c>
      <c r="K201" s="10" t="s">
        <v>55</v>
      </c>
      <c r="L201" s="9" t="s">
        <v>1968</v>
      </c>
      <c r="M201" s="9" t="s">
        <v>1969</v>
      </c>
      <c r="N201" s="10" t="s">
        <v>4592</v>
      </c>
      <c r="O201" s="8" t="s">
        <v>53</v>
      </c>
      <c r="P201" s="8" t="s">
        <v>56</v>
      </c>
      <c r="Q201" s="10" t="s">
        <v>1986</v>
      </c>
      <c r="R201" s="10" t="s">
        <v>72</v>
      </c>
      <c r="S201" s="10"/>
      <c r="T201" s="8" t="s">
        <v>73</v>
      </c>
      <c r="U201" s="11" t="s">
        <v>269</v>
      </c>
      <c r="V201" s="12" t="s">
        <v>269</v>
      </c>
      <c r="W201" s="13">
        <v>41029</v>
      </c>
      <c r="X201" s="14">
        <v>2012</v>
      </c>
      <c r="Y201" s="13">
        <v>41397</v>
      </c>
      <c r="Z201" s="15">
        <v>2013</v>
      </c>
      <c r="AA201" s="13">
        <v>42736</v>
      </c>
      <c r="AB201" s="15">
        <v>2017</v>
      </c>
      <c r="AC201" s="15">
        <v>4</v>
      </c>
      <c r="AD201" s="15">
        <v>2017</v>
      </c>
      <c r="AE201" s="27"/>
      <c r="AF201" s="8" t="s">
        <v>1987</v>
      </c>
      <c r="AG201" s="28">
        <v>634496755</v>
      </c>
      <c r="AH201" s="16">
        <v>33524222.449999999</v>
      </c>
      <c r="AI201" s="16">
        <v>42902169.619999997</v>
      </c>
      <c r="AJ201" s="16" t="s">
        <v>63</v>
      </c>
      <c r="AK201" s="28">
        <v>634496755</v>
      </c>
      <c r="AL201" s="16">
        <v>33524222.449999999</v>
      </c>
      <c r="AM201" s="16">
        <v>42902169.619999997</v>
      </c>
      <c r="AN201" s="54" t="s">
        <v>3755</v>
      </c>
      <c r="AO201" s="8" t="s">
        <v>3757</v>
      </c>
      <c r="AP201" s="43">
        <v>31228</v>
      </c>
      <c r="AQ201" s="43">
        <v>31228</v>
      </c>
      <c r="AR201" s="8" t="s">
        <v>3765</v>
      </c>
      <c r="AS201" s="10" t="s">
        <v>269</v>
      </c>
      <c r="AT201" s="10" t="s">
        <v>3795</v>
      </c>
      <c r="AU201" s="96"/>
      <c r="AV201" s="17" t="s">
        <v>1988</v>
      </c>
      <c r="AW201" s="10"/>
      <c r="AX201" s="7"/>
      <c r="AY201" s="10" t="s">
        <v>1989</v>
      </c>
      <c r="AZ201" s="10" t="s">
        <v>1990</v>
      </c>
      <c r="BA201" s="10" t="s">
        <v>1991</v>
      </c>
      <c r="BB201" s="18" t="s">
        <v>4174</v>
      </c>
      <c r="BC201" s="41" t="s">
        <v>1992</v>
      </c>
    </row>
    <row r="202" spans="1:55" ht="70" customHeight="1" x14ac:dyDescent="0.2">
      <c r="A202" s="88" t="s">
        <v>4386</v>
      </c>
      <c r="B202" s="6" t="s">
        <v>1993</v>
      </c>
      <c r="C202" s="7" t="s">
        <v>1994</v>
      </c>
      <c r="D202" s="8" t="s">
        <v>49</v>
      </c>
      <c r="E202" s="8" t="s">
        <v>50</v>
      </c>
      <c r="F202" s="9" t="s">
        <v>1995</v>
      </c>
      <c r="G202" s="9" t="s">
        <v>1996</v>
      </c>
      <c r="H202" s="10" t="s">
        <v>4153</v>
      </c>
      <c r="I202" s="10" t="s">
        <v>53</v>
      </c>
      <c r="J202" s="7" t="s">
        <v>1997</v>
      </c>
      <c r="K202" s="10" t="s">
        <v>55</v>
      </c>
      <c r="L202" s="9" t="s">
        <v>1995</v>
      </c>
      <c r="M202" s="9" t="s">
        <v>1996</v>
      </c>
      <c r="N202" s="10" t="s">
        <v>4153</v>
      </c>
      <c r="O202" s="8" t="s">
        <v>53</v>
      </c>
      <c r="P202" s="8" t="s">
        <v>56</v>
      </c>
      <c r="Q202" s="10" t="s">
        <v>1998</v>
      </c>
      <c r="R202" s="10" t="s">
        <v>72</v>
      </c>
      <c r="S202" s="10"/>
      <c r="T202" s="8" t="s">
        <v>73</v>
      </c>
      <c r="U202" s="11" t="s">
        <v>269</v>
      </c>
      <c r="V202" s="12" t="s">
        <v>269</v>
      </c>
      <c r="W202" s="13" t="s">
        <v>94</v>
      </c>
      <c r="X202" s="14">
        <v>1998</v>
      </c>
      <c r="Y202" s="13">
        <v>36526</v>
      </c>
      <c r="Z202" s="14">
        <v>2000</v>
      </c>
      <c r="AA202" s="13">
        <v>45292</v>
      </c>
      <c r="AB202" s="15">
        <v>2024</v>
      </c>
      <c r="AC202" s="15">
        <v>24</v>
      </c>
      <c r="AD202" s="15">
        <v>2024</v>
      </c>
      <c r="AE202" s="27" t="s">
        <v>1999</v>
      </c>
      <c r="AF202" s="8" t="s">
        <v>2000</v>
      </c>
      <c r="AG202" s="16">
        <v>16000000000</v>
      </c>
      <c r="AH202" s="16">
        <v>4719789.74</v>
      </c>
      <c r="AI202" s="16">
        <v>4719789.74</v>
      </c>
      <c r="AJ202" s="16" t="s">
        <v>63</v>
      </c>
      <c r="AK202" s="16">
        <v>16000000000</v>
      </c>
      <c r="AL202" s="16">
        <v>4719789.74</v>
      </c>
      <c r="AM202" s="16">
        <v>4719789.74</v>
      </c>
      <c r="AN202" s="10" t="s">
        <v>64</v>
      </c>
      <c r="AO202" s="8" t="s">
        <v>3756</v>
      </c>
      <c r="AP202" s="43">
        <v>36000</v>
      </c>
      <c r="AQ202" s="43">
        <v>31000</v>
      </c>
      <c r="AR202" s="8" t="s">
        <v>3765</v>
      </c>
      <c r="AS202" s="10" t="s">
        <v>3781</v>
      </c>
      <c r="AT202" s="10" t="s">
        <v>3795</v>
      </c>
      <c r="AU202" s="96"/>
      <c r="AV202" s="17" t="s">
        <v>2001</v>
      </c>
      <c r="AW202" s="10"/>
      <c r="AX202" s="7" t="s">
        <v>3842</v>
      </c>
      <c r="AY202" s="10" t="s">
        <v>2002</v>
      </c>
      <c r="AZ202" s="10" t="s">
        <v>4124</v>
      </c>
      <c r="BA202" s="10" t="s">
        <v>2003</v>
      </c>
      <c r="BB202" s="18" t="s">
        <v>2004</v>
      </c>
      <c r="BC202" s="41" t="s">
        <v>2005</v>
      </c>
    </row>
    <row r="203" spans="1:55" ht="69" customHeight="1" x14ac:dyDescent="0.2">
      <c r="A203" s="88" t="s">
        <v>4387</v>
      </c>
      <c r="B203" s="6" t="s">
        <v>2006</v>
      </c>
      <c r="C203" s="7" t="s">
        <v>2007</v>
      </c>
      <c r="D203" s="8" t="s">
        <v>49</v>
      </c>
      <c r="E203" s="8" t="s">
        <v>50</v>
      </c>
      <c r="F203" s="9" t="s">
        <v>2008</v>
      </c>
      <c r="G203" s="9" t="s">
        <v>2009</v>
      </c>
      <c r="H203" s="10" t="s">
        <v>4154</v>
      </c>
      <c r="I203" s="10" t="s">
        <v>53</v>
      </c>
      <c r="J203" s="7" t="s">
        <v>2010</v>
      </c>
      <c r="K203" s="10" t="s">
        <v>55</v>
      </c>
      <c r="L203" s="9" t="s">
        <v>976</v>
      </c>
      <c r="M203" s="9" t="s">
        <v>977</v>
      </c>
      <c r="N203" s="10" t="s">
        <v>4154</v>
      </c>
      <c r="O203" s="8" t="s">
        <v>140</v>
      </c>
      <c r="P203" s="8" t="s">
        <v>144</v>
      </c>
      <c r="Q203" s="10" t="s">
        <v>2011</v>
      </c>
      <c r="R203" s="10" t="s">
        <v>72</v>
      </c>
      <c r="S203" s="10"/>
      <c r="T203" s="8" t="s">
        <v>60</v>
      </c>
      <c r="U203" s="11">
        <v>33725</v>
      </c>
      <c r="V203" s="12">
        <v>1992</v>
      </c>
      <c r="W203" s="13">
        <v>41701</v>
      </c>
      <c r="X203" s="14">
        <v>2014</v>
      </c>
      <c r="Y203" s="13" t="s">
        <v>94</v>
      </c>
      <c r="Z203" s="13" t="s">
        <v>94</v>
      </c>
      <c r="AA203" s="13" t="s">
        <v>94</v>
      </c>
      <c r="AB203" s="13" t="s">
        <v>94</v>
      </c>
      <c r="AC203" s="13" t="s">
        <v>94</v>
      </c>
      <c r="AD203" s="15"/>
      <c r="AE203" s="27"/>
      <c r="AF203" s="8" t="s">
        <v>75</v>
      </c>
      <c r="AG203" s="16">
        <v>319000</v>
      </c>
      <c r="AH203" s="16">
        <v>423791.75</v>
      </c>
      <c r="AI203" s="16">
        <v>561548.77</v>
      </c>
      <c r="AJ203" s="16" t="s">
        <v>76</v>
      </c>
      <c r="AK203" s="28" t="s">
        <v>94</v>
      </c>
      <c r="AL203" s="16" t="s">
        <v>94</v>
      </c>
      <c r="AM203" s="16" t="s">
        <v>94</v>
      </c>
      <c r="AN203" s="10" t="s">
        <v>64</v>
      </c>
      <c r="AO203" s="8" t="s">
        <v>3756</v>
      </c>
      <c r="AP203" s="15">
        <v>13</v>
      </c>
      <c r="AQ203" s="15" t="s">
        <v>94</v>
      </c>
      <c r="AR203" s="8" t="s">
        <v>3762</v>
      </c>
      <c r="AS203" s="10" t="s">
        <v>3781</v>
      </c>
      <c r="AT203" s="10" t="s">
        <v>3795</v>
      </c>
      <c r="AU203" s="96"/>
      <c r="AV203" s="17"/>
      <c r="AW203" s="10"/>
      <c r="AX203" s="7" t="s">
        <v>469</v>
      </c>
      <c r="AY203" s="10" t="s">
        <v>2012</v>
      </c>
      <c r="AZ203" s="10" t="s">
        <v>2013</v>
      </c>
      <c r="BA203" s="10" t="s">
        <v>2014</v>
      </c>
      <c r="BB203" s="18"/>
      <c r="BC203" s="41" t="s">
        <v>2015</v>
      </c>
    </row>
    <row r="204" spans="1:55" ht="69" customHeight="1" x14ac:dyDescent="0.2">
      <c r="A204" s="88" t="s">
        <v>4388</v>
      </c>
      <c r="B204" s="6" t="s">
        <v>2016</v>
      </c>
      <c r="C204" s="7" t="s">
        <v>2007</v>
      </c>
      <c r="D204" s="8" t="s">
        <v>49</v>
      </c>
      <c r="E204" s="8" t="s">
        <v>50</v>
      </c>
      <c r="F204" s="9" t="s">
        <v>2008</v>
      </c>
      <c r="G204" s="9" t="s">
        <v>2009</v>
      </c>
      <c r="H204" s="10" t="s">
        <v>4154</v>
      </c>
      <c r="I204" s="10" t="s">
        <v>53</v>
      </c>
      <c r="J204" s="7" t="s">
        <v>2017</v>
      </c>
      <c r="K204" s="10" t="s">
        <v>55</v>
      </c>
      <c r="L204" s="9" t="s">
        <v>2008</v>
      </c>
      <c r="M204" s="9" t="s">
        <v>2009</v>
      </c>
      <c r="N204" s="10" t="s">
        <v>4154</v>
      </c>
      <c r="O204" s="8" t="s">
        <v>53</v>
      </c>
      <c r="P204" s="8" t="s">
        <v>56</v>
      </c>
      <c r="Q204" s="10" t="s">
        <v>2018</v>
      </c>
      <c r="R204" s="10" t="s">
        <v>72</v>
      </c>
      <c r="S204" s="10"/>
      <c r="T204" s="8" t="s">
        <v>73</v>
      </c>
      <c r="U204" s="11">
        <v>32874</v>
      </c>
      <c r="V204" s="12">
        <v>1990</v>
      </c>
      <c r="W204" s="13" t="s">
        <v>94</v>
      </c>
      <c r="X204" s="14">
        <v>2017</v>
      </c>
      <c r="Y204" s="13" t="s">
        <v>94</v>
      </c>
      <c r="Z204" s="13" t="s">
        <v>94</v>
      </c>
      <c r="AA204" s="13" t="s">
        <v>94</v>
      </c>
      <c r="AB204" s="13" t="s">
        <v>94</v>
      </c>
      <c r="AC204" s="13" t="s">
        <v>94</v>
      </c>
      <c r="AD204" s="15"/>
      <c r="AE204" s="27"/>
      <c r="AF204" s="8" t="s">
        <v>75</v>
      </c>
      <c r="AG204" s="16">
        <v>1350000</v>
      </c>
      <c r="AH204" s="16">
        <v>1525069.59</v>
      </c>
      <c r="AI204" s="16">
        <v>1951687.15</v>
      </c>
      <c r="AJ204" s="16" t="s">
        <v>76</v>
      </c>
      <c r="AK204" s="28" t="s">
        <v>94</v>
      </c>
      <c r="AL204" s="16" t="s">
        <v>94</v>
      </c>
      <c r="AM204" s="16" t="s">
        <v>94</v>
      </c>
      <c r="AN204" s="10" t="s">
        <v>64</v>
      </c>
      <c r="AO204" s="8" t="s">
        <v>3756</v>
      </c>
      <c r="AP204" s="15" t="s">
        <v>94</v>
      </c>
      <c r="AQ204" s="15" t="s">
        <v>94</v>
      </c>
      <c r="AR204" s="8" t="s">
        <v>3766</v>
      </c>
      <c r="AS204" s="10" t="s">
        <v>269</v>
      </c>
      <c r="AT204" s="10" t="s">
        <v>3795</v>
      </c>
      <c r="AU204" s="96"/>
      <c r="AV204" s="17"/>
      <c r="AW204" s="10"/>
      <c r="AX204" s="7" t="s">
        <v>469</v>
      </c>
      <c r="AY204" s="10" t="s">
        <v>2019</v>
      </c>
      <c r="AZ204" s="10" t="s">
        <v>2020</v>
      </c>
      <c r="BA204" s="10" t="s">
        <v>2021</v>
      </c>
      <c r="BB204" s="18"/>
      <c r="BC204" s="41" t="s">
        <v>2022</v>
      </c>
    </row>
    <row r="205" spans="1:55" ht="69" customHeight="1" x14ac:dyDescent="0.2">
      <c r="A205" s="88" t="s">
        <v>4389</v>
      </c>
      <c r="B205" s="6" t="s">
        <v>2023</v>
      </c>
      <c r="C205" s="7" t="s">
        <v>2024</v>
      </c>
      <c r="D205" s="8" t="s">
        <v>49</v>
      </c>
      <c r="E205" s="8" t="s">
        <v>50</v>
      </c>
      <c r="F205" s="9" t="s">
        <v>1135</v>
      </c>
      <c r="G205" s="9" t="s">
        <v>1136</v>
      </c>
      <c r="H205" s="10" t="s">
        <v>4156</v>
      </c>
      <c r="I205" s="10" t="s">
        <v>103</v>
      </c>
      <c r="J205" s="7" t="s">
        <v>2025</v>
      </c>
      <c r="K205" s="10" t="s">
        <v>55</v>
      </c>
      <c r="L205" s="9" t="s">
        <v>1135</v>
      </c>
      <c r="M205" s="9" t="s">
        <v>1136</v>
      </c>
      <c r="N205" s="10" t="s">
        <v>4156</v>
      </c>
      <c r="O205" s="8" t="s">
        <v>103</v>
      </c>
      <c r="P205" s="8" t="s">
        <v>56</v>
      </c>
      <c r="Q205" s="10" t="s">
        <v>2026</v>
      </c>
      <c r="R205" s="10" t="s">
        <v>72</v>
      </c>
      <c r="S205" s="10"/>
      <c r="T205" s="8" t="s">
        <v>73</v>
      </c>
      <c r="U205" s="11">
        <v>20455</v>
      </c>
      <c r="V205" s="12">
        <v>1956</v>
      </c>
      <c r="W205" s="13">
        <v>36388</v>
      </c>
      <c r="X205" s="14">
        <v>1999</v>
      </c>
      <c r="Y205" s="13">
        <v>36475</v>
      </c>
      <c r="Z205" s="15">
        <v>1999</v>
      </c>
      <c r="AA205" s="13">
        <v>39814</v>
      </c>
      <c r="AB205" s="15">
        <v>2009</v>
      </c>
      <c r="AC205" s="15">
        <v>10</v>
      </c>
      <c r="AD205" s="15">
        <v>2009</v>
      </c>
      <c r="AE205" s="27"/>
      <c r="AF205" s="8" t="s">
        <v>106</v>
      </c>
      <c r="AG205" s="28">
        <v>100000000</v>
      </c>
      <c r="AH205" s="28">
        <v>100000000</v>
      </c>
      <c r="AI205" s="16">
        <v>146216736.50999999</v>
      </c>
      <c r="AJ205" s="16" t="s">
        <v>63</v>
      </c>
      <c r="AK205" s="28">
        <v>100000000</v>
      </c>
      <c r="AL205" s="28">
        <v>100000000</v>
      </c>
      <c r="AM205" s="16">
        <v>146216736.50999999</v>
      </c>
      <c r="AN205" s="10" t="s">
        <v>64</v>
      </c>
      <c r="AO205" s="8" t="s">
        <v>3757</v>
      </c>
      <c r="AP205" s="43">
        <v>60000</v>
      </c>
      <c r="AQ205" s="43">
        <v>3500</v>
      </c>
      <c r="AR205" s="8" t="s">
        <v>3765</v>
      </c>
      <c r="AS205" s="10" t="s">
        <v>3781</v>
      </c>
      <c r="AT205" s="10" t="s">
        <v>3795</v>
      </c>
      <c r="AU205" s="96"/>
      <c r="AV205" s="17" t="s">
        <v>3905</v>
      </c>
      <c r="AW205" s="10" t="s">
        <v>3957</v>
      </c>
      <c r="AX205" s="7" t="s">
        <v>3843</v>
      </c>
      <c r="AY205" s="10" t="s">
        <v>2027</v>
      </c>
      <c r="AZ205" s="10" t="s">
        <v>2028</v>
      </c>
      <c r="BA205" s="10" t="s">
        <v>2029</v>
      </c>
      <c r="BB205" s="18" t="s">
        <v>2030</v>
      </c>
      <c r="BC205" s="41" t="s">
        <v>2031</v>
      </c>
    </row>
    <row r="206" spans="1:55" ht="70" customHeight="1" x14ac:dyDescent="0.2">
      <c r="A206" s="88" t="s">
        <v>4390</v>
      </c>
      <c r="B206" s="6" t="s">
        <v>2032</v>
      </c>
      <c r="C206" s="7" t="s">
        <v>2024</v>
      </c>
      <c r="D206" s="8" t="s">
        <v>49</v>
      </c>
      <c r="E206" s="8" t="s">
        <v>50</v>
      </c>
      <c r="F206" s="9" t="s">
        <v>1135</v>
      </c>
      <c r="G206" s="9" t="s">
        <v>1136</v>
      </c>
      <c r="H206" s="10" t="s">
        <v>4156</v>
      </c>
      <c r="I206" s="10" t="s">
        <v>103</v>
      </c>
      <c r="J206" s="7" t="s">
        <v>2033</v>
      </c>
      <c r="K206" s="10" t="s">
        <v>55</v>
      </c>
      <c r="L206" s="9" t="s">
        <v>1135</v>
      </c>
      <c r="M206" s="9" t="s">
        <v>1136</v>
      </c>
      <c r="N206" s="10" t="s">
        <v>4156</v>
      </c>
      <c r="O206" s="8" t="s">
        <v>103</v>
      </c>
      <c r="P206" s="8" t="s">
        <v>56</v>
      </c>
      <c r="Q206" s="10" t="s">
        <v>2026</v>
      </c>
      <c r="R206" s="10" t="s">
        <v>72</v>
      </c>
      <c r="S206" s="10"/>
      <c r="T206" s="8" t="s">
        <v>73</v>
      </c>
      <c r="U206" s="11">
        <v>22343</v>
      </c>
      <c r="V206" s="12">
        <v>1961</v>
      </c>
      <c r="W206" s="13">
        <v>37993</v>
      </c>
      <c r="X206" s="14">
        <v>2004</v>
      </c>
      <c r="Y206" s="13">
        <v>38322</v>
      </c>
      <c r="Z206" s="15">
        <v>2004</v>
      </c>
      <c r="AA206" s="13">
        <v>39083</v>
      </c>
      <c r="AB206" s="14">
        <v>2007</v>
      </c>
      <c r="AC206" s="14">
        <v>3</v>
      </c>
      <c r="AD206" s="14">
        <v>2007</v>
      </c>
      <c r="AE206" s="27"/>
      <c r="AF206" s="8" t="s">
        <v>106</v>
      </c>
      <c r="AG206" s="28">
        <v>95200000</v>
      </c>
      <c r="AH206" s="28">
        <v>95200000</v>
      </c>
      <c r="AI206" s="16">
        <v>144028671.47</v>
      </c>
      <c r="AJ206" s="16" t="s">
        <v>63</v>
      </c>
      <c r="AK206" s="28">
        <v>95200000</v>
      </c>
      <c r="AL206" s="28">
        <v>95200000</v>
      </c>
      <c r="AM206" s="16">
        <v>144028671.47</v>
      </c>
      <c r="AN206" s="54" t="s">
        <v>3755</v>
      </c>
      <c r="AO206" s="8" t="s">
        <v>3757</v>
      </c>
      <c r="AP206" s="43">
        <v>16861</v>
      </c>
      <c r="AQ206" s="43">
        <v>16861</v>
      </c>
      <c r="AR206" s="8" t="s">
        <v>3765</v>
      </c>
      <c r="AS206" s="10" t="s">
        <v>3783</v>
      </c>
      <c r="AT206" s="10" t="s">
        <v>2034</v>
      </c>
      <c r="AU206" s="96"/>
      <c r="AV206" s="17" t="s">
        <v>3906</v>
      </c>
      <c r="AW206" s="10"/>
      <c r="AX206" s="7" t="s">
        <v>3844</v>
      </c>
      <c r="AY206" s="10" t="s">
        <v>2035</v>
      </c>
      <c r="AZ206" s="10" t="s">
        <v>2036</v>
      </c>
      <c r="BA206" s="10" t="s">
        <v>2037</v>
      </c>
      <c r="BB206" s="18" t="s">
        <v>2038</v>
      </c>
      <c r="BC206" s="41" t="s">
        <v>2039</v>
      </c>
    </row>
    <row r="207" spans="1:55" ht="70" customHeight="1" x14ac:dyDescent="0.2">
      <c r="A207" s="88" t="s">
        <v>4391</v>
      </c>
      <c r="B207" s="6" t="s">
        <v>2040</v>
      </c>
      <c r="C207" s="7" t="s">
        <v>2041</v>
      </c>
      <c r="D207" s="8" t="s">
        <v>279</v>
      </c>
      <c r="E207" s="8" t="s">
        <v>280</v>
      </c>
      <c r="F207" s="30" t="s">
        <v>2042</v>
      </c>
      <c r="G207" s="30" t="s">
        <v>537</v>
      </c>
      <c r="H207" s="10" t="s">
        <v>4154</v>
      </c>
      <c r="I207" s="30" t="s">
        <v>140</v>
      </c>
      <c r="J207" s="7" t="s">
        <v>2043</v>
      </c>
      <c r="K207" s="10" t="s">
        <v>55</v>
      </c>
      <c r="L207" s="9" t="s">
        <v>2044</v>
      </c>
      <c r="M207" s="9" t="s">
        <v>2045</v>
      </c>
      <c r="N207" s="10" t="s">
        <v>380</v>
      </c>
      <c r="O207" s="8" t="s">
        <v>103</v>
      </c>
      <c r="P207" s="8" t="s">
        <v>144</v>
      </c>
      <c r="Q207" s="10" t="s">
        <v>2046</v>
      </c>
      <c r="R207" s="10" t="s">
        <v>146</v>
      </c>
      <c r="S207" s="10" t="s">
        <v>584</v>
      </c>
      <c r="T207" s="8" t="s">
        <v>73</v>
      </c>
      <c r="U207" s="11">
        <v>18264</v>
      </c>
      <c r="V207" s="12">
        <v>1950</v>
      </c>
      <c r="W207" s="13">
        <v>39972</v>
      </c>
      <c r="X207" s="14">
        <v>2009</v>
      </c>
      <c r="Y207" s="13">
        <v>39814</v>
      </c>
      <c r="Z207" s="14">
        <v>2009</v>
      </c>
      <c r="AA207" s="13">
        <v>39814</v>
      </c>
      <c r="AB207" s="14">
        <v>2009</v>
      </c>
      <c r="AC207" s="14">
        <v>0</v>
      </c>
      <c r="AD207" s="14">
        <v>2009</v>
      </c>
      <c r="AE207" s="27"/>
      <c r="AF207" s="8" t="s">
        <v>106</v>
      </c>
      <c r="AG207" s="16">
        <v>15500000</v>
      </c>
      <c r="AH207" s="16">
        <v>15500000</v>
      </c>
      <c r="AI207" s="16">
        <v>22663594.16</v>
      </c>
      <c r="AJ207" s="16" t="s">
        <v>76</v>
      </c>
      <c r="AK207" s="28">
        <v>15500000</v>
      </c>
      <c r="AL207" s="16">
        <v>15500000</v>
      </c>
      <c r="AM207" s="16">
        <v>22663594.16</v>
      </c>
      <c r="AN207" s="10" t="s">
        <v>149</v>
      </c>
      <c r="AO207" s="8" t="s">
        <v>3756</v>
      </c>
      <c r="AP207" s="15">
        <v>9</v>
      </c>
      <c r="AQ207" s="15">
        <v>9</v>
      </c>
      <c r="AR207" s="8" t="s">
        <v>3769</v>
      </c>
      <c r="AS207" s="10" t="s">
        <v>269</v>
      </c>
      <c r="AT207" s="10" t="s">
        <v>3795</v>
      </c>
      <c r="AU207" s="96"/>
      <c r="AV207" s="17" t="s">
        <v>2047</v>
      </c>
      <c r="AW207" s="10"/>
      <c r="AX207" s="7" t="s">
        <v>3845</v>
      </c>
      <c r="AY207" s="10" t="s">
        <v>2048</v>
      </c>
      <c r="AZ207" s="10" t="s">
        <v>2049</v>
      </c>
      <c r="BA207" s="10" t="s">
        <v>2050</v>
      </c>
      <c r="BB207" s="18" t="s">
        <v>2051</v>
      </c>
      <c r="BC207" s="41" t="s">
        <v>2052</v>
      </c>
    </row>
    <row r="208" spans="1:55" ht="70" customHeight="1" x14ac:dyDescent="0.2">
      <c r="A208" s="88" t="s">
        <v>4392</v>
      </c>
      <c r="B208" s="6" t="s">
        <v>2053</v>
      </c>
      <c r="C208" s="7" t="s">
        <v>2054</v>
      </c>
      <c r="D208" s="8" t="s">
        <v>279</v>
      </c>
      <c r="E208" s="8" t="s">
        <v>280</v>
      </c>
      <c r="F208" s="30" t="s">
        <v>2042</v>
      </c>
      <c r="G208" s="30" t="s">
        <v>537</v>
      </c>
      <c r="H208" s="10" t="s">
        <v>4185</v>
      </c>
      <c r="I208" s="10" t="s">
        <v>140</v>
      </c>
      <c r="J208" s="7" t="s">
        <v>2055</v>
      </c>
      <c r="K208" s="10" t="s">
        <v>55</v>
      </c>
      <c r="L208" s="9" t="s">
        <v>2056</v>
      </c>
      <c r="M208" s="9" t="s">
        <v>2057</v>
      </c>
      <c r="N208" s="10" t="s">
        <v>748</v>
      </c>
      <c r="O208" s="8" t="s">
        <v>103</v>
      </c>
      <c r="P208" s="8" t="s">
        <v>144</v>
      </c>
      <c r="Q208" s="10" t="s">
        <v>2058</v>
      </c>
      <c r="R208" s="10" t="s">
        <v>584</v>
      </c>
      <c r="S208" s="10"/>
      <c r="T208" s="8" t="s">
        <v>73</v>
      </c>
      <c r="U208" s="11">
        <v>41388</v>
      </c>
      <c r="V208" s="12">
        <v>2013</v>
      </c>
      <c r="W208" s="13" t="s">
        <v>94</v>
      </c>
      <c r="X208" s="14">
        <v>2014</v>
      </c>
      <c r="Y208" s="13">
        <v>41640</v>
      </c>
      <c r="Z208" s="14">
        <v>2014</v>
      </c>
      <c r="AA208" s="13">
        <v>42005</v>
      </c>
      <c r="AB208" s="14">
        <v>2015</v>
      </c>
      <c r="AC208" s="14">
        <v>1</v>
      </c>
      <c r="AD208" s="14">
        <v>2015</v>
      </c>
      <c r="AE208" s="27" t="s">
        <v>2059</v>
      </c>
      <c r="AF208" s="8" t="s">
        <v>106</v>
      </c>
      <c r="AG208" s="16">
        <v>30000000</v>
      </c>
      <c r="AH208" s="16">
        <v>30000000</v>
      </c>
      <c r="AI208" s="16">
        <v>39751748.780000001</v>
      </c>
      <c r="AJ208" s="16" t="s">
        <v>76</v>
      </c>
      <c r="AK208" s="16">
        <v>21000000</v>
      </c>
      <c r="AL208" s="16">
        <v>21000000</v>
      </c>
      <c r="AM208" s="16">
        <v>27793234.239999998</v>
      </c>
      <c r="AN208" s="10" t="s">
        <v>64</v>
      </c>
      <c r="AO208" s="8" t="s">
        <v>3757</v>
      </c>
      <c r="AP208" s="43">
        <v>3634</v>
      </c>
      <c r="AQ208" s="43">
        <v>3634</v>
      </c>
      <c r="AR208" s="8" t="s">
        <v>3767</v>
      </c>
      <c r="AS208" s="10" t="s">
        <v>3819</v>
      </c>
      <c r="AT208" s="10" t="s">
        <v>2060</v>
      </c>
      <c r="AU208" s="96"/>
      <c r="AV208" s="17"/>
      <c r="AW208" s="10" t="s">
        <v>2061</v>
      </c>
      <c r="AX208" s="7" t="s">
        <v>4041</v>
      </c>
      <c r="AY208" s="10" t="s">
        <v>2062</v>
      </c>
      <c r="AZ208" s="10" t="s">
        <v>2063</v>
      </c>
      <c r="BA208" s="10" t="s">
        <v>2064</v>
      </c>
      <c r="BB208" s="18" t="s">
        <v>2065</v>
      </c>
      <c r="BC208" s="41" t="s">
        <v>2066</v>
      </c>
    </row>
    <row r="209" spans="1:55" ht="69" customHeight="1" x14ac:dyDescent="0.2">
      <c r="A209" s="88" t="s">
        <v>4393</v>
      </c>
      <c r="B209" s="6" t="s">
        <v>2067</v>
      </c>
      <c r="C209" s="7" t="s">
        <v>2068</v>
      </c>
      <c r="D209" s="8" t="s">
        <v>49</v>
      </c>
      <c r="E209" s="8" t="s">
        <v>50</v>
      </c>
      <c r="F209" s="30" t="s">
        <v>2042</v>
      </c>
      <c r="G209" s="30" t="s">
        <v>537</v>
      </c>
      <c r="H209" s="10" t="s">
        <v>4185</v>
      </c>
      <c r="I209" s="10" t="s">
        <v>140</v>
      </c>
      <c r="J209" s="7" t="s">
        <v>2069</v>
      </c>
      <c r="K209" s="10" t="s">
        <v>49</v>
      </c>
      <c r="L209" s="30" t="s">
        <v>2042</v>
      </c>
      <c r="M209" s="30" t="s">
        <v>537</v>
      </c>
      <c r="N209" s="30" t="s">
        <v>4185</v>
      </c>
      <c r="O209" s="30" t="s">
        <v>4185</v>
      </c>
      <c r="P209" s="8" t="s">
        <v>144</v>
      </c>
      <c r="Q209" s="10" t="s">
        <v>2070</v>
      </c>
      <c r="R209" s="10" t="s">
        <v>146</v>
      </c>
      <c r="S209" s="10"/>
      <c r="T209" s="8" t="s">
        <v>60</v>
      </c>
      <c r="U209" s="11" t="s">
        <v>269</v>
      </c>
      <c r="V209" s="12" t="s">
        <v>269</v>
      </c>
      <c r="W209" s="13" t="s">
        <v>94</v>
      </c>
      <c r="X209" s="14">
        <v>2022</v>
      </c>
      <c r="Y209" s="13">
        <v>44927</v>
      </c>
      <c r="Z209" s="14">
        <v>2023</v>
      </c>
      <c r="AA209" s="13">
        <v>45292</v>
      </c>
      <c r="AB209" s="15">
        <v>2024</v>
      </c>
      <c r="AC209" s="15">
        <v>1</v>
      </c>
      <c r="AD209" s="15">
        <v>2024</v>
      </c>
      <c r="AE209" s="27" t="s">
        <v>2071</v>
      </c>
      <c r="AF209" s="8" t="s">
        <v>106</v>
      </c>
      <c r="AG209" s="16" t="s">
        <v>2072</v>
      </c>
      <c r="AH209" s="16" t="s">
        <v>2072</v>
      </c>
      <c r="AI209" s="16">
        <v>749250000</v>
      </c>
      <c r="AJ209" s="16" t="s">
        <v>76</v>
      </c>
      <c r="AK209" s="16">
        <v>68950000</v>
      </c>
      <c r="AL209" s="16">
        <v>68950000</v>
      </c>
      <c r="AM209" s="16">
        <v>68950000</v>
      </c>
      <c r="AN209" s="10" t="s">
        <v>149</v>
      </c>
      <c r="AO209" s="8" t="s">
        <v>3756</v>
      </c>
      <c r="AP209" s="15" t="s">
        <v>151</v>
      </c>
      <c r="AQ209" s="15" t="s">
        <v>151</v>
      </c>
      <c r="AR209" s="8" t="s">
        <v>3766</v>
      </c>
      <c r="AS209" s="10" t="s">
        <v>3812</v>
      </c>
      <c r="AT209" s="10" t="s">
        <v>2073</v>
      </c>
      <c r="AU209" s="96" t="s">
        <v>152</v>
      </c>
      <c r="AV209" s="17"/>
      <c r="AW209" s="10" t="s">
        <v>2074</v>
      </c>
      <c r="AX209" s="7" t="s">
        <v>3846</v>
      </c>
      <c r="AY209" s="10" t="s">
        <v>2075</v>
      </c>
      <c r="AZ209" s="10" t="s">
        <v>2076</v>
      </c>
      <c r="BA209" s="10" t="s">
        <v>2077</v>
      </c>
      <c r="BB209" s="18" t="s">
        <v>2078</v>
      </c>
      <c r="BC209" s="41" t="s">
        <v>2079</v>
      </c>
    </row>
    <row r="210" spans="1:55" ht="70" customHeight="1" x14ac:dyDescent="0.2">
      <c r="A210" s="91" t="s">
        <v>4394</v>
      </c>
      <c r="B210" s="76" t="s">
        <v>2080</v>
      </c>
      <c r="C210" s="19" t="s">
        <v>2081</v>
      </c>
      <c r="D210" s="31" t="s">
        <v>150</v>
      </c>
      <c r="E210" s="31" t="s">
        <v>280</v>
      </c>
      <c r="F210" s="10" t="s">
        <v>4185</v>
      </c>
      <c r="G210" s="10" t="s">
        <v>537</v>
      </c>
      <c r="H210" s="10" t="s">
        <v>4185</v>
      </c>
      <c r="I210" s="10" t="s">
        <v>4185</v>
      </c>
      <c r="J210" s="19" t="s">
        <v>2082</v>
      </c>
      <c r="K210" s="10" t="s">
        <v>55</v>
      </c>
      <c r="L210" s="9" t="s">
        <v>2083</v>
      </c>
      <c r="M210" s="9" t="s">
        <v>2084</v>
      </c>
      <c r="N210" s="10" t="s">
        <v>4154</v>
      </c>
      <c r="O210" s="8" t="s">
        <v>140</v>
      </c>
      <c r="P210" s="31" t="s">
        <v>56</v>
      </c>
      <c r="Q210" s="18" t="s">
        <v>2085</v>
      </c>
      <c r="R210" s="10" t="s">
        <v>72</v>
      </c>
      <c r="S210" s="18"/>
      <c r="T210" s="31" t="s">
        <v>73</v>
      </c>
      <c r="U210" s="33">
        <v>36022</v>
      </c>
      <c r="V210" s="34">
        <v>1998</v>
      </c>
      <c r="W210" s="35">
        <v>39972</v>
      </c>
      <c r="X210" s="36">
        <v>2009</v>
      </c>
      <c r="Y210" s="35" t="s">
        <v>94</v>
      </c>
      <c r="Z210" s="35" t="s">
        <v>94</v>
      </c>
      <c r="AA210" s="35" t="s">
        <v>94</v>
      </c>
      <c r="AB210" s="13" t="s">
        <v>94</v>
      </c>
      <c r="AC210" s="13" t="s">
        <v>94</v>
      </c>
      <c r="AD210" s="35"/>
      <c r="AE210" s="39"/>
      <c r="AF210" s="31" t="s">
        <v>106</v>
      </c>
      <c r="AG210" s="37">
        <v>2600000</v>
      </c>
      <c r="AH210" s="37">
        <v>2600000</v>
      </c>
      <c r="AI210" s="37">
        <v>3801635.15</v>
      </c>
      <c r="AJ210" s="16" t="s">
        <v>76</v>
      </c>
      <c r="AK210" s="38" t="s">
        <v>94</v>
      </c>
      <c r="AL210" s="38" t="s">
        <v>94</v>
      </c>
      <c r="AM210" s="16" t="s">
        <v>94</v>
      </c>
      <c r="AN210" s="10" t="s">
        <v>64</v>
      </c>
      <c r="AO210" s="8" t="s">
        <v>3758</v>
      </c>
      <c r="AP210" s="15">
        <v>6</v>
      </c>
      <c r="AQ210" s="15" t="s">
        <v>94</v>
      </c>
      <c r="AR210" s="8" t="s">
        <v>3762</v>
      </c>
      <c r="AS210" s="10" t="s">
        <v>3781</v>
      </c>
      <c r="AT210" s="10" t="s">
        <v>3795</v>
      </c>
      <c r="AU210" s="98"/>
      <c r="AV210" s="20" t="s">
        <v>2086</v>
      </c>
      <c r="AW210" s="10"/>
      <c r="AX210" s="7" t="s">
        <v>577</v>
      </c>
      <c r="AY210" s="10" t="s">
        <v>2087</v>
      </c>
      <c r="AZ210" s="10" t="s">
        <v>2088</v>
      </c>
      <c r="BA210" s="10" t="s">
        <v>2089</v>
      </c>
      <c r="BB210" s="18" t="s">
        <v>2090</v>
      </c>
      <c r="BC210" s="41" t="s">
        <v>2091</v>
      </c>
    </row>
    <row r="211" spans="1:55" ht="70" customHeight="1" x14ac:dyDescent="0.2">
      <c r="A211" s="88" t="s">
        <v>4395</v>
      </c>
      <c r="B211" s="6" t="s">
        <v>2092</v>
      </c>
      <c r="C211" s="7" t="s">
        <v>2093</v>
      </c>
      <c r="D211" s="10" t="s">
        <v>1554</v>
      </c>
      <c r="E211" s="8" t="s">
        <v>50</v>
      </c>
      <c r="F211" s="10" t="s">
        <v>4185</v>
      </c>
      <c r="G211" s="10" t="s">
        <v>537</v>
      </c>
      <c r="H211" s="10" t="s">
        <v>4185</v>
      </c>
      <c r="I211" s="10" t="s">
        <v>4185</v>
      </c>
      <c r="J211" s="7" t="s">
        <v>2094</v>
      </c>
      <c r="K211" s="10" t="s">
        <v>55</v>
      </c>
      <c r="L211" s="9" t="s">
        <v>377</v>
      </c>
      <c r="M211" s="9" t="s">
        <v>379</v>
      </c>
      <c r="N211" s="10" t="s">
        <v>380</v>
      </c>
      <c r="O211" s="8" t="s">
        <v>381</v>
      </c>
      <c r="P211" s="8" t="s">
        <v>144</v>
      </c>
      <c r="Q211" s="10" t="s">
        <v>2095</v>
      </c>
      <c r="R211" s="10" t="s">
        <v>72</v>
      </c>
      <c r="S211" s="10"/>
      <c r="T211" s="8" t="s">
        <v>73</v>
      </c>
      <c r="U211" s="11">
        <v>37676</v>
      </c>
      <c r="V211" s="12">
        <v>2003</v>
      </c>
      <c r="W211" s="13">
        <v>42818</v>
      </c>
      <c r="X211" s="14">
        <v>2017</v>
      </c>
      <c r="Y211" s="13">
        <v>42736</v>
      </c>
      <c r="Z211" s="14">
        <v>2017</v>
      </c>
      <c r="AA211" s="13">
        <v>44927</v>
      </c>
      <c r="AB211" s="14">
        <v>2023</v>
      </c>
      <c r="AC211" s="15">
        <v>6</v>
      </c>
      <c r="AD211" s="15">
        <v>2023</v>
      </c>
      <c r="AE211" s="27"/>
      <c r="AF211" s="8" t="s">
        <v>106</v>
      </c>
      <c r="AG211" s="16">
        <v>1000000</v>
      </c>
      <c r="AH211" s="16">
        <v>1000000</v>
      </c>
      <c r="AI211" s="16">
        <v>1279736.46</v>
      </c>
      <c r="AJ211" s="16" t="s">
        <v>76</v>
      </c>
      <c r="AK211" s="28">
        <v>1000000</v>
      </c>
      <c r="AL211" s="16">
        <v>1000000</v>
      </c>
      <c r="AM211" s="16">
        <v>1029494.39</v>
      </c>
      <c r="AN211" s="54" t="s">
        <v>3755</v>
      </c>
      <c r="AO211" s="8" t="s">
        <v>3756</v>
      </c>
      <c r="AP211" s="15">
        <v>297</v>
      </c>
      <c r="AQ211" s="15">
        <v>297</v>
      </c>
      <c r="AR211" s="8" t="s">
        <v>3761</v>
      </c>
      <c r="AS211" s="10" t="s">
        <v>3783</v>
      </c>
      <c r="AT211" s="10" t="s">
        <v>4159</v>
      </c>
      <c r="AU211" s="96"/>
      <c r="AV211" s="17" t="s">
        <v>3907</v>
      </c>
      <c r="AW211" s="10" t="s">
        <v>3958</v>
      </c>
      <c r="AX211" s="7"/>
      <c r="AY211" s="10" t="s">
        <v>2096</v>
      </c>
      <c r="AZ211" s="10" t="s">
        <v>2097</v>
      </c>
      <c r="BA211" s="10" t="s">
        <v>2098</v>
      </c>
      <c r="BB211" s="18" t="s">
        <v>2099</v>
      </c>
      <c r="BC211" s="41" t="s">
        <v>2100</v>
      </c>
    </row>
    <row r="212" spans="1:55" ht="70" customHeight="1" x14ac:dyDescent="0.2">
      <c r="A212" s="88" t="s">
        <v>4396</v>
      </c>
      <c r="B212" s="6" t="s">
        <v>2101</v>
      </c>
      <c r="C212" s="7" t="s">
        <v>2102</v>
      </c>
      <c r="D212" s="10" t="s">
        <v>1554</v>
      </c>
      <c r="E212" s="8" t="s">
        <v>50</v>
      </c>
      <c r="F212" s="10" t="s">
        <v>4185</v>
      </c>
      <c r="G212" s="10" t="s">
        <v>537</v>
      </c>
      <c r="H212" s="10" t="s">
        <v>4185</v>
      </c>
      <c r="I212" s="10" t="s">
        <v>4185</v>
      </c>
      <c r="J212" s="7" t="s">
        <v>2103</v>
      </c>
      <c r="K212" s="10" t="s">
        <v>55</v>
      </c>
      <c r="L212" s="9" t="s">
        <v>2104</v>
      </c>
      <c r="M212" s="9" t="s">
        <v>2105</v>
      </c>
      <c r="N212" s="10" t="s">
        <v>380</v>
      </c>
      <c r="O212" s="8" t="s">
        <v>381</v>
      </c>
      <c r="P212" s="8" t="s">
        <v>144</v>
      </c>
      <c r="Q212" s="10" t="s">
        <v>2106</v>
      </c>
      <c r="R212" s="10" t="s">
        <v>72</v>
      </c>
      <c r="S212" s="10"/>
      <c r="T212" s="8" t="s">
        <v>60</v>
      </c>
      <c r="U212" s="11">
        <v>41090</v>
      </c>
      <c r="V212" s="12">
        <v>2012</v>
      </c>
      <c r="W212" s="13">
        <v>42964</v>
      </c>
      <c r="X212" s="14">
        <v>2017</v>
      </c>
      <c r="Y212" s="13">
        <v>43101</v>
      </c>
      <c r="Z212" s="14">
        <v>2018</v>
      </c>
      <c r="AA212" s="13">
        <v>45292</v>
      </c>
      <c r="AB212" s="14">
        <v>2024</v>
      </c>
      <c r="AC212" s="15">
        <v>6</v>
      </c>
      <c r="AD212" s="15">
        <v>2024</v>
      </c>
      <c r="AE212" s="27" t="s">
        <v>2107</v>
      </c>
      <c r="AF212" s="8" t="s">
        <v>75</v>
      </c>
      <c r="AG212" s="16">
        <v>2700000</v>
      </c>
      <c r="AH212" s="16">
        <v>3050139.18</v>
      </c>
      <c r="AI212" s="16">
        <v>3903374.3</v>
      </c>
      <c r="AJ212" s="16" t="s">
        <v>76</v>
      </c>
      <c r="AK212" s="28">
        <v>1350000</v>
      </c>
      <c r="AL212" s="16">
        <v>1460458.18</v>
      </c>
      <c r="AM212" s="16">
        <v>1460458.18</v>
      </c>
      <c r="AN212" s="54" t="s">
        <v>3755</v>
      </c>
      <c r="AO212" s="8" t="s">
        <v>3757</v>
      </c>
      <c r="AP212" s="43">
        <v>1685</v>
      </c>
      <c r="AQ212" s="43">
        <v>1685</v>
      </c>
      <c r="AR212" s="8" t="s">
        <v>3761</v>
      </c>
      <c r="AS212" s="10" t="s">
        <v>3783</v>
      </c>
      <c r="AT212" s="10" t="s">
        <v>4159</v>
      </c>
      <c r="AU212" s="98"/>
      <c r="AV212" s="17" t="s">
        <v>3908</v>
      </c>
      <c r="AW212" s="10" t="s">
        <v>3958</v>
      </c>
      <c r="AX212" s="7" t="s">
        <v>1161</v>
      </c>
      <c r="AY212" s="10" t="s">
        <v>2108</v>
      </c>
      <c r="AZ212" s="10" t="s">
        <v>2109</v>
      </c>
      <c r="BA212" s="10" t="s">
        <v>2110</v>
      </c>
      <c r="BB212" s="18" t="s">
        <v>2111</v>
      </c>
      <c r="BC212" s="41" t="s">
        <v>2112</v>
      </c>
    </row>
    <row r="213" spans="1:55" ht="70" customHeight="1" x14ac:dyDescent="0.2">
      <c r="A213" s="88" t="s">
        <v>4397</v>
      </c>
      <c r="B213" s="6" t="s">
        <v>2113</v>
      </c>
      <c r="C213" s="7" t="s">
        <v>2114</v>
      </c>
      <c r="D213" s="10" t="s">
        <v>1554</v>
      </c>
      <c r="E213" s="8" t="s">
        <v>50</v>
      </c>
      <c r="F213" s="10" t="s">
        <v>4185</v>
      </c>
      <c r="G213" s="10" t="s">
        <v>537</v>
      </c>
      <c r="H213" s="10" t="s">
        <v>4185</v>
      </c>
      <c r="I213" s="10" t="s">
        <v>4185</v>
      </c>
      <c r="J213" s="7" t="s">
        <v>2115</v>
      </c>
      <c r="K213" s="10" t="s">
        <v>55</v>
      </c>
      <c r="L213" s="9" t="s">
        <v>377</v>
      </c>
      <c r="M213" s="9" t="s">
        <v>379</v>
      </c>
      <c r="N213" s="10" t="s">
        <v>380</v>
      </c>
      <c r="O213" s="8" t="s">
        <v>381</v>
      </c>
      <c r="P213" s="8" t="s">
        <v>144</v>
      </c>
      <c r="Q213" s="10" t="s">
        <v>2116</v>
      </c>
      <c r="R213" s="10" t="s">
        <v>163</v>
      </c>
      <c r="S213" s="10"/>
      <c r="T213" s="8" t="s">
        <v>73</v>
      </c>
      <c r="U213" s="11">
        <v>37500</v>
      </c>
      <c r="V213" s="12">
        <v>2002</v>
      </c>
      <c r="W213" s="13">
        <v>43084</v>
      </c>
      <c r="X213" s="14">
        <v>2017</v>
      </c>
      <c r="Y213" s="13">
        <v>43101</v>
      </c>
      <c r="Z213" s="14">
        <v>2018</v>
      </c>
      <c r="AA213" s="13">
        <v>44197</v>
      </c>
      <c r="AB213" s="14">
        <v>2021</v>
      </c>
      <c r="AC213" s="15">
        <v>3</v>
      </c>
      <c r="AD213" s="15">
        <v>2021</v>
      </c>
      <c r="AE213" s="27" t="s">
        <v>2117</v>
      </c>
      <c r="AF213" s="8" t="s">
        <v>75</v>
      </c>
      <c r="AG213" s="16" t="s">
        <v>2072</v>
      </c>
      <c r="AH213" s="16">
        <v>10000000</v>
      </c>
      <c r="AI213" s="16">
        <v>12797364.560000001</v>
      </c>
      <c r="AJ213" s="16" t="s">
        <v>76</v>
      </c>
      <c r="AK213" s="28">
        <v>3850000</v>
      </c>
      <c r="AL213" s="16">
        <v>4554183.5</v>
      </c>
      <c r="AM213" s="16">
        <v>5272160.2699999996</v>
      </c>
      <c r="AN213" s="10" t="s">
        <v>149</v>
      </c>
      <c r="AO213" s="8" t="s">
        <v>3756</v>
      </c>
      <c r="AP213" s="43">
        <v>1000</v>
      </c>
      <c r="AQ213" s="15" t="s">
        <v>94</v>
      </c>
      <c r="AR213" s="8" t="s">
        <v>3761</v>
      </c>
      <c r="AS213" s="10" t="s">
        <v>3776</v>
      </c>
      <c r="AT213" s="10" t="s">
        <v>4159</v>
      </c>
      <c r="AU213" s="98"/>
      <c r="AV213" s="17" t="s">
        <v>3909</v>
      </c>
      <c r="AW213" s="10" t="s">
        <v>3958</v>
      </c>
      <c r="AX213" s="7"/>
      <c r="AY213" s="10" t="s">
        <v>2118</v>
      </c>
      <c r="AZ213" s="10" t="s">
        <v>2119</v>
      </c>
      <c r="BA213" s="10" t="s">
        <v>2120</v>
      </c>
      <c r="BB213" s="18" t="s">
        <v>2121</v>
      </c>
      <c r="BC213" s="41" t="s">
        <v>2122</v>
      </c>
    </row>
    <row r="214" spans="1:55" ht="70" customHeight="1" x14ac:dyDescent="0.2">
      <c r="A214" s="88" t="s">
        <v>4398</v>
      </c>
      <c r="B214" s="6" t="s">
        <v>2123</v>
      </c>
      <c r="C214" s="7" t="s">
        <v>2124</v>
      </c>
      <c r="D214" s="10" t="s">
        <v>1554</v>
      </c>
      <c r="E214" s="8" t="s">
        <v>50</v>
      </c>
      <c r="F214" s="10" t="s">
        <v>4185</v>
      </c>
      <c r="G214" s="10" t="s">
        <v>537</v>
      </c>
      <c r="H214" s="10" t="s">
        <v>4185</v>
      </c>
      <c r="I214" s="10" t="s">
        <v>4185</v>
      </c>
      <c r="J214" s="7" t="s">
        <v>2125</v>
      </c>
      <c r="K214" s="10" t="s">
        <v>55</v>
      </c>
      <c r="L214" s="9" t="s">
        <v>377</v>
      </c>
      <c r="M214" s="9" t="s">
        <v>379</v>
      </c>
      <c r="N214" s="10" t="s">
        <v>380</v>
      </c>
      <c r="O214" s="8" t="s">
        <v>381</v>
      </c>
      <c r="P214" s="8" t="s">
        <v>144</v>
      </c>
      <c r="Q214" s="10" t="s">
        <v>2126</v>
      </c>
      <c r="R214" s="10" t="s">
        <v>72</v>
      </c>
      <c r="S214" s="10"/>
      <c r="T214" s="8" t="s">
        <v>73</v>
      </c>
      <c r="U214" s="11">
        <v>37257</v>
      </c>
      <c r="V214" s="12">
        <v>2002</v>
      </c>
      <c r="W214" s="13">
        <v>44263</v>
      </c>
      <c r="X214" s="14">
        <v>2021</v>
      </c>
      <c r="Y214" s="13" t="s">
        <v>94</v>
      </c>
      <c r="Z214" s="13" t="s">
        <v>94</v>
      </c>
      <c r="AA214" s="13" t="s">
        <v>94</v>
      </c>
      <c r="AB214" s="13" t="s">
        <v>94</v>
      </c>
      <c r="AC214" s="13" t="s">
        <v>94</v>
      </c>
      <c r="AD214" s="40"/>
      <c r="AE214" s="27" t="s">
        <v>119</v>
      </c>
      <c r="AF214" s="8" t="s">
        <v>106</v>
      </c>
      <c r="AG214" s="16">
        <v>30000000</v>
      </c>
      <c r="AH214" s="16">
        <v>30000000</v>
      </c>
      <c r="AI214" s="16">
        <v>34729564.159999996</v>
      </c>
      <c r="AJ214" s="16" t="s">
        <v>76</v>
      </c>
      <c r="AK214" s="28" t="s">
        <v>94</v>
      </c>
      <c r="AL214" s="16" t="s">
        <v>94</v>
      </c>
      <c r="AM214" s="16" t="s">
        <v>94</v>
      </c>
      <c r="AN214" s="54" t="s">
        <v>3755</v>
      </c>
      <c r="AO214" s="8" t="s">
        <v>3757</v>
      </c>
      <c r="AP214" s="43">
        <v>10500</v>
      </c>
      <c r="AQ214" s="15" t="s">
        <v>94</v>
      </c>
      <c r="AR214" s="8" t="s">
        <v>3761</v>
      </c>
      <c r="AS214" s="18" t="s">
        <v>3801</v>
      </c>
      <c r="AT214" s="10" t="s">
        <v>4159</v>
      </c>
      <c r="AU214" s="98"/>
      <c r="AV214" s="17" t="s">
        <v>3910</v>
      </c>
      <c r="AW214" s="10" t="s">
        <v>2127</v>
      </c>
      <c r="AX214" s="7" t="s">
        <v>505</v>
      </c>
      <c r="AY214" s="10" t="s">
        <v>2128</v>
      </c>
      <c r="AZ214" s="10" t="s">
        <v>2129</v>
      </c>
      <c r="BA214" s="10" t="s">
        <v>2130</v>
      </c>
      <c r="BB214" s="18" t="s">
        <v>2131</v>
      </c>
      <c r="BC214" s="41" t="s">
        <v>2132</v>
      </c>
    </row>
    <row r="215" spans="1:55" ht="70" customHeight="1" x14ac:dyDescent="0.2">
      <c r="A215" s="88" t="s">
        <v>4399</v>
      </c>
      <c r="B215" s="6" t="s">
        <v>2133</v>
      </c>
      <c r="C215" s="7" t="s">
        <v>2134</v>
      </c>
      <c r="D215" s="10" t="s">
        <v>1554</v>
      </c>
      <c r="E215" s="8" t="s">
        <v>50</v>
      </c>
      <c r="F215" s="10" t="s">
        <v>4185</v>
      </c>
      <c r="G215" s="10" t="s">
        <v>537</v>
      </c>
      <c r="H215" s="10" t="s">
        <v>4185</v>
      </c>
      <c r="I215" s="10" t="s">
        <v>4185</v>
      </c>
      <c r="J215" s="7" t="s">
        <v>2135</v>
      </c>
      <c r="K215" s="10" t="s">
        <v>55</v>
      </c>
      <c r="L215" s="9" t="s">
        <v>2136</v>
      </c>
      <c r="M215" s="9" t="s">
        <v>2137</v>
      </c>
      <c r="N215" s="10" t="s">
        <v>380</v>
      </c>
      <c r="O215" s="8" t="s">
        <v>381</v>
      </c>
      <c r="P215" s="8" t="s">
        <v>144</v>
      </c>
      <c r="Q215" s="10" t="s">
        <v>2138</v>
      </c>
      <c r="R215" s="10" t="s">
        <v>72</v>
      </c>
      <c r="S215" s="10"/>
      <c r="T215" s="8" t="s">
        <v>73</v>
      </c>
      <c r="U215" s="11">
        <v>43606</v>
      </c>
      <c r="V215" s="12">
        <v>2019</v>
      </c>
      <c r="W215" s="13">
        <v>45093</v>
      </c>
      <c r="X215" s="14">
        <v>2023</v>
      </c>
      <c r="Y215" s="13">
        <v>45535</v>
      </c>
      <c r="Z215" s="15">
        <v>2024</v>
      </c>
      <c r="AA215" s="13">
        <v>45535</v>
      </c>
      <c r="AB215" s="15">
        <v>2024</v>
      </c>
      <c r="AC215" s="40">
        <v>0</v>
      </c>
      <c r="AD215" s="40">
        <v>2024</v>
      </c>
      <c r="AE215" s="27"/>
      <c r="AF215" s="8" t="s">
        <v>856</v>
      </c>
      <c r="AG215" s="16">
        <v>18855000</v>
      </c>
      <c r="AH215" s="16">
        <v>31000</v>
      </c>
      <c r="AI215" s="16">
        <v>31000</v>
      </c>
      <c r="AJ215" s="16" t="s">
        <v>63</v>
      </c>
      <c r="AK215" s="16">
        <v>18855000</v>
      </c>
      <c r="AL215" s="16">
        <v>31000</v>
      </c>
      <c r="AM215" s="16">
        <v>31000</v>
      </c>
      <c r="AN215" s="10" t="s">
        <v>64</v>
      </c>
      <c r="AO215" s="8" t="s">
        <v>3757</v>
      </c>
      <c r="AP215" s="15">
        <v>41</v>
      </c>
      <c r="AQ215" s="15">
        <v>41</v>
      </c>
      <c r="AR215" s="8" t="s">
        <v>3762</v>
      </c>
      <c r="AS215" s="10" t="s">
        <v>3781</v>
      </c>
      <c r="AT215" s="10" t="s">
        <v>2139</v>
      </c>
      <c r="AU215" s="98"/>
      <c r="AV215" s="17"/>
      <c r="AW215" s="10"/>
      <c r="AX215" s="7" t="s">
        <v>1161</v>
      </c>
      <c r="AY215" s="10" t="s">
        <v>2140</v>
      </c>
      <c r="AZ215" s="10" t="s">
        <v>4125</v>
      </c>
      <c r="BA215" s="10" t="s">
        <v>2141</v>
      </c>
      <c r="BB215" s="18" t="s">
        <v>896</v>
      </c>
      <c r="BC215" s="41" t="s">
        <v>2142</v>
      </c>
    </row>
    <row r="216" spans="1:55" ht="69" customHeight="1" x14ac:dyDescent="0.2">
      <c r="A216" s="88" t="s">
        <v>4400</v>
      </c>
      <c r="B216" s="6" t="s">
        <v>2143</v>
      </c>
      <c r="C216" s="7" t="s">
        <v>2144</v>
      </c>
      <c r="D216" s="10" t="s">
        <v>1554</v>
      </c>
      <c r="E216" s="8" t="s">
        <v>50</v>
      </c>
      <c r="F216" s="10" t="s">
        <v>4185</v>
      </c>
      <c r="G216" s="10" t="s">
        <v>537</v>
      </c>
      <c r="H216" s="10" t="s">
        <v>4185</v>
      </c>
      <c r="I216" s="10" t="s">
        <v>4185</v>
      </c>
      <c r="J216" s="7" t="s">
        <v>2145</v>
      </c>
      <c r="K216" s="10" t="s">
        <v>55</v>
      </c>
      <c r="L216" s="9" t="s">
        <v>2146</v>
      </c>
      <c r="M216" s="9" t="s">
        <v>2147</v>
      </c>
      <c r="N216" s="10" t="s">
        <v>380</v>
      </c>
      <c r="O216" s="8" t="s">
        <v>381</v>
      </c>
      <c r="P216" s="8" t="s">
        <v>144</v>
      </c>
      <c r="Q216" s="10" t="s">
        <v>2148</v>
      </c>
      <c r="R216" s="10" t="s">
        <v>72</v>
      </c>
      <c r="S216" s="10"/>
      <c r="T216" s="8" t="s">
        <v>73</v>
      </c>
      <c r="U216" s="11">
        <v>37438</v>
      </c>
      <c r="V216" s="12">
        <v>2002</v>
      </c>
      <c r="W216" s="13">
        <v>45350</v>
      </c>
      <c r="X216" s="14">
        <v>2024</v>
      </c>
      <c r="Y216" s="13" t="s">
        <v>94</v>
      </c>
      <c r="Z216" s="13" t="s">
        <v>94</v>
      </c>
      <c r="AA216" s="13" t="s">
        <v>94</v>
      </c>
      <c r="AB216" s="13" t="s">
        <v>94</v>
      </c>
      <c r="AC216" s="13" t="s">
        <v>94</v>
      </c>
      <c r="AD216" s="15"/>
      <c r="AE216" s="27" t="s">
        <v>119</v>
      </c>
      <c r="AF216" s="8" t="s">
        <v>75</v>
      </c>
      <c r="AG216" s="16">
        <v>52429000</v>
      </c>
      <c r="AH216" s="16">
        <v>56000000</v>
      </c>
      <c r="AI216" s="16">
        <v>56000000</v>
      </c>
      <c r="AJ216" s="16" t="s">
        <v>76</v>
      </c>
      <c r="AK216" s="28" t="s">
        <v>94</v>
      </c>
      <c r="AL216" s="16" t="s">
        <v>94</v>
      </c>
      <c r="AM216" s="16" t="s">
        <v>94</v>
      </c>
      <c r="AN216" s="54" t="s">
        <v>3755</v>
      </c>
      <c r="AO216" s="8" t="s">
        <v>3757</v>
      </c>
      <c r="AP216" s="43">
        <v>49772</v>
      </c>
      <c r="AQ216" s="15" t="s">
        <v>94</v>
      </c>
      <c r="AR216" s="8" t="s">
        <v>3761</v>
      </c>
      <c r="AS216" s="10" t="s">
        <v>3800</v>
      </c>
      <c r="AT216" s="10" t="s">
        <v>4159</v>
      </c>
      <c r="AU216" s="96"/>
      <c r="AV216" s="17" t="s">
        <v>3911</v>
      </c>
      <c r="AW216" s="10" t="s">
        <v>2127</v>
      </c>
      <c r="AX216" s="7" t="s">
        <v>883</v>
      </c>
      <c r="AY216" s="10" t="s">
        <v>2149</v>
      </c>
      <c r="AZ216" s="10" t="s">
        <v>2150</v>
      </c>
      <c r="BA216" s="10" t="s">
        <v>2151</v>
      </c>
      <c r="BB216" s="18" t="s">
        <v>2152</v>
      </c>
      <c r="BC216" s="41" t="s">
        <v>2153</v>
      </c>
    </row>
    <row r="217" spans="1:55" ht="69" customHeight="1" x14ac:dyDescent="0.2">
      <c r="A217" s="88" t="s">
        <v>4401</v>
      </c>
      <c r="B217" s="6" t="s">
        <v>2154</v>
      </c>
      <c r="C217" s="7" t="s">
        <v>2155</v>
      </c>
      <c r="D217" s="10" t="s">
        <v>1554</v>
      </c>
      <c r="E217" s="8" t="s">
        <v>50</v>
      </c>
      <c r="F217" s="10" t="s">
        <v>4185</v>
      </c>
      <c r="G217" s="10" t="s">
        <v>537</v>
      </c>
      <c r="H217" s="10" t="s">
        <v>4185</v>
      </c>
      <c r="I217" s="10" t="s">
        <v>4185</v>
      </c>
      <c r="J217" s="7" t="s">
        <v>2156</v>
      </c>
      <c r="K217" s="10" t="s">
        <v>55</v>
      </c>
      <c r="L217" s="9" t="s">
        <v>1407</v>
      </c>
      <c r="M217" s="9" t="s">
        <v>1408</v>
      </c>
      <c r="N217" s="10" t="s">
        <v>4592</v>
      </c>
      <c r="O217" s="8" t="s">
        <v>103</v>
      </c>
      <c r="P217" s="8" t="s">
        <v>144</v>
      </c>
      <c r="Q217" s="10" t="s">
        <v>2157</v>
      </c>
      <c r="R217" s="10" t="s">
        <v>72</v>
      </c>
      <c r="S217" s="10"/>
      <c r="T217" s="8" t="s">
        <v>73</v>
      </c>
      <c r="U217" s="11">
        <v>39814</v>
      </c>
      <c r="V217" s="12">
        <v>2009</v>
      </c>
      <c r="W217" s="13">
        <v>45568</v>
      </c>
      <c r="X217" s="14">
        <v>2024</v>
      </c>
      <c r="Y217" s="13" t="s">
        <v>94</v>
      </c>
      <c r="Z217" s="13" t="s">
        <v>94</v>
      </c>
      <c r="AA217" s="13" t="s">
        <v>94</v>
      </c>
      <c r="AB217" s="13" t="s">
        <v>94</v>
      </c>
      <c r="AC217" s="13" t="s">
        <v>94</v>
      </c>
      <c r="AD217" s="15"/>
      <c r="AE217" s="27"/>
      <c r="AF217" s="8" t="s">
        <v>106</v>
      </c>
      <c r="AG217" s="16">
        <v>5000000</v>
      </c>
      <c r="AH217" s="16">
        <v>5000000</v>
      </c>
      <c r="AI217" s="16">
        <v>5000000</v>
      </c>
      <c r="AJ217" s="16" t="s">
        <v>76</v>
      </c>
      <c r="AK217" s="28" t="s">
        <v>94</v>
      </c>
      <c r="AL217" s="16" t="s">
        <v>94</v>
      </c>
      <c r="AM217" s="16" t="s">
        <v>94</v>
      </c>
      <c r="AN217" s="10" t="s">
        <v>64</v>
      </c>
      <c r="AO217" s="8" t="s">
        <v>3756</v>
      </c>
      <c r="AP217" s="15">
        <v>13</v>
      </c>
      <c r="AQ217" s="15" t="s">
        <v>94</v>
      </c>
      <c r="AR217" s="8" t="s">
        <v>3764</v>
      </c>
      <c r="AS217" s="10" t="s">
        <v>3783</v>
      </c>
      <c r="AT217" s="10" t="s">
        <v>2158</v>
      </c>
      <c r="AU217" s="96"/>
      <c r="AV217" s="17"/>
      <c r="AW217" s="10"/>
      <c r="AX217" s="7" t="s">
        <v>1763</v>
      </c>
      <c r="AY217" s="10" t="s">
        <v>2159</v>
      </c>
      <c r="AZ217" s="10" t="s">
        <v>2160</v>
      </c>
      <c r="BA217" s="10" t="s">
        <v>2161</v>
      </c>
      <c r="BB217" s="18"/>
      <c r="BC217" s="41" t="s">
        <v>2162</v>
      </c>
    </row>
    <row r="218" spans="1:55" ht="70" customHeight="1" x14ac:dyDescent="0.2">
      <c r="A218" s="88" t="s">
        <v>4402</v>
      </c>
      <c r="B218" s="6" t="s">
        <v>2163</v>
      </c>
      <c r="C218" s="7" t="s">
        <v>2164</v>
      </c>
      <c r="D218" s="8" t="s">
        <v>49</v>
      </c>
      <c r="E218" s="8" t="s">
        <v>50</v>
      </c>
      <c r="F218" s="9" t="s">
        <v>2165</v>
      </c>
      <c r="G218" s="9" t="s">
        <v>2166</v>
      </c>
      <c r="H218" s="10" t="s">
        <v>748</v>
      </c>
      <c r="I218" s="10" t="s">
        <v>103</v>
      </c>
      <c r="J218" s="7" t="s">
        <v>2167</v>
      </c>
      <c r="K218" s="10" t="s">
        <v>55</v>
      </c>
      <c r="L218" s="30" t="s">
        <v>2042</v>
      </c>
      <c r="M218" s="30" t="s">
        <v>537</v>
      </c>
      <c r="N218" s="30" t="s">
        <v>4185</v>
      </c>
      <c r="O218" s="30" t="s">
        <v>4185</v>
      </c>
      <c r="P218" s="8" t="s">
        <v>144</v>
      </c>
      <c r="Q218" s="10" t="s">
        <v>2168</v>
      </c>
      <c r="R218" s="10" t="s">
        <v>584</v>
      </c>
      <c r="S218" s="10"/>
      <c r="T218" s="8" t="s">
        <v>73</v>
      </c>
      <c r="U218" s="11">
        <v>38983</v>
      </c>
      <c r="V218" s="12">
        <v>2006</v>
      </c>
      <c r="W218" s="13">
        <v>39301</v>
      </c>
      <c r="X218" s="14">
        <v>2007</v>
      </c>
      <c r="Y218" s="13" t="s">
        <v>94</v>
      </c>
      <c r="Z218" s="13" t="s">
        <v>94</v>
      </c>
      <c r="AA218" s="13" t="s">
        <v>94</v>
      </c>
      <c r="AB218" s="13" t="s">
        <v>94</v>
      </c>
      <c r="AC218" s="13" t="s">
        <v>94</v>
      </c>
      <c r="AD218" s="15"/>
      <c r="AE218" s="27"/>
      <c r="AF218" s="8" t="s">
        <v>1324</v>
      </c>
      <c r="AG218" s="16">
        <v>24000000</v>
      </c>
      <c r="AH218" s="16">
        <v>361364</v>
      </c>
      <c r="AI218" s="16">
        <v>546709.84</v>
      </c>
      <c r="AJ218" s="16" t="s">
        <v>76</v>
      </c>
      <c r="AK218" s="28" t="s">
        <v>94</v>
      </c>
      <c r="AL218" s="16" t="s">
        <v>94</v>
      </c>
      <c r="AM218" s="16" t="s">
        <v>94</v>
      </c>
      <c r="AN218" s="10" t="s">
        <v>64</v>
      </c>
      <c r="AO218" s="8" t="s">
        <v>3758</v>
      </c>
      <c r="AP218" s="15">
        <v>24</v>
      </c>
      <c r="AQ218" s="15" t="s">
        <v>94</v>
      </c>
      <c r="AR218" s="8" t="s">
        <v>3770</v>
      </c>
      <c r="AS218" s="10" t="s">
        <v>3781</v>
      </c>
      <c r="AT218" s="10" t="s">
        <v>3795</v>
      </c>
      <c r="AU218" s="96"/>
      <c r="AV218" s="17" t="s">
        <v>2169</v>
      </c>
      <c r="AW218" s="10" t="s">
        <v>2170</v>
      </c>
      <c r="AX218" s="7"/>
      <c r="AY218" s="10"/>
      <c r="AZ218" s="10"/>
      <c r="BA218" s="10" t="s">
        <v>2171</v>
      </c>
      <c r="BB218" s="18" t="s">
        <v>2172</v>
      </c>
      <c r="BC218" s="41" t="s">
        <v>2173</v>
      </c>
    </row>
    <row r="219" spans="1:55" ht="70" customHeight="1" x14ac:dyDescent="0.2">
      <c r="A219" s="88" t="s">
        <v>4403</v>
      </c>
      <c r="B219" s="6" t="s">
        <v>2174</v>
      </c>
      <c r="C219" s="7" t="s">
        <v>2164</v>
      </c>
      <c r="D219" s="8" t="s">
        <v>49</v>
      </c>
      <c r="E219" s="8" t="s">
        <v>50</v>
      </c>
      <c r="F219" s="9" t="s">
        <v>2165</v>
      </c>
      <c r="G219" s="9" t="s">
        <v>2166</v>
      </c>
      <c r="H219" s="10" t="s">
        <v>748</v>
      </c>
      <c r="I219" s="10" t="s">
        <v>103</v>
      </c>
      <c r="J219" s="7" t="s">
        <v>2175</v>
      </c>
      <c r="K219" s="10" t="s">
        <v>55</v>
      </c>
      <c r="L219" s="9" t="s">
        <v>2165</v>
      </c>
      <c r="M219" s="9" t="s">
        <v>2166</v>
      </c>
      <c r="N219" s="10" t="s">
        <v>748</v>
      </c>
      <c r="O219" s="8" t="s">
        <v>103</v>
      </c>
      <c r="P219" s="8" t="s">
        <v>56</v>
      </c>
      <c r="Q219" s="10" t="s">
        <v>2176</v>
      </c>
      <c r="R219" s="10" t="s">
        <v>72</v>
      </c>
      <c r="S219" s="10"/>
      <c r="T219" s="8" t="s">
        <v>73</v>
      </c>
      <c r="U219" s="11">
        <v>39083</v>
      </c>
      <c r="V219" s="12">
        <v>2007</v>
      </c>
      <c r="W219" s="13">
        <v>39338</v>
      </c>
      <c r="X219" s="14">
        <v>2007</v>
      </c>
      <c r="Y219" s="13" t="s">
        <v>94</v>
      </c>
      <c r="Z219" s="13" t="s">
        <v>94</v>
      </c>
      <c r="AA219" s="13" t="s">
        <v>94</v>
      </c>
      <c r="AB219" s="13" t="s">
        <v>94</v>
      </c>
      <c r="AC219" s="13" t="s">
        <v>94</v>
      </c>
      <c r="AD219" s="15"/>
      <c r="AE219" s="27"/>
      <c r="AF219" s="8" t="s">
        <v>1324</v>
      </c>
      <c r="AG219" s="16">
        <v>1000000</v>
      </c>
      <c r="AH219" s="16">
        <v>15056.83</v>
      </c>
      <c r="AI219" s="16">
        <v>22779.57</v>
      </c>
      <c r="AJ219" s="16" t="s">
        <v>76</v>
      </c>
      <c r="AK219" s="28" t="s">
        <v>94</v>
      </c>
      <c r="AL219" s="16" t="s">
        <v>94</v>
      </c>
      <c r="AM219" s="16" t="s">
        <v>94</v>
      </c>
      <c r="AN219" s="10" t="s">
        <v>64</v>
      </c>
      <c r="AO219" s="8" t="s">
        <v>3758</v>
      </c>
      <c r="AP219" s="15">
        <v>1</v>
      </c>
      <c r="AQ219" s="15" t="s">
        <v>94</v>
      </c>
      <c r="AR219" s="8" t="s">
        <v>3770</v>
      </c>
      <c r="AS219" s="10" t="s">
        <v>3781</v>
      </c>
      <c r="AT219" s="10" t="s">
        <v>3795</v>
      </c>
      <c r="AU219" s="96"/>
      <c r="AV219" s="17" t="s">
        <v>2177</v>
      </c>
      <c r="AW219" s="10" t="s">
        <v>2178</v>
      </c>
      <c r="AX219" s="7"/>
      <c r="AY219" s="10" t="s">
        <v>2179</v>
      </c>
      <c r="AZ219" s="10" t="s">
        <v>2180</v>
      </c>
      <c r="BA219" s="10" t="s">
        <v>2181</v>
      </c>
      <c r="BB219" s="18"/>
      <c r="BC219" s="41" t="s">
        <v>2182</v>
      </c>
    </row>
    <row r="220" spans="1:55" ht="70" customHeight="1" x14ac:dyDescent="0.2">
      <c r="A220" s="88" t="s">
        <v>4404</v>
      </c>
      <c r="B220" s="6" t="s">
        <v>2183</v>
      </c>
      <c r="C220" s="7" t="s">
        <v>2164</v>
      </c>
      <c r="D220" s="8" t="s">
        <v>49</v>
      </c>
      <c r="E220" s="8" t="s">
        <v>50</v>
      </c>
      <c r="F220" s="9" t="s">
        <v>2165</v>
      </c>
      <c r="G220" s="9" t="s">
        <v>2166</v>
      </c>
      <c r="H220" s="10" t="s">
        <v>748</v>
      </c>
      <c r="I220" s="10" t="s">
        <v>103</v>
      </c>
      <c r="J220" s="7" t="s">
        <v>2184</v>
      </c>
      <c r="K220" s="10" t="s">
        <v>55</v>
      </c>
      <c r="L220" s="9" t="s">
        <v>2165</v>
      </c>
      <c r="M220" s="9" t="s">
        <v>2166</v>
      </c>
      <c r="N220" s="10" t="s">
        <v>748</v>
      </c>
      <c r="O220" s="8" t="s">
        <v>103</v>
      </c>
      <c r="P220" s="8" t="s">
        <v>56</v>
      </c>
      <c r="Q220" s="10" t="s">
        <v>2185</v>
      </c>
      <c r="R220" s="10" t="s">
        <v>72</v>
      </c>
      <c r="S220" s="10"/>
      <c r="T220" s="8" t="s">
        <v>73</v>
      </c>
      <c r="U220" s="11">
        <v>35108</v>
      </c>
      <c r="V220" s="12">
        <v>1996</v>
      </c>
      <c r="W220" s="13" t="s">
        <v>94</v>
      </c>
      <c r="X220" s="14">
        <v>2008</v>
      </c>
      <c r="Y220" s="13">
        <v>39448</v>
      </c>
      <c r="Z220" s="15">
        <v>2008</v>
      </c>
      <c r="AA220" s="13">
        <v>42736</v>
      </c>
      <c r="AB220" s="14">
        <v>2017</v>
      </c>
      <c r="AC220" s="15">
        <v>9</v>
      </c>
      <c r="AD220" s="15">
        <v>2017</v>
      </c>
      <c r="AE220" s="27"/>
      <c r="AF220" s="8" t="s">
        <v>106</v>
      </c>
      <c r="AG220" s="28">
        <v>174146196</v>
      </c>
      <c r="AH220" s="16">
        <v>174146196</v>
      </c>
      <c r="AI220" s="16">
        <v>222861235.63</v>
      </c>
      <c r="AJ220" s="16" t="s">
        <v>63</v>
      </c>
      <c r="AK220" s="28">
        <v>174146196</v>
      </c>
      <c r="AL220" s="16">
        <v>174146196</v>
      </c>
      <c r="AM220" s="16">
        <v>222861235.63</v>
      </c>
      <c r="AN220" s="10" t="s">
        <v>64</v>
      </c>
      <c r="AO220" s="8" t="s">
        <v>3757</v>
      </c>
      <c r="AP220" s="43">
        <v>30000</v>
      </c>
      <c r="AQ220" s="15" t="s">
        <v>94</v>
      </c>
      <c r="AR220" s="8" t="s">
        <v>3770</v>
      </c>
      <c r="AS220" s="10" t="s">
        <v>269</v>
      </c>
      <c r="AT220" s="10" t="s">
        <v>3795</v>
      </c>
      <c r="AU220" s="96"/>
      <c r="AV220" s="17" t="s">
        <v>3912</v>
      </c>
      <c r="AW220" s="10" t="s">
        <v>3959</v>
      </c>
      <c r="AX220" s="7"/>
      <c r="AY220" s="10" t="s">
        <v>2186</v>
      </c>
      <c r="AZ220" s="10" t="s">
        <v>4126</v>
      </c>
      <c r="BA220" s="10" t="s">
        <v>2187</v>
      </c>
      <c r="BB220" s="18" t="s">
        <v>2188</v>
      </c>
      <c r="BC220" s="41" t="s">
        <v>2189</v>
      </c>
    </row>
    <row r="221" spans="1:55" ht="69" customHeight="1" x14ac:dyDescent="0.2">
      <c r="A221" s="88" t="s">
        <v>4405</v>
      </c>
      <c r="B221" s="6" t="s">
        <v>2190</v>
      </c>
      <c r="C221" s="7" t="s">
        <v>2164</v>
      </c>
      <c r="D221" s="8" t="s">
        <v>49</v>
      </c>
      <c r="E221" s="8" t="s">
        <v>50</v>
      </c>
      <c r="F221" s="9" t="s">
        <v>2165</v>
      </c>
      <c r="G221" s="9" t="s">
        <v>2166</v>
      </c>
      <c r="H221" s="10" t="s">
        <v>748</v>
      </c>
      <c r="I221" s="10" t="s">
        <v>103</v>
      </c>
      <c r="J221" s="7" t="s">
        <v>2191</v>
      </c>
      <c r="K221" s="10" t="s">
        <v>55</v>
      </c>
      <c r="L221" s="9" t="s">
        <v>2165</v>
      </c>
      <c r="M221" s="9" t="s">
        <v>2166</v>
      </c>
      <c r="N221" s="10" t="s">
        <v>748</v>
      </c>
      <c r="O221" s="8" t="s">
        <v>103</v>
      </c>
      <c r="P221" s="8" t="s">
        <v>56</v>
      </c>
      <c r="Q221" s="10" t="s">
        <v>2192</v>
      </c>
      <c r="R221" s="10" t="s">
        <v>72</v>
      </c>
      <c r="S221" s="10"/>
      <c r="T221" s="8" t="s">
        <v>73</v>
      </c>
      <c r="U221" s="11">
        <v>39083</v>
      </c>
      <c r="V221" s="12">
        <v>2007</v>
      </c>
      <c r="W221" s="13">
        <v>39506</v>
      </c>
      <c r="X221" s="14">
        <v>2008</v>
      </c>
      <c r="Y221" s="13">
        <v>42370</v>
      </c>
      <c r="Z221" s="14">
        <v>2016</v>
      </c>
      <c r="AA221" s="13" t="s">
        <v>94</v>
      </c>
      <c r="AB221" s="13" t="s">
        <v>94</v>
      </c>
      <c r="AC221" s="13" t="s">
        <v>94</v>
      </c>
      <c r="AD221" s="15"/>
      <c r="AE221" s="27"/>
      <c r="AF221" s="8" t="s">
        <v>1324</v>
      </c>
      <c r="AG221" s="16">
        <v>52000000</v>
      </c>
      <c r="AH221" s="16">
        <v>745394.73</v>
      </c>
      <c r="AI221" s="16">
        <v>1086014.26</v>
      </c>
      <c r="AJ221" s="16" t="s">
        <v>76</v>
      </c>
      <c r="AK221" s="28" t="s">
        <v>94</v>
      </c>
      <c r="AL221" s="16" t="s">
        <v>94</v>
      </c>
      <c r="AM221" s="16" t="s">
        <v>94</v>
      </c>
      <c r="AN221" s="10" t="s">
        <v>64</v>
      </c>
      <c r="AO221" s="8" t="s">
        <v>3758</v>
      </c>
      <c r="AP221" s="15">
        <v>52</v>
      </c>
      <c r="AQ221" s="15" t="s">
        <v>94</v>
      </c>
      <c r="AR221" s="8" t="s">
        <v>3770</v>
      </c>
      <c r="AS221" s="10" t="s">
        <v>3781</v>
      </c>
      <c r="AT221" s="10" t="s">
        <v>3795</v>
      </c>
      <c r="AU221" s="96"/>
      <c r="AV221" s="17" t="s">
        <v>2193</v>
      </c>
      <c r="AW221" s="10" t="s">
        <v>2194</v>
      </c>
      <c r="AX221" s="7" t="s">
        <v>4042</v>
      </c>
      <c r="AY221" s="10" t="s">
        <v>2195</v>
      </c>
      <c r="AZ221" s="10" t="s">
        <v>4127</v>
      </c>
      <c r="BA221" s="10" t="s">
        <v>2196</v>
      </c>
      <c r="BB221" s="18" t="s">
        <v>2197</v>
      </c>
      <c r="BC221" s="41" t="s">
        <v>2198</v>
      </c>
    </row>
    <row r="222" spans="1:55" ht="69" customHeight="1" x14ac:dyDescent="0.2">
      <c r="A222" s="88" t="s">
        <v>4406</v>
      </c>
      <c r="B222" s="6" t="s">
        <v>2199</v>
      </c>
      <c r="C222" s="7" t="s">
        <v>2164</v>
      </c>
      <c r="D222" s="8" t="s">
        <v>49</v>
      </c>
      <c r="E222" s="8" t="s">
        <v>50</v>
      </c>
      <c r="F222" s="9" t="s">
        <v>2165</v>
      </c>
      <c r="G222" s="9" t="s">
        <v>2166</v>
      </c>
      <c r="H222" s="10" t="s">
        <v>748</v>
      </c>
      <c r="I222" s="10" t="s">
        <v>103</v>
      </c>
      <c r="J222" s="7" t="s">
        <v>2200</v>
      </c>
      <c r="K222" s="10" t="s">
        <v>55</v>
      </c>
      <c r="L222" s="9" t="s">
        <v>2165</v>
      </c>
      <c r="M222" s="9" t="s">
        <v>2166</v>
      </c>
      <c r="N222" s="10" t="s">
        <v>748</v>
      </c>
      <c r="O222" s="8" t="s">
        <v>103</v>
      </c>
      <c r="P222" s="8" t="s">
        <v>56</v>
      </c>
      <c r="Q222" s="10" t="s">
        <v>2201</v>
      </c>
      <c r="R222" s="10" t="s">
        <v>72</v>
      </c>
      <c r="S222" s="10"/>
      <c r="T222" s="8" t="s">
        <v>73</v>
      </c>
      <c r="U222" s="11">
        <v>39083</v>
      </c>
      <c r="V222" s="12">
        <v>2007</v>
      </c>
      <c r="W222" s="13">
        <v>39526</v>
      </c>
      <c r="X222" s="14">
        <v>2008</v>
      </c>
      <c r="Y222" s="13" t="s">
        <v>94</v>
      </c>
      <c r="Z222" s="13" t="s">
        <v>94</v>
      </c>
      <c r="AA222" s="13" t="s">
        <v>94</v>
      </c>
      <c r="AB222" s="13" t="s">
        <v>94</v>
      </c>
      <c r="AC222" s="13" t="s">
        <v>94</v>
      </c>
      <c r="AD222" s="15"/>
      <c r="AE222" s="27"/>
      <c r="AF222" s="8" t="s">
        <v>1324</v>
      </c>
      <c r="AG222" s="16">
        <v>1000000</v>
      </c>
      <c r="AH222" s="16">
        <v>14334.51</v>
      </c>
      <c r="AI222" s="16">
        <v>20884.88</v>
      </c>
      <c r="AJ222" s="16" t="s">
        <v>76</v>
      </c>
      <c r="AK222" s="28" t="s">
        <v>94</v>
      </c>
      <c r="AL222" s="16" t="s">
        <v>94</v>
      </c>
      <c r="AM222" s="16" t="s">
        <v>94</v>
      </c>
      <c r="AN222" s="10" t="s">
        <v>64</v>
      </c>
      <c r="AO222" s="8" t="s">
        <v>3758</v>
      </c>
      <c r="AP222" s="15" t="s">
        <v>94</v>
      </c>
      <c r="AQ222" s="15" t="s">
        <v>94</v>
      </c>
      <c r="AR222" s="8" t="s">
        <v>3770</v>
      </c>
      <c r="AS222" s="10" t="s">
        <v>3781</v>
      </c>
      <c r="AT222" s="10" t="s">
        <v>3795</v>
      </c>
      <c r="AU222" s="96"/>
      <c r="AV222" s="17" t="s">
        <v>2202</v>
      </c>
      <c r="AW222" s="10" t="s">
        <v>2203</v>
      </c>
      <c r="AX222" s="7"/>
      <c r="AY222" s="10"/>
      <c r="AZ222" s="10"/>
      <c r="BA222" s="10" t="s">
        <v>2204</v>
      </c>
      <c r="BB222" s="18"/>
      <c r="BC222" s="41" t="s">
        <v>2205</v>
      </c>
    </row>
    <row r="223" spans="1:55" ht="70" customHeight="1" x14ac:dyDescent="0.2">
      <c r="A223" s="88" t="s">
        <v>4407</v>
      </c>
      <c r="B223" s="6" t="s">
        <v>2206</v>
      </c>
      <c r="C223" s="7" t="s">
        <v>2207</v>
      </c>
      <c r="D223" s="8" t="s">
        <v>279</v>
      </c>
      <c r="E223" s="8" t="s">
        <v>280</v>
      </c>
      <c r="F223" s="9" t="s">
        <v>2165</v>
      </c>
      <c r="G223" s="9" t="s">
        <v>2166</v>
      </c>
      <c r="H223" s="10" t="s">
        <v>748</v>
      </c>
      <c r="I223" s="10" t="s">
        <v>103</v>
      </c>
      <c r="J223" s="7" t="s">
        <v>2208</v>
      </c>
      <c r="K223" s="10" t="s">
        <v>55</v>
      </c>
      <c r="L223" s="9" t="s">
        <v>2165</v>
      </c>
      <c r="M223" s="9" t="s">
        <v>2166</v>
      </c>
      <c r="N223" s="10" t="s">
        <v>748</v>
      </c>
      <c r="O223" s="8" t="s">
        <v>103</v>
      </c>
      <c r="P223" s="8" t="s">
        <v>56</v>
      </c>
      <c r="Q223" s="10" t="s">
        <v>2209</v>
      </c>
      <c r="R223" s="10" t="s">
        <v>584</v>
      </c>
      <c r="S223" s="10"/>
      <c r="T223" s="8" t="s">
        <v>60</v>
      </c>
      <c r="U223" s="11">
        <v>43277</v>
      </c>
      <c r="V223" s="12">
        <v>2018</v>
      </c>
      <c r="W223" s="13">
        <v>44705</v>
      </c>
      <c r="X223" s="14">
        <v>2022</v>
      </c>
      <c r="Y223" s="13" t="s">
        <v>94</v>
      </c>
      <c r="Z223" s="13" t="s">
        <v>94</v>
      </c>
      <c r="AA223" s="13" t="s">
        <v>94</v>
      </c>
      <c r="AB223" s="13" t="s">
        <v>94</v>
      </c>
      <c r="AC223" s="13" t="s">
        <v>94</v>
      </c>
      <c r="AD223" s="15"/>
      <c r="AE223" s="27"/>
      <c r="AF223" s="8" t="s">
        <v>1324</v>
      </c>
      <c r="AG223" s="16">
        <v>3500000</v>
      </c>
      <c r="AH223" s="16">
        <v>27955.39</v>
      </c>
      <c r="AI223" s="16">
        <v>29964.63</v>
      </c>
      <c r="AJ223" s="16" t="s">
        <v>76</v>
      </c>
      <c r="AK223" s="28" t="s">
        <v>94</v>
      </c>
      <c r="AL223" s="16" t="s">
        <v>94</v>
      </c>
      <c r="AM223" s="16" t="s">
        <v>94</v>
      </c>
      <c r="AN223" s="10" t="s">
        <v>64</v>
      </c>
      <c r="AO223" s="8" t="s">
        <v>3758</v>
      </c>
      <c r="AP223" s="15">
        <v>2</v>
      </c>
      <c r="AQ223" s="15" t="s">
        <v>94</v>
      </c>
      <c r="AR223" s="8" t="s">
        <v>3761</v>
      </c>
      <c r="AS223" s="10" t="s">
        <v>3781</v>
      </c>
      <c r="AT223" s="10" t="s">
        <v>2210</v>
      </c>
      <c r="AU223" s="96"/>
      <c r="AV223" s="17"/>
      <c r="AW223" s="10"/>
      <c r="AX223" s="7" t="s">
        <v>2211</v>
      </c>
      <c r="AY223" s="10" t="s">
        <v>2212</v>
      </c>
      <c r="AZ223" s="10" t="s">
        <v>2213</v>
      </c>
      <c r="BA223" s="10" t="s">
        <v>2214</v>
      </c>
      <c r="BB223" s="18"/>
      <c r="BC223" s="41" t="s">
        <v>2215</v>
      </c>
    </row>
    <row r="224" spans="1:55" ht="70" customHeight="1" x14ac:dyDescent="0.2">
      <c r="A224" s="88" t="s">
        <v>4408</v>
      </c>
      <c r="B224" s="6" t="s">
        <v>2216</v>
      </c>
      <c r="C224" s="7" t="s">
        <v>2217</v>
      </c>
      <c r="D224" s="8" t="s">
        <v>49</v>
      </c>
      <c r="E224" s="8" t="s">
        <v>50</v>
      </c>
      <c r="F224" s="9" t="s">
        <v>2218</v>
      </c>
      <c r="G224" s="9" t="s">
        <v>2219</v>
      </c>
      <c r="H224" s="10" t="s">
        <v>4154</v>
      </c>
      <c r="I224" s="10" t="s">
        <v>140</v>
      </c>
      <c r="J224" s="7" t="s">
        <v>2220</v>
      </c>
      <c r="K224" s="10" t="s">
        <v>55</v>
      </c>
      <c r="L224" s="9" t="s">
        <v>1470</v>
      </c>
      <c r="M224" s="9" t="s">
        <v>1471</v>
      </c>
      <c r="N224" s="10" t="s">
        <v>4153</v>
      </c>
      <c r="O224" s="8" t="s">
        <v>53</v>
      </c>
      <c r="P224" s="8" t="s">
        <v>144</v>
      </c>
      <c r="Q224" s="10" t="s">
        <v>2221</v>
      </c>
      <c r="R224" s="10" t="s">
        <v>584</v>
      </c>
      <c r="S224" s="10"/>
      <c r="T224" s="8" t="s">
        <v>73</v>
      </c>
      <c r="U224" s="11">
        <v>17510</v>
      </c>
      <c r="V224" s="12">
        <v>1947</v>
      </c>
      <c r="W224" s="13">
        <v>40800</v>
      </c>
      <c r="X224" s="14">
        <v>2011</v>
      </c>
      <c r="Y224" s="13">
        <v>40544</v>
      </c>
      <c r="Z224" s="14">
        <v>2011</v>
      </c>
      <c r="AA224" s="13">
        <v>40544</v>
      </c>
      <c r="AB224" s="14">
        <v>2011</v>
      </c>
      <c r="AC224" s="14">
        <v>0</v>
      </c>
      <c r="AD224" s="14">
        <v>2011</v>
      </c>
      <c r="AE224" s="27"/>
      <c r="AF224" s="8" t="s">
        <v>75</v>
      </c>
      <c r="AG224" s="28">
        <v>200000</v>
      </c>
      <c r="AH224" s="16">
        <v>270000</v>
      </c>
      <c r="AI224" s="16">
        <v>376528.88</v>
      </c>
      <c r="AJ224" s="16" t="s">
        <v>76</v>
      </c>
      <c r="AK224" s="28">
        <v>200000</v>
      </c>
      <c r="AL224" s="16">
        <v>270000</v>
      </c>
      <c r="AM224" s="16">
        <v>376528.88</v>
      </c>
      <c r="AN224" s="10" t="s">
        <v>64</v>
      </c>
      <c r="AO224" s="8" t="s">
        <v>3758</v>
      </c>
      <c r="AP224" s="15">
        <v>10</v>
      </c>
      <c r="AQ224" s="15">
        <v>10</v>
      </c>
      <c r="AR224" s="8" t="s">
        <v>3762</v>
      </c>
      <c r="AS224" s="10" t="s">
        <v>3781</v>
      </c>
      <c r="AT224" s="10" t="s">
        <v>2222</v>
      </c>
      <c r="AU224" s="96"/>
      <c r="AV224" s="17" t="s">
        <v>3913</v>
      </c>
      <c r="AW224" s="10"/>
      <c r="AX224" s="7" t="s">
        <v>3847</v>
      </c>
      <c r="AY224" s="10" t="s">
        <v>2223</v>
      </c>
      <c r="AZ224" s="10" t="s">
        <v>4128</v>
      </c>
      <c r="BA224" s="10" t="s">
        <v>2224</v>
      </c>
      <c r="BB224" s="18" t="s">
        <v>2225</v>
      </c>
      <c r="BC224" s="41" t="s">
        <v>2226</v>
      </c>
    </row>
    <row r="225" spans="1:55" ht="69" customHeight="1" x14ac:dyDescent="0.2">
      <c r="A225" s="88" t="s">
        <v>4409</v>
      </c>
      <c r="B225" s="6" t="s">
        <v>2227</v>
      </c>
      <c r="C225" s="7" t="s">
        <v>2217</v>
      </c>
      <c r="D225" s="8" t="s">
        <v>49</v>
      </c>
      <c r="E225" s="8" t="s">
        <v>50</v>
      </c>
      <c r="F225" s="9" t="s">
        <v>2218</v>
      </c>
      <c r="G225" s="9" t="s">
        <v>2219</v>
      </c>
      <c r="H225" s="10" t="s">
        <v>4154</v>
      </c>
      <c r="I225" s="10" t="s">
        <v>140</v>
      </c>
      <c r="J225" s="7" t="s">
        <v>2228</v>
      </c>
      <c r="K225" s="10" t="s">
        <v>55</v>
      </c>
      <c r="L225" s="9" t="s">
        <v>1500</v>
      </c>
      <c r="M225" s="9" t="s">
        <v>1501</v>
      </c>
      <c r="N225" s="10" t="s">
        <v>4156</v>
      </c>
      <c r="O225" s="8" t="s">
        <v>53</v>
      </c>
      <c r="P225" s="8" t="s">
        <v>144</v>
      </c>
      <c r="Q225" s="10" t="s">
        <v>2229</v>
      </c>
      <c r="R225" s="10" t="s">
        <v>529</v>
      </c>
      <c r="S225" s="10"/>
      <c r="T225" s="8" t="s">
        <v>73</v>
      </c>
      <c r="U225" s="11">
        <v>38098</v>
      </c>
      <c r="V225" s="12">
        <v>2004</v>
      </c>
      <c r="W225" s="13">
        <v>41963</v>
      </c>
      <c r="X225" s="14">
        <v>2014</v>
      </c>
      <c r="Y225" s="13" t="s">
        <v>94</v>
      </c>
      <c r="Z225" s="13" t="s">
        <v>94</v>
      </c>
      <c r="AA225" s="13" t="s">
        <v>94</v>
      </c>
      <c r="AB225" s="13" t="s">
        <v>94</v>
      </c>
      <c r="AC225" s="13" t="s">
        <v>94</v>
      </c>
      <c r="AD225" s="15"/>
      <c r="AE225" s="27"/>
      <c r="AF225" s="8" t="s">
        <v>75</v>
      </c>
      <c r="AG225" s="16">
        <v>25000</v>
      </c>
      <c r="AH225" s="16">
        <v>33212.519999999997</v>
      </c>
      <c r="AI225" s="16">
        <v>44008.53</v>
      </c>
      <c r="AJ225" s="16" t="s">
        <v>76</v>
      </c>
      <c r="AK225" s="16" t="s">
        <v>94</v>
      </c>
      <c r="AL225" s="16" t="s">
        <v>94</v>
      </c>
      <c r="AM225" s="16" t="s">
        <v>94</v>
      </c>
      <c r="AN225" s="10" t="s">
        <v>64</v>
      </c>
      <c r="AO225" s="8" t="s">
        <v>3758</v>
      </c>
      <c r="AP225" s="15">
        <v>1</v>
      </c>
      <c r="AQ225" s="15" t="s">
        <v>94</v>
      </c>
      <c r="AR225" s="8" t="s">
        <v>3761</v>
      </c>
      <c r="AS225" s="10" t="s">
        <v>3781</v>
      </c>
      <c r="AT225" s="10" t="s">
        <v>4157</v>
      </c>
      <c r="AU225" s="96"/>
      <c r="AV225" s="17" t="s">
        <v>459</v>
      </c>
      <c r="AW225" s="10"/>
      <c r="AX225" s="7"/>
      <c r="AY225" s="10" t="s">
        <v>2230</v>
      </c>
      <c r="AZ225" s="10" t="s">
        <v>2231</v>
      </c>
      <c r="BA225" s="10" t="s">
        <v>2232</v>
      </c>
      <c r="BB225" s="18"/>
      <c r="BC225" s="41" t="s">
        <v>2233</v>
      </c>
    </row>
    <row r="226" spans="1:55" ht="70" customHeight="1" x14ac:dyDescent="0.2">
      <c r="A226" s="88" t="s">
        <v>4410</v>
      </c>
      <c r="B226" s="6" t="s">
        <v>2234</v>
      </c>
      <c r="C226" s="7" t="s">
        <v>2217</v>
      </c>
      <c r="D226" s="8" t="s">
        <v>49</v>
      </c>
      <c r="E226" s="8" t="s">
        <v>50</v>
      </c>
      <c r="F226" s="9" t="s">
        <v>2218</v>
      </c>
      <c r="G226" s="9" t="s">
        <v>2219</v>
      </c>
      <c r="H226" s="10" t="s">
        <v>4154</v>
      </c>
      <c r="I226" s="10" t="s">
        <v>140</v>
      </c>
      <c r="J226" s="7" t="s">
        <v>2235</v>
      </c>
      <c r="K226" s="10" t="s">
        <v>55</v>
      </c>
      <c r="L226" s="9" t="s">
        <v>1470</v>
      </c>
      <c r="M226" s="9" t="s">
        <v>1471</v>
      </c>
      <c r="N226" s="10" t="s">
        <v>4153</v>
      </c>
      <c r="O226" s="8" t="s">
        <v>53</v>
      </c>
      <c r="P226" s="8" t="s">
        <v>144</v>
      </c>
      <c r="Q226" s="10" t="s">
        <v>2236</v>
      </c>
      <c r="R226" s="10" t="s">
        <v>383</v>
      </c>
      <c r="S226" s="10"/>
      <c r="T226" s="8" t="s">
        <v>60</v>
      </c>
      <c r="U226" s="11">
        <v>17369</v>
      </c>
      <c r="V226" s="12">
        <v>1947</v>
      </c>
      <c r="W226" s="13">
        <v>43299</v>
      </c>
      <c r="X226" s="14">
        <v>2018</v>
      </c>
      <c r="Y226" s="13" t="s">
        <v>94</v>
      </c>
      <c r="Z226" s="13" t="s">
        <v>94</v>
      </c>
      <c r="AA226" s="13" t="s">
        <v>94</v>
      </c>
      <c r="AB226" s="13" t="s">
        <v>94</v>
      </c>
      <c r="AC226" s="13" t="s">
        <v>94</v>
      </c>
      <c r="AD226" s="15"/>
      <c r="AE226" s="27"/>
      <c r="AF226" s="8" t="s">
        <v>75</v>
      </c>
      <c r="AG226" s="16">
        <v>5000</v>
      </c>
      <c r="AH226" s="16">
        <v>5904.77</v>
      </c>
      <c r="AI226" s="16">
        <v>7376.38</v>
      </c>
      <c r="AJ226" s="16" t="s">
        <v>76</v>
      </c>
      <c r="AK226" s="16" t="s">
        <v>94</v>
      </c>
      <c r="AL226" s="16" t="s">
        <v>94</v>
      </c>
      <c r="AM226" s="16" t="s">
        <v>94</v>
      </c>
      <c r="AN226" s="10" t="s">
        <v>64</v>
      </c>
      <c r="AO226" s="8" t="s">
        <v>3758</v>
      </c>
      <c r="AP226" s="15">
        <v>1</v>
      </c>
      <c r="AQ226" s="15" t="s">
        <v>94</v>
      </c>
      <c r="AR226" s="8" t="s">
        <v>3762</v>
      </c>
      <c r="AS226" s="10" t="s">
        <v>3781</v>
      </c>
      <c r="AT226" s="10" t="s">
        <v>2237</v>
      </c>
      <c r="AU226" s="96"/>
      <c r="AV226" s="17" t="s">
        <v>459</v>
      </c>
      <c r="AW226" s="10"/>
      <c r="AX226" s="7"/>
      <c r="AY226" s="10" t="s">
        <v>2238</v>
      </c>
      <c r="AZ226" s="10" t="s">
        <v>2239</v>
      </c>
      <c r="BA226" s="10" t="s">
        <v>2240</v>
      </c>
      <c r="BB226" s="18"/>
      <c r="BC226" s="41" t="s">
        <v>2241</v>
      </c>
    </row>
    <row r="227" spans="1:55" ht="70" customHeight="1" x14ac:dyDescent="0.2">
      <c r="A227" s="88" t="s">
        <v>4411</v>
      </c>
      <c r="B227" s="6" t="s">
        <v>2242</v>
      </c>
      <c r="C227" s="7" t="s">
        <v>2217</v>
      </c>
      <c r="D227" s="8" t="s">
        <v>49</v>
      </c>
      <c r="E227" s="8" t="s">
        <v>50</v>
      </c>
      <c r="F227" s="9" t="s">
        <v>2218</v>
      </c>
      <c r="G227" s="9" t="s">
        <v>2219</v>
      </c>
      <c r="H227" s="10" t="s">
        <v>4154</v>
      </c>
      <c r="I227" s="10" t="s">
        <v>140</v>
      </c>
      <c r="J227" s="7" t="s">
        <v>2243</v>
      </c>
      <c r="K227" s="10" t="s">
        <v>55</v>
      </c>
      <c r="L227" s="9" t="s">
        <v>454</v>
      </c>
      <c r="M227" s="9" t="s">
        <v>455</v>
      </c>
      <c r="N227" s="10" t="s">
        <v>4154</v>
      </c>
      <c r="O227" s="8" t="s">
        <v>53</v>
      </c>
      <c r="P227" s="8" t="s">
        <v>144</v>
      </c>
      <c r="Q227" s="10" t="s">
        <v>2244</v>
      </c>
      <c r="R227" s="10" t="s">
        <v>177</v>
      </c>
      <c r="S227" s="10"/>
      <c r="T227" s="8" t="s">
        <v>73</v>
      </c>
      <c r="U227" s="11">
        <v>34881</v>
      </c>
      <c r="V227" s="12">
        <v>1995</v>
      </c>
      <c r="W227" s="13">
        <v>43665</v>
      </c>
      <c r="X227" s="14">
        <v>2019</v>
      </c>
      <c r="Y227" s="13">
        <v>44362</v>
      </c>
      <c r="Z227" s="15">
        <v>2021</v>
      </c>
      <c r="AA227" s="13">
        <v>45092</v>
      </c>
      <c r="AB227" s="15">
        <v>2023</v>
      </c>
      <c r="AC227" s="15">
        <v>2</v>
      </c>
      <c r="AD227" s="15">
        <v>2023</v>
      </c>
      <c r="AE227" s="27"/>
      <c r="AF227" s="8" t="s">
        <v>75</v>
      </c>
      <c r="AG227" s="28">
        <v>12000000</v>
      </c>
      <c r="AH227" s="16">
        <v>12977046.74</v>
      </c>
      <c r="AI227" s="16">
        <v>13359796.83</v>
      </c>
      <c r="AJ227" s="16" t="s">
        <v>63</v>
      </c>
      <c r="AK227" s="28">
        <v>12000000</v>
      </c>
      <c r="AL227" s="16">
        <v>12977046.74</v>
      </c>
      <c r="AM227" s="16">
        <v>13359796.83</v>
      </c>
      <c r="AN227" s="10" t="s">
        <v>64</v>
      </c>
      <c r="AO227" s="8" t="s">
        <v>3758</v>
      </c>
      <c r="AP227" s="43">
        <v>1145</v>
      </c>
      <c r="AQ227" s="43">
        <v>1145</v>
      </c>
      <c r="AR227" s="8" t="s">
        <v>3769</v>
      </c>
      <c r="AS227" s="10" t="s">
        <v>3781</v>
      </c>
      <c r="AT227" s="10" t="s">
        <v>2245</v>
      </c>
      <c r="AU227" s="96"/>
      <c r="AV227" s="17" t="s">
        <v>459</v>
      </c>
      <c r="AW227" s="10"/>
      <c r="AX227" s="7" t="s">
        <v>4043</v>
      </c>
      <c r="AY227" s="10" t="s">
        <v>2246</v>
      </c>
      <c r="AZ227" s="10" t="s">
        <v>2247</v>
      </c>
      <c r="BA227" s="10" t="s">
        <v>2248</v>
      </c>
      <c r="BB227" s="18" t="s">
        <v>2249</v>
      </c>
      <c r="BC227" s="41" t="s">
        <v>2250</v>
      </c>
    </row>
    <row r="228" spans="1:55" ht="70" customHeight="1" x14ac:dyDescent="0.2">
      <c r="A228" s="88" t="s">
        <v>4412</v>
      </c>
      <c r="B228" s="6" t="s">
        <v>2251</v>
      </c>
      <c r="C228" s="7" t="s">
        <v>2252</v>
      </c>
      <c r="D228" s="8" t="s">
        <v>49</v>
      </c>
      <c r="E228" s="8" t="s">
        <v>50</v>
      </c>
      <c r="F228" s="9" t="s">
        <v>2218</v>
      </c>
      <c r="G228" s="9" t="s">
        <v>2219</v>
      </c>
      <c r="H228" s="10" t="s">
        <v>4154</v>
      </c>
      <c r="I228" s="10" t="s">
        <v>140</v>
      </c>
      <c r="J228" s="7" t="s">
        <v>2253</v>
      </c>
      <c r="K228" s="10" t="s">
        <v>55</v>
      </c>
      <c r="L228" s="9" t="s">
        <v>1470</v>
      </c>
      <c r="M228" s="9" t="s">
        <v>1471</v>
      </c>
      <c r="N228" s="10" t="s">
        <v>4153</v>
      </c>
      <c r="O228" s="8" t="s">
        <v>53</v>
      </c>
      <c r="P228" s="8" t="s">
        <v>144</v>
      </c>
      <c r="Q228" s="10" t="s">
        <v>2254</v>
      </c>
      <c r="R228" s="10" t="s">
        <v>383</v>
      </c>
      <c r="S228" s="10"/>
      <c r="T228" s="8" t="s">
        <v>73</v>
      </c>
      <c r="U228" s="11">
        <v>17195</v>
      </c>
      <c r="V228" s="12">
        <v>1947</v>
      </c>
      <c r="W228" s="13">
        <v>43915</v>
      </c>
      <c r="X228" s="14">
        <v>2020</v>
      </c>
      <c r="Y228" s="13" t="s">
        <v>94</v>
      </c>
      <c r="Z228" s="13" t="s">
        <v>94</v>
      </c>
      <c r="AA228" s="13" t="s">
        <v>94</v>
      </c>
      <c r="AB228" s="13" t="s">
        <v>94</v>
      </c>
      <c r="AC228" s="13" t="s">
        <v>94</v>
      </c>
      <c r="AD228" s="13"/>
      <c r="AE228" s="27"/>
      <c r="AF228" s="8" t="s">
        <v>75</v>
      </c>
      <c r="AG228" s="16">
        <v>55000</v>
      </c>
      <c r="AH228" s="16">
        <v>64790</v>
      </c>
      <c r="AI228" s="16">
        <v>78528</v>
      </c>
      <c r="AJ228" s="16" t="s">
        <v>76</v>
      </c>
      <c r="AK228" s="28" t="s">
        <v>94</v>
      </c>
      <c r="AL228" s="28" t="s">
        <v>94</v>
      </c>
      <c r="AM228" s="28" t="s">
        <v>94</v>
      </c>
      <c r="AN228" s="10" t="s">
        <v>64</v>
      </c>
      <c r="AO228" s="8" t="s">
        <v>3758</v>
      </c>
      <c r="AP228" s="15">
        <v>11</v>
      </c>
      <c r="AQ228" s="15" t="s">
        <v>94</v>
      </c>
      <c r="AR228" s="8" t="s">
        <v>3762</v>
      </c>
      <c r="AS228" s="10" t="s">
        <v>3781</v>
      </c>
      <c r="AT228" s="10" t="s">
        <v>3795</v>
      </c>
      <c r="AU228" s="96"/>
      <c r="AV228" s="17" t="s">
        <v>3914</v>
      </c>
      <c r="AW228" s="10"/>
      <c r="AX228" s="7" t="s">
        <v>3848</v>
      </c>
      <c r="AY228" s="10" t="s">
        <v>2255</v>
      </c>
      <c r="AZ228" s="10" t="s">
        <v>2256</v>
      </c>
      <c r="BA228" s="10" t="s">
        <v>2257</v>
      </c>
      <c r="BB228" s="18" t="s">
        <v>2258</v>
      </c>
      <c r="BC228" s="41" t="s">
        <v>2259</v>
      </c>
    </row>
    <row r="229" spans="1:55" ht="70" customHeight="1" x14ac:dyDescent="0.2">
      <c r="A229" s="88" t="s">
        <v>4413</v>
      </c>
      <c r="B229" s="6" t="s">
        <v>2260</v>
      </c>
      <c r="C229" s="7" t="s">
        <v>2217</v>
      </c>
      <c r="D229" s="8" t="s">
        <v>49</v>
      </c>
      <c r="E229" s="8" t="s">
        <v>50</v>
      </c>
      <c r="F229" s="9" t="s">
        <v>2218</v>
      </c>
      <c r="G229" s="9" t="s">
        <v>2219</v>
      </c>
      <c r="H229" s="10" t="s">
        <v>4154</v>
      </c>
      <c r="I229" s="10" t="s">
        <v>140</v>
      </c>
      <c r="J229" s="7" t="s">
        <v>2261</v>
      </c>
      <c r="K229" s="10" t="s">
        <v>55</v>
      </c>
      <c r="L229" s="9" t="s">
        <v>1500</v>
      </c>
      <c r="M229" s="9" t="s">
        <v>1501</v>
      </c>
      <c r="N229" s="10" t="s">
        <v>4156</v>
      </c>
      <c r="O229" s="8" t="s">
        <v>53</v>
      </c>
      <c r="P229" s="8" t="s">
        <v>144</v>
      </c>
      <c r="Q229" s="10" t="s">
        <v>2262</v>
      </c>
      <c r="R229" s="10" t="s">
        <v>529</v>
      </c>
      <c r="S229" s="10"/>
      <c r="T229" s="8" t="s">
        <v>73</v>
      </c>
      <c r="U229" s="11">
        <v>42267</v>
      </c>
      <c r="V229" s="12">
        <v>2015</v>
      </c>
      <c r="W229" s="13">
        <v>44082</v>
      </c>
      <c r="X229" s="14">
        <v>2020</v>
      </c>
      <c r="Y229" s="13" t="s">
        <v>94</v>
      </c>
      <c r="Z229" s="13" t="s">
        <v>94</v>
      </c>
      <c r="AA229" s="13" t="s">
        <v>94</v>
      </c>
      <c r="AB229" s="13" t="s">
        <v>94</v>
      </c>
      <c r="AC229" s="13" t="s">
        <v>94</v>
      </c>
      <c r="AD229" s="15"/>
      <c r="AE229" s="27"/>
      <c r="AF229" s="8" t="s">
        <v>75</v>
      </c>
      <c r="AG229" s="16">
        <v>1000000</v>
      </c>
      <c r="AH229" s="16">
        <v>1139633.3400000001</v>
      </c>
      <c r="AI229" s="16">
        <v>1381279.94</v>
      </c>
      <c r="AJ229" s="16" t="s">
        <v>76</v>
      </c>
      <c r="AK229" s="16" t="s">
        <v>94</v>
      </c>
      <c r="AL229" s="16" t="s">
        <v>94</v>
      </c>
      <c r="AM229" s="16" t="s">
        <v>94</v>
      </c>
      <c r="AN229" s="10" t="s">
        <v>64</v>
      </c>
      <c r="AO229" s="8" t="s">
        <v>3757</v>
      </c>
      <c r="AP229" s="15">
        <v>1</v>
      </c>
      <c r="AQ229" s="15" t="s">
        <v>94</v>
      </c>
      <c r="AR229" s="8" t="s">
        <v>3765</v>
      </c>
      <c r="AS229" s="8" t="s">
        <v>3778</v>
      </c>
      <c r="AT229" s="10" t="s">
        <v>3795</v>
      </c>
      <c r="AU229" s="96"/>
      <c r="AV229" s="17" t="s">
        <v>459</v>
      </c>
      <c r="AW229" s="10"/>
      <c r="AX229" s="7" t="s">
        <v>303</v>
      </c>
      <c r="AY229" s="10" t="s">
        <v>2263</v>
      </c>
      <c r="AZ229" s="10" t="s">
        <v>2264</v>
      </c>
      <c r="BA229" s="10" t="s">
        <v>2265</v>
      </c>
      <c r="BB229" s="18"/>
      <c r="BC229" s="41" t="s">
        <v>2266</v>
      </c>
    </row>
    <row r="230" spans="1:55" ht="70" customHeight="1" x14ac:dyDescent="0.2">
      <c r="A230" s="91" t="s">
        <v>4414</v>
      </c>
      <c r="B230" s="76" t="s">
        <v>2267</v>
      </c>
      <c r="C230" s="19" t="s">
        <v>2268</v>
      </c>
      <c r="D230" s="8" t="s">
        <v>49</v>
      </c>
      <c r="E230" s="8" t="s">
        <v>50</v>
      </c>
      <c r="F230" s="32" t="s">
        <v>2269</v>
      </c>
      <c r="G230" s="32" t="s">
        <v>2270</v>
      </c>
      <c r="H230" s="10" t="s">
        <v>4153</v>
      </c>
      <c r="I230" s="18" t="s">
        <v>140</v>
      </c>
      <c r="J230" s="19" t="s">
        <v>2271</v>
      </c>
      <c r="K230" s="10" t="s">
        <v>55</v>
      </c>
      <c r="L230" s="9" t="s">
        <v>2269</v>
      </c>
      <c r="M230" s="9" t="s">
        <v>2270</v>
      </c>
      <c r="N230" s="10" t="s">
        <v>4153</v>
      </c>
      <c r="O230" s="8" t="s">
        <v>140</v>
      </c>
      <c r="P230" s="31" t="s">
        <v>56</v>
      </c>
      <c r="Q230" s="18" t="s">
        <v>2272</v>
      </c>
      <c r="R230" s="18" t="s">
        <v>58</v>
      </c>
      <c r="S230" s="10"/>
      <c r="T230" s="31" t="s">
        <v>73</v>
      </c>
      <c r="U230" s="34" t="s">
        <v>2273</v>
      </c>
      <c r="V230" s="34">
        <v>1840</v>
      </c>
      <c r="W230" s="13" t="s">
        <v>94</v>
      </c>
      <c r="X230" s="36">
        <v>1975</v>
      </c>
      <c r="Y230" s="13">
        <v>35796</v>
      </c>
      <c r="Z230" s="36">
        <v>1998</v>
      </c>
      <c r="AA230" s="13">
        <v>43101</v>
      </c>
      <c r="AB230" s="40">
        <v>2018</v>
      </c>
      <c r="AC230" s="40">
        <v>20</v>
      </c>
      <c r="AD230" s="40">
        <v>2018</v>
      </c>
      <c r="AE230" s="39" t="s">
        <v>2274</v>
      </c>
      <c r="AF230" s="31" t="s">
        <v>106</v>
      </c>
      <c r="AG230" s="37">
        <v>2240000000</v>
      </c>
      <c r="AH230" s="37">
        <v>2240000000</v>
      </c>
      <c r="AI230" s="38">
        <v>2798262732.6199999</v>
      </c>
      <c r="AJ230" s="16" t="s">
        <v>63</v>
      </c>
      <c r="AK230" s="38">
        <v>2240000000</v>
      </c>
      <c r="AL230" s="37">
        <v>2240000000</v>
      </c>
      <c r="AM230" s="38">
        <v>2798262732.6199999</v>
      </c>
      <c r="AN230" s="10" t="s">
        <v>149</v>
      </c>
      <c r="AO230" s="8" t="s">
        <v>3756</v>
      </c>
      <c r="AP230" s="15">
        <v>150</v>
      </c>
      <c r="AQ230" s="15">
        <v>150</v>
      </c>
      <c r="AR230" s="8" t="s">
        <v>3769</v>
      </c>
      <c r="AS230" s="10" t="s">
        <v>3776</v>
      </c>
      <c r="AT230" s="10" t="s">
        <v>3795</v>
      </c>
      <c r="AU230" s="98"/>
      <c r="AV230" s="20"/>
      <c r="AW230" s="10"/>
      <c r="AX230" s="7" t="s">
        <v>4044</v>
      </c>
      <c r="AY230" s="10" t="s">
        <v>2275</v>
      </c>
      <c r="AZ230" s="10" t="s">
        <v>2276</v>
      </c>
      <c r="BA230" s="10" t="s">
        <v>2277</v>
      </c>
      <c r="BB230" s="18" t="s">
        <v>2278</v>
      </c>
      <c r="BC230" s="41" t="s">
        <v>2279</v>
      </c>
    </row>
    <row r="231" spans="1:55" ht="70" customHeight="1" x14ac:dyDescent="0.2">
      <c r="A231" s="91" t="s">
        <v>4415</v>
      </c>
      <c r="B231" s="76" t="s">
        <v>2280</v>
      </c>
      <c r="C231" s="19" t="s">
        <v>2268</v>
      </c>
      <c r="D231" s="8" t="s">
        <v>49</v>
      </c>
      <c r="E231" s="8" t="s">
        <v>50</v>
      </c>
      <c r="F231" s="32" t="s">
        <v>2269</v>
      </c>
      <c r="G231" s="32" t="s">
        <v>2270</v>
      </c>
      <c r="H231" s="10" t="s">
        <v>4153</v>
      </c>
      <c r="I231" s="18" t="s">
        <v>140</v>
      </c>
      <c r="J231" s="19" t="s">
        <v>2281</v>
      </c>
      <c r="K231" s="10" t="s">
        <v>55</v>
      </c>
      <c r="L231" s="9" t="s">
        <v>2269</v>
      </c>
      <c r="M231" s="9" t="s">
        <v>2270</v>
      </c>
      <c r="N231" s="10" t="s">
        <v>4153</v>
      </c>
      <c r="O231" s="8" t="s">
        <v>140</v>
      </c>
      <c r="P231" s="31" t="s">
        <v>56</v>
      </c>
      <c r="Q231" s="18" t="s">
        <v>2282</v>
      </c>
      <c r="R231" s="18" t="s">
        <v>177</v>
      </c>
      <c r="S231" s="18" t="s">
        <v>59</v>
      </c>
      <c r="T231" s="31" t="s">
        <v>60</v>
      </c>
      <c r="U231" s="33" t="s">
        <v>2283</v>
      </c>
      <c r="V231" s="34">
        <v>1881</v>
      </c>
      <c r="W231" s="35">
        <v>38224</v>
      </c>
      <c r="X231" s="36">
        <v>2004</v>
      </c>
      <c r="Y231" s="13">
        <v>37987</v>
      </c>
      <c r="Z231" s="36">
        <v>2004</v>
      </c>
      <c r="AA231" s="13">
        <v>37987</v>
      </c>
      <c r="AB231" s="36">
        <v>2004</v>
      </c>
      <c r="AC231" s="40">
        <v>0</v>
      </c>
      <c r="AD231" s="40">
        <v>2004</v>
      </c>
      <c r="AE231" s="39"/>
      <c r="AF231" s="31" t="s">
        <v>2284</v>
      </c>
      <c r="AG231" s="37">
        <v>5000000</v>
      </c>
      <c r="AH231" s="37">
        <v>3314152.63</v>
      </c>
      <c r="AI231" s="37">
        <v>5503510.9800000004</v>
      </c>
      <c r="AJ231" s="16" t="s">
        <v>76</v>
      </c>
      <c r="AK231" s="38">
        <v>5000000</v>
      </c>
      <c r="AL231" s="37">
        <v>3314152.63</v>
      </c>
      <c r="AM231" s="37">
        <v>5503510.9800000004</v>
      </c>
      <c r="AN231" s="10" t="s">
        <v>149</v>
      </c>
      <c r="AO231" s="8" t="s">
        <v>150</v>
      </c>
      <c r="AP231" s="15" t="s">
        <v>151</v>
      </c>
      <c r="AQ231" s="15" t="s">
        <v>151</v>
      </c>
      <c r="AR231" s="8" t="s">
        <v>3765</v>
      </c>
      <c r="AS231" s="10" t="s">
        <v>2285</v>
      </c>
      <c r="AT231" s="10" t="s">
        <v>3795</v>
      </c>
      <c r="AU231" s="98"/>
      <c r="AV231" s="20" t="s">
        <v>2286</v>
      </c>
      <c r="AW231" s="10" t="s">
        <v>2268</v>
      </c>
      <c r="AX231" s="7"/>
      <c r="AY231" s="10" t="s">
        <v>2287</v>
      </c>
      <c r="AZ231" s="10" t="s">
        <v>2288</v>
      </c>
      <c r="BA231" s="10" t="s">
        <v>2289</v>
      </c>
      <c r="BB231" s="18"/>
      <c r="BC231" s="41" t="s">
        <v>2290</v>
      </c>
    </row>
    <row r="232" spans="1:55" ht="69" customHeight="1" x14ac:dyDescent="0.2">
      <c r="A232" s="88" t="s">
        <v>4416</v>
      </c>
      <c r="B232" s="6" t="s">
        <v>2291</v>
      </c>
      <c r="C232" s="7" t="s">
        <v>2292</v>
      </c>
      <c r="D232" s="8" t="s">
        <v>49</v>
      </c>
      <c r="E232" s="8" t="s">
        <v>50</v>
      </c>
      <c r="F232" s="9" t="s">
        <v>2269</v>
      </c>
      <c r="G232" s="32" t="s">
        <v>2270</v>
      </c>
      <c r="H232" s="10" t="s">
        <v>4153</v>
      </c>
      <c r="I232" s="10" t="s">
        <v>140</v>
      </c>
      <c r="J232" s="7" t="s">
        <v>2293</v>
      </c>
      <c r="K232" s="10" t="s">
        <v>55</v>
      </c>
      <c r="L232" s="9" t="s">
        <v>2269</v>
      </c>
      <c r="M232" s="9" t="s">
        <v>2270</v>
      </c>
      <c r="N232" s="10" t="s">
        <v>4153</v>
      </c>
      <c r="O232" s="8" t="s">
        <v>140</v>
      </c>
      <c r="P232" s="8" t="s">
        <v>56</v>
      </c>
      <c r="Q232" s="10" t="s">
        <v>2294</v>
      </c>
      <c r="R232" s="18" t="s">
        <v>59</v>
      </c>
      <c r="S232" s="10" t="s">
        <v>584</v>
      </c>
      <c r="T232" s="8" t="s">
        <v>60</v>
      </c>
      <c r="U232" s="11">
        <v>42896</v>
      </c>
      <c r="V232" s="12">
        <v>2017</v>
      </c>
      <c r="W232" s="13">
        <v>43894</v>
      </c>
      <c r="X232" s="14">
        <v>2020</v>
      </c>
      <c r="Y232" s="13" t="s">
        <v>94</v>
      </c>
      <c r="Z232" s="13" t="s">
        <v>94</v>
      </c>
      <c r="AA232" s="13" t="s">
        <v>94</v>
      </c>
      <c r="AB232" s="13" t="s">
        <v>94</v>
      </c>
      <c r="AC232" s="13" t="s">
        <v>94</v>
      </c>
      <c r="AD232" s="15"/>
      <c r="AE232" s="27"/>
      <c r="AF232" s="31" t="s">
        <v>2284</v>
      </c>
      <c r="AG232" s="16">
        <v>64800</v>
      </c>
      <c r="AH232" s="16">
        <v>42021.760000000002</v>
      </c>
      <c r="AI232" s="16">
        <v>50932.01</v>
      </c>
      <c r="AJ232" s="16" t="s">
        <v>76</v>
      </c>
      <c r="AK232" s="28" t="s">
        <v>94</v>
      </c>
      <c r="AL232" s="16" t="s">
        <v>94</v>
      </c>
      <c r="AM232" s="16" t="s">
        <v>94</v>
      </c>
      <c r="AN232" s="10" t="s">
        <v>64</v>
      </c>
      <c r="AO232" s="8" t="s">
        <v>3756</v>
      </c>
      <c r="AP232" s="15" t="s">
        <v>94</v>
      </c>
      <c r="AQ232" s="15" t="s">
        <v>94</v>
      </c>
      <c r="AR232" s="8" t="s">
        <v>3762</v>
      </c>
      <c r="AS232" s="10" t="s">
        <v>3781</v>
      </c>
      <c r="AT232" s="10" t="s">
        <v>3795</v>
      </c>
      <c r="AU232" s="96"/>
      <c r="AV232" s="17"/>
      <c r="AW232" s="10"/>
      <c r="AX232" s="7" t="s">
        <v>2295</v>
      </c>
      <c r="AY232" s="10" t="s">
        <v>2296</v>
      </c>
      <c r="AZ232" s="10" t="s">
        <v>2297</v>
      </c>
      <c r="BA232" s="10" t="s">
        <v>2298</v>
      </c>
      <c r="BB232" s="18"/>
      <c r="BC232" s="41" t="s">
        <v>2299</v>
      </c>
    </row>
    <row r="233" spans="1:55" ht="69" customHeight="1" x14ac:dyDescent="0.2">
      <c r="A233" s="88" t="s">
        <v>4417</v>
      </c>
      <c r="B233" s="6" t="s">
        <v>2300</v>
      </c>
      <c r="C233" s="7" t="s">
        <v>2301</v>
      </c>
      <c r="D233" s="8" t="s">
        <v>279</v>
      </c>
      <c r="E233" s="8" t="s">
        <v>280</v>
      </c>
      <c r="F233" s="9" t="s">
        <v>2269</v>
      </c>
      <c r="G233" s="32" t="s">
        <v>2270</v>
      </c>
      <c r="H233" s="10" t="s">
        <v>4153</v>
      </c>
      <c r="I233" s="10" t="s">
        <v>140</v>
      </c>
      <c r="J233" s="7" t="s">
        <v>2302</v>
      </c>
      <c r="K233" s="10" t="s">
        <v>55</v>
      </c>
      <c r="L233" s="30" t="s">
        <v>2042</v>
      </c>
      <c r="M233" s="30" t="s">
        <v>537</v>
      </c>
      <c r="N233" s="30" t="s">
        <v>4185</v>
      </c>
      <c r="O233" s="30" t="s">
        <v>4185</v>
      </c>
      <c r="P233" s="8" t="s">
        <v>144</v>
      </c>
      <c r="Q233" s="10" t="s">
        <v>2303</v>
      </c>
      <c r="R233" s="10" t="s">
        <v>584</v>
      </c>
      <c r="S233" s="10"/>
      <c r="T233" s="8" t="s">
        <v>73</v>
      </c>
      <c r="U233" s="11">
        <v>43808</v>
      </c>
      <c r="V233" s="12">
        <v>2019</v>
      </c>
      <c r="W233" s="13">
        <v>45352</v>
      </c>
      <c r="X233" s="14">
        <v>2024</v>
      </c>
      <c r="Y233" s="13" t="s">
        <v>94</v>
      </c>
      <c r="Z233" s="13" t="s">
        <v>94</v>
      </c>
      <c r="AA233" s="13" t="s">
        <v>94</v>
      </c>
      <c r="AB233" s="13" t="s">
        <v>94</v>
      </c>
      <c r="AC233" s="13" t="s">
        <v>94</v>
      </c>
      <c r="AD233" s="15"/>
      <c r="AE233" s="27"/>
      <c r="AF233" s="8" t="s">
        <v>2284</v>
      </c>
      <c r="AG233" s="16">
        <v>13000000</v>
      </c>
      <c r="AH233" s="16">
        <v>7800000</v>
      </c>
      <c r="AI233" s="16">
        <v>7800000</v>
      </c>
      <c r="AJ233" s="16" t="s">
        <v>76</v>
      </c>
      <c r="AK233" s="28" t="s">
        <v>94</v>
      </c>
      <c r="AL233" s="16" t="s">
        <v>94</v>
      </c>
      <c r="AM233" s="16" t="s">
        <v>94</v>
      </c>
      <c r="AN233" s="10" t="s">
        <v>64</v>
      </c>
      <c r="AO233" s="8" t="s">
        <v>3757</v>
      </c>
      <c r="AP233" s="15">
        <v>47</v>
      </c>
      <c r="AQ233" s="15" t="s">
        <v>94</v>
      </c>
      <c r="AR233" s="8" t="s">
        <v>3762</v>
      </c>
      <c r="AS233" s="10" t="s">
        <v>3781</v>
      </c>
      <c r="AT233" s="10" t="s">
        <v>2304</v>
      </c>
      <c r="AU233" s="96"/>
      <c r="AV233" s="17"/>
      <c r="AW233" s="10"/>
      <c r="AX233" s="7" t="s">
        <v>4045</v>
      </c>
      <c r="AY233" s="10" t="s">
        <v>2305</v>
      </c>
      <c r="AZ233" s="10" t="s">
        <v>2306</v>
      </c>
      <c r="BA233" s="10" t="s">
        <v>2307</v>
      </c>
      <c r="BB233" s="18"/>
      <c r="BC233" s="41" t="s">
        <v>2308</v>
      </c>
    </row>
    <row r="234" spans="1:55" ht="69" customHeight="1" x14ac:dyDescent="0.2">
      <c r="A234" s="88" t="s">
        <v>4418</v>
      </c>
      <c r="B234" s="6" t="s">
        <v>2309</v>
      </c>
      <c r="C234" s="7" t="s">
        <v>2310</v>
      </c>
      <c r="D234" s="8" t="s">
        <v>49</v>
      </c>
      <c r="E234" s="8" t="s">
        <v>50</v>
      </c>
      <c r="F234" s="9" t="s">
        <v>2311</v>
      </c>
      <c r="G234" s="9" t="s">
        <v>2312</v>
      </c>
      <c r="H234" s="10" t="s">
        <v>4155</v>
      </c>
      <c r="I234" s="10" t="s">
        <v>103</v>
      </c>
      <c r="J234" s="7" t="s">
        <v>2313</v>
      </c>
      <c r="K234" s="10" t="s">
        <v>49</v>
      </c>
      <c r="L234" s="9" t="s">
        <v>2314</v>
      </c>
      <c r="M234" s="9" t="s">
        <v>2315</v>
      </c>
      <c r="N234" s="10" t="s">
        <v>4592</v>
      </c>
      <c r="O234" s="8" t="s">
        <v>140</v>
      </c>
      <c r="P234" s="8" t="s">
        <v>144</v>
      </c>
      <c r="Q234" s="10" t="s">
        <v>2316</v>
      </c>
      <c r="R234" s="10" t="s">
        <v>146</v>
      </c>
      <c r="S234" s="10"/>
      <c r="T234" s="8" t="s">
        <v>60</v>
      </c>
      <c r="U234" s="11">
        <v>40452</v>
      </c>
      <c r="V234" s="12">
        <v>2010</v>
      </c>
      <c r="W234" s="13">
        <v>43133</v>
      </c>
      <c r="X234" s="14">
        <v>2018</v>
      </c>
      <c r="Y234" s="13">
        <v>43167</v>
      </c>
      <c r="Z234" s="15">
        <v>2018</v>
      </c>
      <c r="AA234" s="13">
        <v>43167</v>
      </c>
      <c r="AB234" s="15">
        <v>2018</v>
      </c>
      <c r="AC234" s="15">
        <v>0</v>
      </c>
      <c r="AD234" s="15">
        <v>2018</v>
      </c>
      <c r="AE234" s="27" t="s">
        <v>2317</v>
      </c>
      <c r="AF234" s="8" t="s">
        <v>106</v>
      </c>
      <c r="AG234" s="16">
        <v>378890.59</v>
      </c>
      <c r="AH234" s="16">
        <v>378890.59</v>
      </c>
      <c r="AI234" s="16">
        <v>473319.38</v>
      </c>
      <c r="AJ234" s="16" t="s">
        <v>76</v>
      </c>
      <c r="AK234" s="28">
        <v>378890.59</v>
      </c>
      <c r="AL234" s="16">
        <v>378890.59</v>
      </c>
      <c r="AM234" s="16">
        <v>473319.38</v>
      </c>
      <c r="AN234" s="10" t="s">
        <v>149</v>
      </c>
      <c r="AO234" s="8" t="s">
        <v>3756</v>
      </c>
      <c r="AP234" s="15" t="s">
        <v>151</v>
      </c>
      <c r="AQ234" s="15" t="s">
        <v>151</v>
      </c>
      <c r="AR234" s="8" t="s">
        <v>3761</v>
      </c>
      <c r="AS234" s="10" t="s">
        <v>3803</v>
      </c>
      <c r="AT234" s="18" t="s">
        <v>3199</v>
      </c>
      <c r="AU234" s="96"/>
      <c r="AV234" s="17"/>
      <c r="AW234" s="10" t="s">
        <v>2318</v>
      </c>
      <c r="AX234" s="7" t="s">
        <v>2319</v>
      </c>
      <c r="AY234" s="10" t="s">
        <v>2320</v>
      </c>
      <c r="AZ234" s="10" t="s">
        <v>4129</v>
      </c>
      <c r="BA234" s="10" t="s">
        <v>2321</v>
      </c>
      <c r="BB234" s="18"/>
      <c r="BC234" s="41" t="s">
        <v>2322</v>
      </c>
    </row>
    <row r="235" spans="1:55" ht="69" customHeight="1" x14ac:dyDescent="0.2">
      <c r="A235" s="88" t="s">
        <v>4419</v>
      </c>
      <c r="B235" s="6" t="s">
        <v>2323</v>
      </c>
      <c r="C235" s="7" t="s">
        <v>2324</v>
      </c>
      <c r="D235" s="8" t="s">
        <v>49</v>
      </c>
      <c r="E235" s="8" t="s">
        <v>50</v>
      </c>
      <c r="F235" s="9" t="s">
        <v>2044</v>
      </c>
      <c r="G235" s="9" t="s">
        <v>2045</v>
      </c>
      <c r="H235" s="10" t="s">
        <v>380</v>
      </c>
      <c r="I235" s="10" t="s">
        <v>103</v>
      </c>
      <c r="J235" s="7" t="s">
        <v>2325</v>
      </c>
      <c r="K235" s="10" t="s">
        <v>55</v>
      </c>
      <c r="L235" s="9" t="s">
        <v>2044</v>
      </c>
      <c r="M235" s="9" t="s">
        <v>2045</v>
      </c>
      <c r="N235" s="10" t="s">
        <v>380</v>
      </c>
      <c r="O235" s="8" t="s">
        <v>103</v>
      </c>
      <c r="P235" s="8" t="s">
        <v>56</v>
      </c>
      <c r="Q235" s="10" t="s">
        <v>2326</v>
      </c>
      <c r="R235" s="10" t="s">
        <v>72</v>
      </c>
      <c r="S235" s="10"/>
      <c r="T235" s="8" t="s">
        <v>73</v>
      </c>
      <c r="U235" s="11">
        <v>36484</v>
      </c>
      <c r="V235" s="12">
        <v>1999</v>
      </c>
      <c r="W235" s="13" t="s">
        <v>94</v>
      </c>
      <c r="X235" s="14">
        <v>2013</v>
      </c>
      <c r="Y235" s="13">
        <v>41640</v>
      </c>
      <c r="Z235" s="14">
        <v>2014</v>
      </c>
      <c r="AA235" s="13">
        <v>41640</v>
      </c>
      <c r="AB235" s="14">
        <v>2014</v>
      </c>
      <c r="AC235" s="14">
        <v>0</v>
      </c>
      <c r="AD235" s="14">
        <v>2014</v>
      </c>
      <c r="AE235" s="27" t="s">
        <v>2327</v>
      </c>
      <c r="AF235" s="8" t="s">
        <v>2328</v>
      </c>
      <c r="AG235" s="16">
        <v>37618000000</v>
      </c>
      <c r="AH235" s="16">
        <v>240000000</v>
      </c>
      <c r="AI235" s="16">
        <v>323172774.37</v>
      </c>
      <c r="AJ235" s="16" t="s">
        <v>76</v>
      </c>
      <c r="AK235" s="28">
        <v>15000000000</v>
      </c>
      <c r="AL235" s="16">
        <v>94605803.109999999</v>
      </c>
      <c r="AM235" s="16">
        <v>125358203.95999999</v>
      </c>
      <c r="AN235" s="10" t="s">
        <v>149</v>
      </c>
      <c r="AO235" s="8" t="s">
        <v>3756</v>
      </c>
      <c r="AP235" s="15" t="s">
        <v>151</v>
      </c>
      <c r="AQ235" s="15" t="s">
        <v>151</v>
      </c>
      <c r="AR235" s="10" t="s">
        <v>3763</v>
      </c>
      <c r="AS235" s="10" t="s">
        <v>3811</v>
      </c>
      <c r="AT235" s="10" t="s">
        <v>3795</v>
      </c>
      <c r="AU235" s="96"/>
      <c r="AV235" s="17" t="s">
        <v>2329</v>
      </c>
      <c r="AW235" s="10"/>
      <c r="AX235" s="7" t="s">
        <v>4046</v>
      </c>
      <c r="AY235" s="10" t="s">
        <v>2330</v>
      </c>
      <c r="AZ235" s="10" t="s">
        <v>4130</v>
      </c>
      <c r="BA235" s="10" t="s">
        <v>2331</v>
      </c>
      <c r="BB235" s="18"/>
      <c r="BC235" s="41" t="s">
        <v>2332</v>
      </c>
    </row>
    <row r="236" spans="1:55" ht="70" customHeight="1" x14ac:dyDescent="0.2">
      <c r="A236" s="88" t="s">
        <v>4420</v>
      </c>
      <c r="B236" s="6" t="s">
        <v>2333</v>
      </c>
      <c r="C236" s="7" t="s">
        <v>2334</v>
      </c>
      <c r="D236" s="8" t="s">
        <v>49</v>
      </c>
      <c r="E236" s="8" t="s">
        <v>50</v>
      </c>
      <c r="F236" s="9" t="s">
        <v>2335</v>
      </c>
      <c r="G236" s="9" t="s">
        <v>2336</v>
      </c>
      <c r="H236" s="10" t="s">
        <v>4154</v>
      </c>
      <c r="I236" s="10" t="s">
        <v>53</v>
      </c>
      <c r="J236" s="7" t="s">
        <v>2337</v>
      </c>
      <c r="K236" s="10" t="s">
        <v>55</v>
      </c>
      <c r="L236" s="9" t="s">
        <v>1169</v>
      </c>
      <c r="M236" s="9" t="s">
        <v>1170</v>
      </c>
      <c r="N236" s="10" t="s">
        <v>4154</v>
      </c>
      <c r="O236" s="8" t="s">
        <v>140</v>
      </c>
      <c r="P236" s="8" t="s">
        <v>144</v>
      </c>
      <c r="Q236" s="10" t="s">
        <v>2338</v>
      </c>
      <c r="R236" s="10" t="s">
        <v>72</v>
      </c>
      <c r="S236" s="10"/>
      <c r="T236" s="8" t="s">
        <v>60</v>
      </c>
      <c r="U236" s="11">
        <v>37986</v>
      </c>
      <c r="V236" s="12">
        <v>2003</v>
      </c>
      <c r="W236" s="13">
        <v>41256</v>
      </c>
      <c r="X236" s="14">
        <v>2012</v>
      </c>
      <c r="Y236" s="13">
        <v>40909</v>
      </c>
      <c r="Z236" s="14">
        <v>2012</v>
      </c>
      <c r="AA236" s="13">
        <v>40909</v>
      </c>
      <c r="AB236" s="14">
        <v>2012</v>
      </c>
      <c r="AC236" s="14">
        <v>0</v>
      </c>
      <c r="AD236" s="15">
        <v>2012</v>
      </c>
      <c r="AE236" s="27" t="s">
        <v>2339</v>
      </c>
      <c r="AF236" s="8" t="s">
        <v>75</v>
      </c>
      <c r="AG236" s="16">
        <v>60000</v>
      </c>
      <c r="AH236" s="16">
        <v>77087.320000000007</v>
      </c>
      <c r="AI236" s="16">
        <v>105322.63</v>
      </c>
      <c r="AJ236" s="16" t="s">
        <v>76</v>
      </c>
      <c r="AK236" s="16">
        <v>60000</v>
      </c>
      <c r="AL236" s="16">
        <v>77087.320000000007</v>
      </c>
      <c r="AM236" s="16">
        <v>105322.63</v>
      </c>
      <c r="AN236" s="10" t="s">
        <v>64</v>
      </c>
      <c r="AO236" s="8" t="s">
        <v>3756</v>
      </c>
      <c r="AP236" s="15">
        <v>1</v>
      </c>
      <c r="AQ236" s="15">
        <v>1</v>
      </c>
      <c r="AR236" s="8" t="s">
        <v>3761</v>
      </c>
      <c r="AS236" s="10" t="s">
        <v>3781</v>
      </c>
      <c r="AT236" s="10" t="s">
        <v>4157</v>
      </c>
      <c r="AU236" s="96"/>
      <c r="AV236" s="17" t="s">
        <v>459</v>
      </c>
      <c r="AW236" s="10"/>
      <c r="AX236" s="7"/>
      <c r="AY236" s="10" t="s">
        <v>2340</v>
      </c>
      <c r="AZ236" s="10" t="s">
        <v>2341</v>
      </c>
      <c r="BA236" s="10" t="s">
        <v>2342</v>
      </c>
      <c r="BB236" s="18"/>
      <c r="BC236" s="41" t="s">
        <v>2343</v>
      </c>
    </row>
    <row r="237" spans="1:55" ht="70" customHeight="1" x14ac:dyDescent="0.2">
      <c r="A237" s="88" t="s">
        <v>4421</v>
      </c>
      <c r="B237" s="6" t="s">
        <v>2344</v>
      </c>
      <c r="C237" s="7" t="s">
        <v>2345</v>
      </c>
      <c r="D237" s="8" t="s">
        <v>49</v>
      </c>
      <c r="E237" s="8" t="s">
        <v>50</v>
      </c>
      <c r="F237" s="9" t="s">
        <v>2346</v>
      </c>
      <c r="G237" s="9" t="s">
        <v>2347</v>
      </c>
      <c r="H237" s="10" t="s">
        <v>4154</v>
      </c>
      <c r="I237" s="10" t="s">
        <v>140</v>
      </c>
      <c r="J237" s="7" t="s">
        <v>2348</v>
      </c>
      <c r="K237" s="10" t="s">
        <v>55</v>
      </c>
      <c r="L237" s="9" t="s">
        <v>2346</v>
      </c>
      <c r="M237" s="9" t="s">
        <v>2347</v>
      </c>
      <c r="N237" s="10" t="s">
        <v>4154</v>
      </c>
      <c r="O237" s="8" t="s">
        <v>140</v>
      </c>
      <c r="P237" s="8" t="s">
        <v>56</v>
      </c>
      <c r="Q237" s="10" t="s">
        <v>2349</v>
      </c>
      <c r="R237" s="10" t="s">
        <v>177</v>
      </c>
      <c r="S237" s="10"/>
      <c r="T237" s="8" t="s">
        <v>73</v>
      </c>
      <c r="U237" s="11">
        <v>12055</v>
      </c>
      <c r="V237" s="12">
        <v>1933</v>
      </c>
      <c r="W237" s="13">
        <v>36230</v>
      </c>
      <c r="X237" s="14">
        <v>1999</v>
      </c>
      <c r="Y237" s="13">
        <v>36161</v>
      </c>
      <c r="Z237" s="14">
        <v>1999</v>
      </c>
      <c r="AA237" s="13">
        <v>36161</v>
      </c>
      <c r="AB237" s="14">
        <v>1999</v>
      </c>
      <c r="AC237" s="14">
        <v>0</v>
      </c>
      <c r="AD237" s="14">
        <v>1999</v>
      </c>
      <c r="AE237" s="27" t="s">
        <v>2350</v>
      </c>
      <c r="AF237" s="8" t="s">
        <v>2351</v>
      </c>
      <c r="AG237" s="16">
        <v>450000000</v>
      </c>
      <c r="AH237" s="16">
        <v>60000000</v>
      </c>
      <c r="AI237" s="16">
        <v>112973229.29000001</v>
      </c>
      <c r="AJ237" s="16" t="s">
        <v>76</v>
      </c>
      <c r="AK237" s="16">
        <v>450000000</v>
      </c>
      <c r="AL237" s="16">
        <v>60000000</v>
      </c>
      <c r="AM237" s="16">
        <v>112973229.29000001</v>
      </c>
      <c r="AN237" s="54" t="s">
        <v>3755</v>
      </c>
      <c r="AO237" s="8" t="s">
        <v>3757</v>
      </c>
      <c r="AP237" s="15">
        <v>980</v>
      </c>
      <c r="AQ237" s="15">
        <v>980</v>
      </c>
      <c r="AR237" s="8" t="s">
        <v>3765</v>
      </c>
      <c r="AS237" s="10" t="s">
        <v>3783</v>
      </c>
      <c r="AT237" s="10" t="s">
        <v>3795</v>
      </c>
      <c r="AU237" s="96"/>
      <c r="AV237" s="17" t="s">
        <v>2352</v>
      </c>
      <c r="AW237" s="10"/>
      <c r="AX237" s="7" t="s">
        <v>3849</v>
      </c>
      <c r="AY237" s="10" t="s">
        <v>2353</v>
      </c>
      <c r="AZ237" s="10" t="s">
        <v>2354</v>
      </c>
      <c r="BA237" s="10" t="s">
        <v>2355</v>
      </c>
      <c r="BB237" s="18"/>
      <c r="BC237" s="41" t="s">
        <v>2356</v>
      </c>
    </row>
    <row r="238" spans="1:55" ht="70" customHeight="1" x14ac:dyDescent="0.2">
      <c r="A238" s="88" t="s">
        <v>4422</v>
      </c>
      <c r="B238" s="6" t="s">
        <v>2357</v>
      </c>
      <c r="C238" s="7" t="s">
        <v>2358</v>
      </c>
      <c r="D238" s="8" t="s">
        <v>453</v>
      </c>
      <c r="E238" s="8" t="s">
        <v>280</v>
      </c>
      <c r="F238" s="9" t="s">
        <v>2359</v>
      </c>
      <c r="G238" s="9" t="s">
        <v>2360</v>
      </c>
      <c r="H238" s="10" t="s">
        <v>4155</v>
      </c>
      <c r="I238" s="10" t="s">
        <v>53</v>
      </c>
      <c r="J238" s="7" t="s">
        <v>2361</v>
      </c>
      <c r="K238" s="10" t="s">
        <v>55</v>
      </c>
      <c r="L238" s="9" t="s">
        <v>2359</v>
      </c>
      <c r="M238" s="9" t="s">
        <v>2360</v>
      </c>
      <c r="N238" s="10" t="s">
        <v>4592</v>
      </c>
      <c r="O238" s="8" t="s">
        <v>53</v>
      </c>
      <c r="P238" s="8" t="s">
        <v>56</v>
      </c>
      <c r="Q238" s="10" t="s">
        <v>2362</v>
      </c>
      <c r="R238" s="10" t="s">
        <v>72</v>
      </c>
      <c r="S238" s="10"/>
      <c r="T238" s="8" t="s">
        <v>73</v>
      </c>
      <c r="U238" s="11">
        <v>27760</v>
      </c>
      <c r="V238" s="12">
        <v>1976</v>
      </c>
      <c r="W238" s="13">
        <v>29402</v>
      </c>
      <c r="X238" s="14">
        <v>1980</v>
      </c>
      <c r="Y238" s="28" t="s">
        <v>384</v>
      </c>
      <c r="Z238" s="28" t="s">
        <v>384</v>
      </c>
      <c r="AA238" s="28" t="s">
        <v>384</v>
      </c>
      <c r="AB238" s="28" t="s">
        <v>384</v>
      </c>
      <c r="AC238" s="13" t="s">
        <v>94</v>
      </c>
      <c r="AD238" s="15"/>
      <c r="AE238" s="27"/>
      <c r="AF238" s="8" t="s">
        <v>106</v>
      </c>
      <c r="AG238" s="16">
        <v>10000000</v>
      </c>
      <c r="AH238" s="16">
        <v>10000000</v>
      </c>
      <c r="AI238" s="16">
        <v>38069053.399999999</v>
      </c>
      <c r="AJ238" s="16" t="s">
        <v>76</v>
      </c>
      <c r="AK238" s="28" t="s">
        <v>384</v>
      </c>
      <c r="AL238" s="28" t="s">
        <v>384</v>
      </c>
      <c r="AM238" s="28" t="s">
        <v>384</v>
      </c>
      <c r="AN238" s="10" t="s">
        <v>64</v>
      </c>
      <c r="AO238" s="8" t="s">
        <v>3758</v>
      </c>
      <c r="AP238" s="15">
        <v>3</v>
      </c>
      <c r="AQ238" s="15" t="s">
        <v>94</v>
      </c>
      <c r="AR238" s="8" t="s">
        <v>3762</v>
      </c>
      <c r="AS238" s="10" t="s">
        <v>3781</v>
      </c>
      <c r="AT238" s="10" t="s">
        <v>2363</v>
      </c>
      <c r="AU238" s="96"/>
      <c r="AV238" s="17" t="s">
        <v>459</v>
      </c>
      <c r="AW238" s="10"/>
      <c r="AX238" s="7" t="s">
        <v>3850</v>
      </c>
      <c r="AY238" s="10" t="s">
        <v>2364</v>
      </c>
      <c r="AZ238" s="10" t="s">
        <v>2365</v>
      </c>
      <c r="BA238" s="10" t="s">
        <v>2366</v>
      </c>
      <c r="BB238" s="18"/>
      <c r="BC238" s="41" t="s">
        <v>2367</v>
      </c>
    </row>
    <row r="239" spans="1:55" ht="70" customHeight="1" x14ac:dyDescent="0.2">
      <c r="A239" s="88" t="s">
        <v>4423</v>
      </c>
      <c r="B239" s="6" t="s">
        <v>2368</v>
      </c>
      <c r="C239" s="7" t="s">
        <v>2369</v>
      </c>
      <c r="D239" s="8" t="s">
        <v>49</v>
      </c>
      <c r="E239" s="8" t="s">
        <v>50</v>
      </c>
      <c r="F239" s="9" t="s">
        <v>2359</v>
      </c>
      <c r="G239" s="9" t="s">
        <v>2360</v>
      </c>
      <c r="H239" s="10" t="s">
        <v>4155</v>
      </c>
      <c r="I239" s="10" t="s">
        <v>53</v>
      </c>
      <c r="J239" s="7" t="s">
        <v>2370</v>
      </c>
      <c r="K239" s="10" t="s">
        <v>55</v>
      </c>
      <c r="L239" s="9" t="s">
        <v>2359</v>
      </c>
      <c r="M239" s="9" t="s">
        <v>2360</v>
      </c>
      <c r="N239" s="10" t="s">
        <v>4592</v>
      </c>
      <c r="O239" s="8" t="s">
        <v>53</v>
      </c>
      <c r="P239" s="8" t="s">
        <v>56</v>
      </c>
      <c r="Q239" s="10" t="s">
        <v>2371</v>
      </c>
      <c r="R239" s="10" t="s">
        <v>72</v>
      </c>
      <c r="S239" s="10"/>
      <c r="T239" s="8" t="s">
        <v>73</v>
      </c>
      <c r="U239" s="11">
        <v>19725</v>
      </c>
      <c r="V239" s="12">
        <v>1954</v>
      </c>
      <c r="W239" s="13">
        <v>35320</v>
      </c>
      <c r="X239" s="14">
        <v>1996</v>
      </c>
      <c r="Y239" s="13">
        <v>37987</v>
      </c>
      <c r="Z239" s="15">
        <v>2004</v>
      </c>
      <c r="AA239" s="13">
        <v>45292</v>
      </c>
      <c r="AB239" s="15">
        <v>2024</v>
      </c>
      <c r="AC239" s="15">
        <v>20</v>
      </c>
      <c r="AD239" s="15">
        <v>2024</v>
      </c>
      <c r="AE239" s="27" t="s">
        <v>2372</v>
      </c>
      <c r="AF239" s="8" t="s">
        <v>2373</v>
      </c>
      <c r="AG239" s="28">
        <v>748812835503</v>
      </c>
      <c r="AH239" s="16">
        <v>99046073.129999995</v>
      </c>
      <c r="AI239" s="16">
        <v>99046073.129999995</v>
      </c>
      <c r="AJ239" s="16" t="s">
        <v>63</v>
      </c>
      <c r="AK239" s="28">
        <v>748812835503</v>
      </c>
      <c r="AL239" s="16">
        <v>99046073.129999995</v>
      </c>
      <c r="AM239" s="16">
        <v>99046073.129999995</v>
      </c>
      <c r="AN239" s="10" t="s">
        <v>64</v>
      </c>
      <c r="AO239" s="8" t="s">
        <v>3756</v>
      </c>
      <c r="AP239" s="43">
        <v>20000</v>
      </c>
      <c r="AQ239" s="43">
        <v>10814</v>
      </c>
      <c r="AR239" s="8" t="s">
        <v>3765</v>
      </c>
      <c r="AS239" s="10" t="s">
        <v>3781</v>
      </c>
      <c r="AT239" s="10" t="s">
        <v>3795</v>
      </c>
      <c r="AU239" s="96"/>
      <c r="AV239" s="17" t="s">
        <v>3915</v>
      </c>
      <c r="AW239" s="10" t="s">
        <v>3960</v>
      </c>
      <c r="AX239" s="7" t="s">
        <v>1332</v>
      </c>
      <c r="AY239" s="10" t="s">
        <v>2374</v>
      </c>
      <c r="AZ239" s="10" t="s">
        <v>2375</v>
      </c>
      <c r="BA239" s="10" t="s">
        <v>2376</v>
      </c>
      <c r="BB239" s="18" t="s">
        <v>2377</v>
      </c>
      <c r="BC239" s="41" t="s">
        <v>2378</v>
      </c>
    </row>
    <row r="240" spans="1:55" ht="70" customHeight="1" x14ac:dyDescent="0.2">
      <c r="A240" s="88" t="s">
        <v>4424</v>
      </c>
      <c r="B240" s="6" t="s">
        <v>2379</v>
      </c>
      <c r="C240" s="7" t="s">
        <v>2380</v>
      </c>
      <c r="D240" s="8" t="s">
        <v>49</v>
      </c>
      <c r="E240" s="8" t="s">
        <v>50</v>
      </c>
      <c r="F240" s="9" t="s">
        <v>2381</v>
      </c>
      <c r="G240" s="9" t="s">
        <v>2382</v>
      </c>
      <c r="H240" s="10" t="s">
        <v>4155</v>
      </c>
      <c r="I240" s="10" t="s">
        <v>53</v>
      </c>
      <c r="J240" s="7" t="s">
        <v>2383</v>
      </c>
      <c r="K240" s="10" t="s">
        <v>55</v>
      </c>
      <c r="L240" s="9" t="s">
        <v>2381</v>
      </c>
      <c r="M240" s="9" t="s">
        <v>2382</v>
      </c>
      <c r="N240" s="10" t="s">
        <v>4592</v>
      </c>
      <c r="O240" s="8" t="s">
        <v>53</v>
      </c>
      <c r="P240" s="8" t="s">
        <v>56</v>
      </c>
      <c r="Q240" s="10" t="s">
        <v>2384</v>
      </c>
      <c r="R240" s="10" t="s">
        <v>72</v>
      </c>
      <c r="S240" s="10"/>
      <c r="T240" s="8" t="s">
        <v>73</v>
      </c>
      <c r="U240" s="11">
        <v>29358</v>
      </c>
      <c r="V240" s="12">
        <v>1980</v>
      </c>
      <c r="W240" s="13">
        <v>38562</v>
      </c>
      <c r="X240" s="14">
        <v>2005</v>
      </c>
      <c r="Y240" s="13">
        <v>39083</v>
      </c>
      <c r="Z240" s="15">
        <v>2007</v>
      </c>
      <c r="AA240" s="13">
        <v>43101</v>
      </c>
      <c r="AB240" s="15">
        <v>2018</v>
      </c>
      <c r="AC240" s="15">
        <v>11</v>
      </c>
      <c r="AD240" s="15">
        <v>2018</v>
      </c>
      <c r="AE240" s="27"/>
      <c r="AF240" s="8" t="s">
        <v>2385</v>
      </c>
      <c r="AG240" s="28">
        <v>96088029</v>
      </c>
      <c r="AH240" s="16">
        <v>36700000</v>
      </c>
      <c r="AI240" s="16">
        <v>45846536.740000002</v>
      </c>
      <c r="AJ240" s="16" t="s">
        <v>63</v>
      </c>
      <c r="AK240" s="28">
        <v>96088029</v>
      </c>
      <c r="AL240" s="16">
        <v>36700000</v>
      </c>
      <c r="AM240" s="16">
        <v>45846536.740000002</v>
      </c>
      <c r="AN240" s="54" t="s">
        <v>3755</v>
      </c>
      <c r="AO240" s="8" t="s">
        <v>3757</v>
      </c>
      <c r="AP240" s="43">
        <v>98132</v>
      </c>
      <c r="AQ240" s="43">
        <v>98132</v>
      </c>
      <c r="AR240" s="8" t="s">
        <v>3765</v>
      </c>
      <c r="AS240" s="10" t="s">
        <v>269</v>
      </c>
      <c r="AT240" s="10" t="s">
        <v>3795</v>
      </c>
      <c r="AU240" s="96"/>
      <c r="AV240" s="17" t="s">
        <v>3916</v>
      </c>
      <c r="AW240" s="10" t="s">
        <v>2386</v>
      </c>
      <c r="AX240" s="7" t="s">
        <v>4047</v>
      </c>
      <c r="AY240" s="10" t="s">
        <v>2387</v>
      </c>
      <c r="AZ240" s="10" t="s">
        <v>2388</v>
      </c>
      <c r="BA240" s="10" t="s">
        <v>2389</v>
      </c>
      <c r="BB240" s="18" t="s">
        <v>2390</v>
      </c>
      <c r="BC240" s="41" t="s">
        <v>2391</v>
      </c>
    </row>
    <row r="241" spans="1:55" ht="69" customHeight="1" x14ac:dyDescent="0.2">
      <c r="A241" s="88" t="s">
        <v>4425</v>
      </c>
      <c r="B241" s="6" t="s">
        <v>2392</v>
      </c>
      <c r="C241" s="7" t="s">
        <v>2380</v>
      </c>
      <c r="D241" s="8" t="s">
        <v>49</v>
      </c>
      <c r="E241" s="8" t="s">
        <v>50</v>
      </c>
      <c r="F241" s="9" t="s">
        <v>2381</v>
      </c>
      <c r="G241" s="9" t="s">
        <v>2382</v>
      </c>
      <c r="H241" s="10" t="s">
        <v>4155</v>
      </c>
      <c r="I241" s="10" t="s">
        <v>53</v>
      </c>
      <c r="J241" s="7" t="s">
        <v>2393</v>
      </c>
      <c r="K241" s="10" t="s">
        <v>55</v>
      </c>
      <c r="L241" s="9" t="s">
        <v>2381</v>
      </c>
      <c r="M241" s="9" t="s">
        <v>2382</v>
      </c>
      <c r="N241" s="10" t="s">
        <v>4592</v>
      </c>
      <c r="O241" s="8" t="s">
        <v>53</v>
      </c>
      <c r="P241" s="8" t="s">
        <v>56</v>
      </c>
      <c r="Q241" s="10" t="s">
        <v>2394</v>
      </c>
      <c r="R241" s="10" t="s">
        <v>584</v>
      </c>
      <c r="S241" s="10" t="s">
        <v>146</v>
      </c>
      <c r="T241" s="8" t="s">
        <v>73</v>
      </c>
      <c r="U241" s="11">
        <v>33604</v>
      </c>
      <c r="V241" s="12">
        <v>1992</v>
      </c>
      <c r="W241" s="13">
        <v>45373</v>
      </c>
      <c r="X241" s="14">
        <v>2024</v>
      </c>
      <c r="Y241" s="13" t="s">
        <v>94</v>
      </c>
      <c r="Z241" s="13" t="s">
        <v>94</v>
      </c>
      <c r="AA241" s="13" t="s">
        <v>94</v>
      </c>
      <c r="AB241" s="13" t="s">
        <v>94</v>
      </c>
      <c r="AC241" s="13" t="s">
        <v>94</v>
      </c>
      <c r="AD241" s="15"/>
      <c r="AE241" s="27"/>
      <c r="AF241" s="8" t="s">
        <v>106</v>
      </c>
      <c r="AG241" s="16">
        <v>2400000</v>
      </c>
      <c r="AH241" s="16">
        <v>2400000</v>
      </c>
      <c r="AI241" s="16">
        <v>2400000</v>
      </c>
      <c r="AJ241" s="16" t="s">
        <v>76</v>
      </c>
      <c r="AK241" s="28" t="s">
        <v>94</v>
      </c>
      <c r="AL241" s="16" t="s">
        <v>94</v>
      </c>
      <c r="AM241" s="16" t="s">
        <v>94</v>
      </c>
      <c r="AN241" s="10" t="s">
        <v>64</v>
      </c>
      <c r="AO241" s="8" t="s">
        <v>3756</v>
      </c>
      <c r="AP241" s="15">
        <v>80</v>
      </c>
      <c r="AQ241" s="15" t="s">
        <v>94</v>
      </c>
      <c r="AR241" s="8" t="s">
        <v>3761</v>
      </c>
      <c r="AS241" s="10" t="s">
        <v>3781</v>
      </c>
      <c r="AT241" s="10" t="s">
        <v>892</v>
      </c>
      <c r="AU241" s="96"/>
      <c r="AV241" s="17"/>
      <c r="AW241" s="10"/>
      <c r="AX241" s="7" t="s">
        <v>3851</v>
      </c>
      <c r="AY241" s="10" t="s">
        <v>2395</v>
      </c>
      <c r="AZ241" s="10" t="s">
        <v>2396</v>
      </c>
      <c r="BA241" s="10" t="s">
        <v>2397</v>
      </c>
      <c r="BB241" s="18" t="s">
        <v>2398</v>
      </c>
      <c r="BC241" s="41" t="s">
        <v>2399</v>
      </c>
    </row>
    <row r="242" spans="1:55" ht="70" customHeight="1" x14ac:dyDescent="0.2">
      <c r="A242" s="88" t="s">
        <v>4426</v>
      </c>
      <c r="B242" s="6" t="s">
        <v>2400</v>
      </c>
      <c r="C242" s="7" t="s">
        <v>2401</v>
      </c>
      <c r="D242" s="8" t="s">
        <v>49</v>
      </c>
      <c r="E242" s="8" t="s">
        <v>50</v>
      </c>
      <c r="F242" s="9" t="s">
        <v>2402</v>
      </c>
      <c r="G242" s="9" t="s">
        <v>2403</v>
      </c>
      <c r="H242" s="10" t="s">
        <v>4153</v>
      </c>
      <c r="I242" s="10" t="s">
        <v>103</v>
      </c>
      <c r="J242" s="7" t="s">
        <v>2404</v>
      </c>
      <c r="K242" s="10" t="s">
        <v>55</v>
      </c>
      <c r="L242" s="9" t="s">
        <v>2402</v>
      </c>
      <c r="M242" s="9" t="s">
        <v>2403</v>
      </c>
      <c r="N242" s="10" t="s">
        <v>4153</v>
      </c>
      <c r="O242" s="8" t="s">
        <v>103</v>
      </c>
      <c r="P242" s="8" t="s">
        <v>56</v>
      </c>
      <c r="Q242" s="10" t="s">
        <v>2405</v>
      </c>
      <c r="R242" s="10" t="s">
        <v>72</v>
      </c>
      <c r="S242" s="10"/>
      <c r="T242" s="8" t="s">
        <v>73</v>
      </c>
      <c r="U242" s="11">
        <v>23743</v>
      </c>
      <c r="V242" s="12">
        <v>1965</v>
      </c>
      <c r="W242" s="13">
        <v>38031</v>
      </c>
      <c r="X242" s="14">
        <v>2004</v>
      </c>
      <c r="Y242" s="13" t="s">
        <v>94</v>
      </c>
      <c r="Z242" s="13" t="s">
        <v>94</v>
      </c>
      <c r="AA242" s="13" t="s">
        <v>94</v>
      </c>
      <c r="AB242" s="15" t="s">
        <v>94</v>
      </c>
      <c r="AC242" s="15" t="s">
        <v>94</v>
      </c>
      <c r="AD242" s="15"/>
      <c r="AE242" s="27"/>
      <c r="AF242" s="8" t="s">
        <v>2406</v>
      </c>
      <c r="AG242" s="16">
        <v>8000000000</v>
      </c>
      <c r="AH242" s="16">
        <v>150000000</v>
      </c>
      <c r="AI242" s="16">
        <v>249091318.16</v>
      </c>
      <c r="AJ242" s="16" t="s">
        <v>76</v>
      </c>
      <c r="AK242" s="28" t="s">
        <v>94</v>
      </c>
      <c r="AL242" s="16" t="s">
        <v>94</v>
      </c>
      <c r="AM242" s="16" t="s">
        <v>94</v>
      </c>
      <c r="AN242" s="10" t="s">
        <v>64</v>
      </c>
      <c r="AO242" s="8" t="s">
        <v>3756</v>
      </c>
      <c r="AP242" s="15" t="s">
        <v>94</v>
      </c>
      <c r="AQ242" s="15" t="s">
        <v>94</v>
      </c>
      <c r="AR242" s="8" t="s">
        <v>3770</v>
      </c>
      <c r="AS242" s="10" t="s">
        <v>269</v>
      </c>
      <c r="AT242" s="10" t="s">
        <v>2407</v>
      </c>
      <c r="AU242" s="96"/>
      <c r="AV242" s="17" t="s">
        <v>2408</v>
      </c>
      <c r="AW242" s="10" t="s">
        <v>2409</v>
      </c>
      <c r="AX242" s="7"/>
      <c r="AY242" s="10" t="s">
        <v>2410</v>
      </c>
      <c r="AZ242" s="10" t="s">
        <v>2411</v>
      </c>
      <c r="BA242" s="10" t="s">
        <v>2412</v>
      </c>
      <c r="BB242" s="18"/>
      <c r="BC242" s="41" t="s">
        <v>2413</v>
      </c>
    </row>
    <row r="243" spans="1:55" ht="69" customHeight="1" x14ac:dyDescent="0.2">
      <c r="A243" s="88" t="s">
        <v>4427</v>
      </c>
      <c r="B243" s="6" t="s">
        <v>2414</v>
      </c>
      <c r="C243" s="7" t="s">
        <v>2401</v>
      </c>
      <c r="D243" s="8" t="s">
        <v>49</v>
      </c>
      <c r="E243" s="8" t="s">
        <v>50</v>
      </c>
      <c r="F243" s="9" t="s">
        <v>2402</v>
      </c>
      <c r="G243" s="9" t="s">
        <v>2403</v>
      </c>
      <c r="H243" s="10" t="s">
        <v>4153</v>
      </c>
      <c r="I243" s="10" t="s">
        <v>103</v>
      </c>
      <c r="J243" s="7" t="s">
        <v>2404</v>
      </c>
      <c r="K243" s="10" t="s">
        <v>55</v>
      </c>
      <c r="L243" s="9" t="s">
        <v>2402</v>
      </c>
      <c r="M243" s="9" t="s">
        <v>2403</v>
      </c>
      <c r="N243" s="10" t="s">
        <v>4153</v>
      </c>
      <c r="O243" s="8" t="s">
        <v>103</v>
      </c>
      <c r="P243" s="8" t="s">
        <v>56</v>
      </c>
      <c r="Q243" s="10" t="s">
        <v>2415</v>
      </c>
      <c r="R243" s="10" t="s">
        <v>72</v>
      </c>
      <c r="S243" s="10"/>
      <c r="T243" s="8" t="s">
        <v>73</v>
      </c>
      <c r="U243" s="11">
        <v>26563</v>
      </c>
      <c r="V243" s="12">
        <v>1972</v>
      </c>
      <c r="W243" s="13">
        <v>41330</v>
      </c>
      <c r="X243" s="14">
        <v>2013</v>
      </c>
      <c r="Y243" s="13">
        <v>42736</v>
      </c>
      <c r="Z243" s="15">
        <v>2017</v>
      </c>
      <c r="AA243" s="13" t="s">
        <v>94</v>
      </c>
      <c r="AB243" s="15" t="s">
        <v>94</v>
      </c>
      <c r="AC243" s="15" t="s">
        <v>94</v>
      </c>
      <c r="AD243" s="15"/>
      <c r="AE243" s="27"/>
      <c r="AF243" s="8" t="s">
        <v>2406</v>
      </c>
      <c r="AG243" s="28">
        <v>10000000000</v>
      </c>
      <c r="AH243" s="16">
        <v>245000000</v>
      </c>
      <c r="AI243" s="16">
        <v>329905540.50999999</v>
      </c>
      <c r="AJ243" s="16" t="s">
        <v>76</v>
      </c>
      <c r="AK243" s="28" t="s">
        <v>94</v>
      </c>
      <c r="AL243" s="16" t="s">
        <v>94</v>
      </c>
      <c r="AM243" s="16" t="s">
        <v>94</v>
      </c>
      <c r="AN243" s="54" t="s">
        <v>3755</v>
      </c>
      <c r="AO243" s="8" t="s">
        <v>3757</v>
      </c>
      <c r="AP243" s="43">
        <v>75730</v>
      </c>
      <c r="AQ243" s="15" t="s">
        <v>94</v>
      </c>
      <c r="AR243" s="8" t="s">
        <v>3765</v>
      </c>
      <c r="AS243" s="69" t="s">
        <v>3819</v>
      </c>
      <c r="AT243" s="10" t="s">
        <v>3795</v>
      </c>
      <c r="AU243" s="96"/>
      <c r="AV243" s="17" t="s">
        <v>2416</v>
      </c>
      <c r="AW243" s="10" t="s">
        <v>3961</v>
      </c>
      <c r="AX243" s="7" t="s">
        <v>4048</v>
      </c>
      <c r="AY243" s="10" t="s">
        <v>2417</v>
      </c>
      <c r="AZ243" s="10" t="s">
        <v>4131</v>
      </c>
      <c r="BA243" s="10" t="s">
        <v>2418</v>
      </c>
      <c r="BB243" s="18" t="s">
        <v>2419</v>
      </c>
      <c r="BC243" s="41" t="s">
        <v>2420</v>
      </c>
    </row>
    <row r="244" spans="1:55" ht="70" customHeight="1" x14ac:dyDescent="0.2">
      <c r="A244" s="88" t="s">
        <v>4428</v>
      </c>
      <c r="B244" s="6" t="s">
        <v>2421</v>
      </c>
      <c r="C244" s="7" t="s">
        <v>2422</v>
      </c>
      <c r="D244" s="8" t="s">
        <v>49</v>
      </c>
      <c r="E244" s="8" t="s">
        <v>50</v>
      </c>
      <c r="F244" s="9" t="s">
        <v>2423</v>
      </c>
      <c r="G244" s="9" t="s">
        <v>2424</v>
      </c>
      <c r="H244" s="10" t="s">
        <v>4154</v>
      </c>
      <c r="I244" s="10" t="s">
        <v>140</v>
      </c>
      <c r="J244" s="7" t="s">
        <v>2425</v>
      </c>
      <c r="K244" s="10" t="s">
        <v>55</v>
      </c>
      <c r="L244" s="9" t="s">
        <v>2423</v>
      </c>
      <c r="M244" s="9" t="s">
        <v>2424</v>
      </c>
      <c r="N244" s="10" t="s">
        <v>4154</v>
      </c>
      <c r="O244" s="8" t="s">
        <v>140</v>
      </c>
      <c r="P244" s="8" t="s">
        <v>56</v>
      </c>
      <c r="Q244" s="10" t="s">
        <v>2426</v>
      </c>
      <c r="R244" s="10" t="s">
        <v>58</v>
      </c>
      <c r="S244" s="10"/>
      <c r="T244" s="8" t="s">
        <v>60</v>
      </c>
      <c r="U244" s="11">
        <v>16072</v>
      </c>
      <c r="V244" s="12">
        <v>1944</v>
      </c>
      <c r="W244" s="13">
        <v>38541</v>
      </c>
      <c r="X244" s="14">
        <v>2005</v>
      </c>
      <c r="Y244" s="13">
        <v>38718</v>
      </c>
      <c r="Z244" s="14">
        <v>2006</v>
      </c>
      <c r="AA244" s="13">
        <v>39814</v>
      </c>
      <c r="AB244" s="15">
        <v>2009</v>
      </c>
      <c r="AC244" s="15">
        <v>3</v>
      </c>
      <c r="AD244" s="15">
        <v>2009</v>
      </c>
      <c r="AE244" s="27"/>
      <c r="AF244" s="8" t="s">
        <v>75</v>
      </c>
      <c r="AG244" s="28">
        <v>206500000</v>
      </c>
      <c r="AH244" s="16">
        <v>288022570.12</v>
      </c>
      <c r="AI244" s="16">
        <v>421137202.43000001</v>
      </c>
      <c r="AJ244" s="16" t="s">
        <v>63</v>
      </c>
      <c r="AK244" s="28">
        <v>206500000</v>
      </c>
      <c r="AL244" s="16">
        <v>288022570.12</v>
      </c>
      <c r="AM244" s="16">
        <v>421137202.43000001</v>
      </c>
      <c r="AN244" s="10" t="s">
        <v>64</v>
      </c>
      <c r="AO244" s="8" t="s">
        <v>3757</v>
      </c>
      <c r="AP244" s="43">
        <v>19444</v>
      </c>
      <c r="AQ244" s="43">
        <v>19444</v>
      </c>
      <c r="AR244" s="8" t="s">
        <v>3761</v>
      </c>
      <c r="AS244" s="10" t="s">
        <v>3781</v>
      </c>
      <c r="AT244" s="10" t="s">
        <v>4157</v>
      </c>
      <c r="AU244" s="96"/>
      <c r="AV244" s="17"/>
      <c r="AW244" s="10"/>
      <c r="AX244" s="7" t="s">
        <v>86</v>
      </c>
      <c r="AY244" s="10" t="s">
        <v>2427</v>
      </c>
      <c r="AZ244" s="10" t="s">
        <v>2428</v>
      </c>
      <c r="BA244" s="10" t="s">
        <v>2429</v>
      </c>
      <c r="BB244" s="18" t="s">
        <v>2430</v>
      </c>
      <c r="BC244" s="41" t="s">
        <v>2431</v>
      </c>
    </row>
    <row r="245" spans="1:55" ht="70" customHeight="1" x14ac:dyDescent="0.2">
      <c r="A245" s="88" t="s">
        <v>4429</v>
      </c>
      <c r="B245" s="6" t="s">
        <v>2432</v>
      </c>
      <c r="C245" s="7" t="s">
        <v>2422</v>
      </c>
      <c r="D245" s="8" t="s">
        <v>49</v>
      </c>
      <c r="E245" s="8" t="s">
        <v>50</v>
      </c>
      <c r="F245" s="9" t="s">
        <v>2423</v>
      </c>
      <c r="G245" s="9" t="s">
        <v>2424</v>
      </c>
      <c r="H245" s="10" t="s">
        <v>4154</v>
      </c>
      <c r="I245" s="10" t="s">
        <v>140</v>
      </c>
      <c r="J245" s="7" t="s">
        <v>2433</v>
      </c>
      <c r="K245" s="10" t="s">
        <v>55</v>
      </c>
      <c r="L245" s="9" t="s">
        <v>2434</v>
      </c>
      <c r="M245" s="9" t="s">
        <v>2435</v>
      </c>
      <c r="N245" s="10" t="s">
        <v>4156</v>
      </c>
      <c r="O245" s="8" t="s">
        <v>140</v>
      </c>
      <c r="P245" s="8" t="s">
        <v>144</v>
      </c>
      <c r="Q245" s="10" t="s">
        <v>2436</v>
      </c>
      <c r="R245" s="10" t="s">
        <v>72</v>
      </c>
      <c r="S245" s="10"/>
      <c r="T245" s="8" t="s">
        <v>60</v>
      </c>
      <c r="U245" s="11">
        <v>37257</v>
      </c>
      <c r="V245" s="12">
        <v>2002</v>
      </c>
      <c r="W245" s="13" t="s">
        <v>94</v>
      </c>
      <c r="X245" s="14">
        <v>2014</v>
      </c>
      <c r="Y245" s="13">
        <v>44562</v>
      </c>
      <c r="Z245" s="14">
        <v>2022</v>
      </c>
      <c r="AA245" s="13">
        <v>44562</v>
      </c>
      <c r="AB245" s="14">
        <v>2022</v>
      </c>
      <c r="AC245" s="15">
        <v>0</v>
      </c>
      <c r="AD245" s="15">
        <v>2022</v>
      </c>
      <c r="AE245" s="27"/>
      <c r="AF245" s="8" t="s">
        <v>75</v>
      </c>
      <c r="AG245" s="16">
        <v>100000</v>
      </c>
      <c r="AH245" s="16">
        <v>132850.07999999999</v>
      </c>
      <c r="AI245" s="16">
        <v>176034.1</v>
      </c>
      <c r="AJ245" s="16" t="s">
        <v>76</v>
      </c>
      <c r="AK245" s="28">
        <v>100000</v>
      </c>
      <c r="AL245" s="16">
        <v>105161.81</v>
      </c>
      <c r="AM245" s="16">
        <v>112720.11</v>
      </c>
      <c r="AN245" s="10" t="s">
        <v>64</v>
      </c>
      <c r="AO245" s="8" t="s">
        <v>3756</v>
      </c>
      <c r="AP245" s="15">
        <v>1</v>
      </c>
      <c r="AQ245" s="15">
        <v>1</v>
      </c>
      <c r="AR245" s="8" t="s">
        <v>3761</v>
      </c>
      <c r="AS245" s="10" t="s">
        <v>3781</v>
      </c>
      <c r="AT245" s="10" t="s">
        <v>4157</v>
      </c>
      <c r="AU245" s="96"/>
      <c r="AV245" s="17" t="s">
        <v>459</v>
      </c>
      <c r="AW245" s="10"/>
      <c r="AX245" s="7" t="s">
        <v>2437</v>
      </c>
      <c r="AY245" s="10" t="s">
        <v>2438</v>
      </c>
      <c r="AZ245" s="10" t="s">
        <v>2439</v>
      </c>
      <c r="BA245" s="10" t="s">
        <v>2440</v>
      </c>
      <c r="BB245" s="18" t="s">
        <v>2441</v>
      </c>
      <c r="BC245" s="41" t="s">
        <v>2442</v>
      </c>
    </row>
    <row r="246" spans="1:55" ht="70" customHeight="1" x14ac:dyDescent="0.2">
      <c r="A246" s="88" t="s">
        <v>4430</v>
      </c>
      <c r="B246" s="6" t="s">
        <v>2443</v>
      </c>
      <c r="C246" s="7" t="s">
        <v>2444</v>
      </c>
      <c r="D246" s="8" t="s">
        <v>49</v>
      </c>
      <c r="E246" s="8" t="s">
        <v>50</v>
      </c>
      <c r="F246" s="9" t="s">
        <v>2445</v>
      </c>
      <c r="G246" s="9" t="s">
        <v>2446</v>
      </c>
      <c r="H246" s="10" t="s">
        <v>4154</v>
      </c>
      <c r="I246" s="10" t="s">
        <v>140</v>
      </c>
      <c r="J246" s="7" t="s">
        <v>2447</v>
      </c>
      <c r="K246" s="10" t="s">
        <v>55</v>
      </c>
      <c r="L246" s="9" t="s">
        <v>4590</v>
      </c>
      <c r="M246" s="9" t="s">
        <v>2448</v>
      </c>
      <c r="N246" s="10" t="s">
        <v>4153</v>
      </c>
      <c r="O246" s="8" t="s">
        <v>140</v>
      </c>
      <c r="P246" s="8" t="s">
        <v>144</v>
      </c>
      <c r="Q246" s="10" t="s">
        <v>2449</v>
      </c>
      <c r="R246" s="10" t="s">
        <v>72</v>
      </c>
      <c r="S246" s="10"/>
      <c r="T246" s="8" t="s">
        <v>73</v>
      </c>
      <c r="U246" s="11">
        <v>24444</v>
      </c>
      <c r="V246" s="12">
        <v>1966</v>
      </c>
      <c r="W246" s="13">
        <v>24501</v>
      </c>
      <c r="X246" s="14">
        <v>1967</v>
      </c>
      <c r="Y246" s="13" t="s">
        <v>94</v>
      </c>
      <c r="Z246" s="13" t="s">
        <v>94</v>
      </c>
      <c r="AA246" s="13" t="s">
        <v>94</v>
      </c>
      <c r="AB246" s="13" t="s">
        <v>94</v>
      </c>
      <c r="AC246" s="13" t="s">
        <v>94</v>
      </c>
      <c r="AD246" s="15"/>
      <c r="AE246" s="27"/>
      <c r="AF246" s="8" t="s">
        <v>2450</v>
      </c>
      <c r="AG246" s="16">
        <v>2000000</v>
      </c>
      <c r="AH246" s="16">
        <v>329175.33</v>
      </c>
      <c r="AI246" s="16">
        <v>3091577.25</v>
      </c>
      <c r="AJ246" s="16" t="s">
        <v>76</v>
      </c>
      <c r="AK246" s="28" t="s">
        <v>94</v>
      </c>
      <c r="AL246" s="16" t="s">
        <v>94</v>
      </c>
      <c r="AM246" s="16" t="s">
        <v>94</v>
      </c>
      <c r="AN246" s="10" t="s">
        <v>149</v>
      </c>
      <c r="AO246" s="8" t="s">
        <v>150</v>
      </c>
      <c r="AP246" s="15" t="s">
        <v>151</v>
      </c>
      <c r="AQ246" s="15" t="s">
        <v>151</v>
      </c>
      <c r="AR246" s="8" t="s">
        <v>3759</v>
      </c>
      <c r="AS246" s="10" t="s">
        <v>3781</v>
      </c>
      <c r="AT246" s="10" t="s">
        <v>3795</v>
      </c>
      <c r="AU246" s="96"/>
      <c r="AV246" s="17"/>
      <c r="AW246" s="10"/>
      <c r="AX246" s="8" t="s">
        <v>153</v>
      </c>
      <c r="AY246" s="10" t="s">
        <v>2451</v>
      </c>
      <c r="AZ246" s="10" t="s">
        <v>2452</v>
      </c>
      <c r="BA246" s="10" t="s">
        <v>2453</v>
      </c>
      <c r="BB246" s="18"/>
      <c r="BC246" s="41" t="s">
        <v>2454</v>
      </c>
    </row>
    <row r="247" spans="1:55" ht="70" customHeight="1" x14ac:dyDescent="0.2">
      <c r="A247" s="88" t="s">
        <v>4431</v>
      </c>
      <c r="B247" s="6" t="s">
        <v>2455</v>
      </c>
      <c r="C247" s="7" t="s">
        <v>2456</v>
      </c>
      <c r="D247" s="8" t="s">
        <v>49</v>
      </c>
      <c r="E247" s="8" t="s">
        <v>50</v>
      </c>
      <c r="F247" s="9" t="s">
        <v>1277</v>
      </c>
      <c r="G247" s="9" t="s">
        <v>1278</v>
      </c>
      <c r="H247" s="10" t="s">
        <v>4154</v>
      </c>
      <c r="I247" s="10" t="s">
        <v>140</v>
      </c>
      <c r="J247" s="7" t="s">
        <v>2457</v>
      </c>
      <c r="K247" s="10" t="s">
        <v>49</v>
      </c>
      <c r="L247" s="30" t="s">
        <v>4185</v>
      </c>
      <c r="M247" s="30" t="s">
        <v>537</v>
      </c>
      <c r="N247" s="30" t="s">
        <v>4185</v>
      </c>
      <c r="O247" s="30" t="s">
        <v>4185</v>
      </c>
      <c r="P247" s="8" t="s">
        <v>144</v>
      </c>
      <c r="Q247" s="10" t="s">
        <v>2458</v>
      </c>
      <c r="R247" s="10" t="s">
        <v>529</v>
      </c>
      <c r="S247" s="10"/>
      <c r="T247" s="8" t="s">
        <v>73</v>
      </c>
      <c r="U247" s="11">
        <v>14489</v>
      </c>
      <c r="V247" s="12">
        <v>1939</v>
      </c>
      <c r="W247" s="13">
        <v>17208</v>
      </c>
      <c r="X247" s="14">
        <v>1947</v>
      </c>
      <c r="Y247" s="13" t="s">
        <v>94</v>
      </c>
      <c r="Z247" s="13" t="s">
        <v>94</v>
      </c>
      <c r="AA247" s="13" t="s">
        <v>94</v>
      </c>
      <c r="AB247" s="13" t="s">
        <v>94</v>
      </c>
      <c r="AC247" s="13" t="s">
        <v>94</v>
      </c>
      <c r="AD247" s="15"/>
      <c r="AE247" s="27" t="s">
        <v>2459</v>
      </c>
      <c r="AF247" s="8" t="s">
        <v>106</v>
      </c>
      <c r="AG247" s="16">
        <v>300000000</v>
      </c>
      <c r="AH247" s="16">
        <v>300000000</v>
      </c>
      <c r="AI247" s="16">
        <v>4221522000</v>
      </c>
      <c r="AJ247" s="16" t="s">
        <v>76</v>
      </c>
      <c r="AK247" s="28" t="s">
        <v>94</v>
      </c>
      <c r="AL247" s="16" t="s">
        <v>94</v>
      </c>
      <c r="AM247" s="16" t="s">
        <v>94</v>
      </c>
      <c r="AN247" s="10" t="s">
        <v>149</v>
      </c>
      <c r="AO247" s="8" t="s">
        <v>150</v>
      </c>
      <c r="AP247" s="15" t="s">
        <v>151</v>
      </c>
      <c r="AQ247" s="15" t="s">
        <v>151</v>
      </c>
      <c r="AR247" s="8" t="s">
        <v>3770</v>
      </c>
      <c r="AS247" s="10" t="s">
        <v>3809</v>
      </c>
      <c r="AT247" s="10" t="s">
        <v>3795</v>
      </c>
      <c r="AU247" s="98"/>
      <c r="AV247" s="17"/>
      <c r="AW247" s="10"/>
      <c r="AX247" s="10" t="s">
        <v>1430</v>
      </c>
      <c r="AY247" s="10"/>
      <c r="AZ247" s="10"/>
      <c r="BA247" s="10" t="s">
        <v>2460</v>
      </c>
      <c r="BB247" s="18" t="s">
        <v>2461</v>
      </c>
      <c r="BC247" s="18" t="s">
        <v>4091</v>
      </c>
    </row>
    <row r="248" spans="1:55" ht="70" customHeight="1" x14ac:dyDescent="0.2">
      <c r="A248" s="88" t="s">
        <v>4432</v>
      </c>
      <c r="B248" s="6" t="s">
        <v>2462</v>
      </c>
      <c r="C248" s="7" t="s">
        <v>2463</v>
      </c>
      <c r="D248" s="8" t="s">
        <v>49</v>
      </c>
      <c r="E248" s="8" t="s">
        <v>50</v>
      </c>
      <c r="F248" s="9" t="s">
        <v>4580</v>
      </c>
      <c r="G248" s="9" t="s">
        <v>2464</v>
      </c>
      <c r="H248" s="10" t="s">
        <v>4154</v>
      </c>
      <c r="I248" s="10" t="s">
        <v>53</v>
      </c>
      <c r="J248" s="7" t="s">
        <v>2465</v>
      </c>
      <c r="K248" s="10" t="s">
        <v>55</v>
      </c>
      <c r="L248" s="9" t="s">
        <v>4580</v>
      </c>
      <c r="M248" s="9" t="s">
        <v>2464</v>
      </c>
      <c r="N248" s="10" t="s">
        <v>4154</v>
      </c>
      <c r="O248" s="8" t="s">
        <v>53</v>
      </c>
      <c r="P248" s="8" t="s">
        <v>56</v>
      </c>
      <c r="Q248" s="10" t="s">
        <v>2466</v>
      </c>
      <c r="R248" s="10" t="s">
        <v>72</v>
      </c>
      <c r="S248" s="10"/>
      <c r="T248" s="8" t="s">
        <v>73</v>
      </c>
      <c r="U248" s="11">
        <v>37552</v>
      </c>
      <c r="V248" s="12">
        <v>2002</v>
      </c>
      <c r="W248" s="13">
        <v>40897</v>
      </c>
      <c r="X248" s="14">
        <v>2011</v>
      </c>
      <c r="Y248" s="13" t="s">
        <v>94</v>
      </c>
      <c r="Z248" s="13" t="s">
        <v>94</v>
      </c>
      <c r="AA248" s="13" t="s">
        <v>94</v>
      </c>
      <c r="AB248" s="13" t="s">
        <v>94</v>
      </c>
      <c r="AC248" s="13" t="s">
        <v>94</v>
      </c>
      <c r="AD248" s="13"/>
      <c r="AE248" s="27"/>
      <c r="AF248" s="8" t="s">
        <v>75</v>
      </c>
      <c r="AG248" s="16">
        <v>1300000</v>
      </c>
      <c r="AH248" s="16">
        <v>1809541.83</v>
      </c>
      <c r="AI248" s="16">
        <v>2523499.11</v>
      </c>
      <c r="AJ248" s="16" t="s">
        <v>76</v>
      </c>
      <c r="AK248" s="28" t="s">
        <v>94</v>
      </c>
      <c r="AL248" s="16" t="s">
        <v>94</v>
      </c>
      <c r="AM248" s="16" t="s">
        <v>94</v>
      </c>
      <c r="AN248" s="10" t="s">
        <v>64</v>
      </c>
      <c r="AO248" s="8" t="s">
        <v>3756</v>
      </c>
      <c r="AP248" s="15">
        <v>64</v>
      </c>
      <c r="AQ248" s="15" t="s">
        <v>94</v>
      </c>
      <c r="AR248" s="8" t="s">
        <v>3761</v>
      </c>
      <c r="AS248" s="10" t="s">
        <v>3781</v>
      </c>
      <c r="AT248" s="10" t="s">
        <v>4157</v>
      </c>
      <c r="AU248" s="96"/>
      <c r="AV248" s="17" t="s">
        <v>2467</v>
      </c>
      <c r="AW248" s="10" t="s">
        <v>85</v>
      </c>
      <c r="AX248" s="7" t="s">
        <v>883</v>
      </c>
      <c r="AY248" s="10" t="s">
        <v>2468</v>
      </c>
      <c r="AZ248" s="10" t="s">
        <v>2469</v>
      </c>
      <c r="BA248" s="10" t="s">
        <v>2470</v>
      </c>
      <c r="BB248" s="18"/>
      <c r="BC248" s="41" t="s">
        <v>2471</v>
      </c>
    </row>
    <row r="249" spans="1:55" ht="69" customHeight="1" x14ac:dyDescent="0.2">
      <c r="A249" s="88" t="s">
        <v>4433</v>
      </c>
      <c r="B249" s="6" t="s">
        <v>2472</v>
      </c>
      <c r="C249" s="7" t="s">
        <v>2463</v>
      </c>
      <c r="D249" s="8" t="s">
        <v>49</v>
      </c>
      <c r="E249" s="8" t="s">
        <v>50</v>
      </c>
      <c r="F249" s="9" t="s">
        <v>4580</v>
      </c>
      <c r="G249" s="9" t="s">
        <v>2464</v>
      </c>
      <c r="H249" s="10" t="s">
        <v>4154</v>
      </c>
      <c r="I249" s="10" t="s">
        <v>53</v>
      </c>
      <c r="J249" s="7" t="s">
        <v>2473</v>
      </c>
      <c r="K249" s="10" t="s">
        <v>49</v>
      </c>
      <c r="L249" s="9" t="s">
        <v>2474</v>
      </c>
      <c r="M249" s="9" t="s">
        <v>2475</v>
      </c>
      <c r="N249" s="10" t="s">
        <v>4154</v>
      </c>
      <c r="O249" s="8" t="s">
        <v>53</v>
      </c>
      <c r="P249" s="8" t="s">
        <v>144</v>
      </c>
      <c r="Q249" s="10" t="s">
        <v>2476</v>
      </c>
      <c r="R249" s="10" t="s">
        <v>529</v>
      </c>
      <c r="S249" s="10"/>
      <c r="T249" s="8" t="s">
        <v>73</v>
      </c>
      <c r="U249" s="11">
        <v>39669</v>
      </c>
      <c r="V249" s="12">
        <v>2008</v>
      </c>
      <c r="W249" s="13">
        <v>45044</v>
      </c>
      <c r="X249" s="14">
        <v>2023</v>
      </c>
      <c r="Y249" s="28" t="s">
        <v>384</v>
      </c>
      <c r="Z249" s="28" t="s">
        <v>384</v>
      </c>
      <c r="AA249" s="28" t="s">
        <v>384</v>
      </c>
      <c r="AB249" s="28" t="s">
        <v>384</v>
      </c>
      <c r="AC249" s="13" t="s">
        <v>94</v>
      </c>
      <c r="AD249" s="15"/>
      <c r="AE249" s="27"/>
      <c r="AF249" s="8" t="s">
        <v>75</v>
      </c>
      <c r="AG249" s="16">
        <v>130000000</v>
      </c>
      <c r="AH249" s="16">
        <v>143000000</v>
      </c>
      <c r="AI249" s="16">
        <v>147217697.94999999</v>
      </c>
      <c r="AJ249" s="16" t="s">
        <v>76</v>
      </c>
      <c r="AK249" s="28" t="s">
        <v>384</v>
      </c>
      <c r="AL249" s="28" t="s">
        <v>384</v>
      </c>
      <c r="AM249" s="28" t="s">
        <v>384</v>
      </c>
      <c r="AN249" s="10" t="s">
        <v>149</v>
      </c>
      <c r="AO249" s="8" t="s">
        <v>150</v>
      </c>
      <c r="AP249" s="15" t="s">
        <v>151</v>
      </c>
      <c r="AQ249" s="15" t="s">
        <v>151</v>
      </c>
      <c r="AR249" s="8" t="s">
        <v>3761</v>
      </c>
      <c r="AS249" s="10" t="s">
        <v>3803</v>
      </c>
      <c r="AT249" s="10" t="s">
        <v>4157</v>
      </c>
      <c r="AU249" s="96"/>
      <c r="AV249" s="17"/>
      <c r="AW249" s="10"/>
      <c r="AX249" s="7" t="s">
        <v>4049</v>
      </c>
      <c r="AY249" s="10" t="s">
        <v>2477</v>
      </c>
      <c r="AZ249" s="10" t="s">
        <v>2478</v>
      </c>
      <c r="BA249" s="10" t="s">
        <v>2479</v>
      </c>
      <c r="BB249" s="18"/>
      <c r="BC249" s="41" t="s">
        <v>2480</v>
      </c>
    </row>
    <row r="250" spans="1:55" ht="69" customHeight="1" x14ac:dyDescent="0.2">
      <c r="A250" s="88" t="s">
        <v>4434</v>
      </c>
      <c r="B250" s="6" t="s">
        <v>2481</v>
      </c>
      <c r="C250" s="7" t="s">
        <v>2482</v>
      </c>
      <c r="D250" s="8" t="s">
        <v>49</v>
      </c>
      <c r="E250" s="8" t="s">
        <v>50</v>
      </c>
      <c r="F250" s="9" t="s">
        <v>2483</v>
      </c>
      <c r="G250" s="9" t="s">
        <v>2484</v>
      </c>
      <c r="H250" s="10" t="s">
        <v>380</v>
      </c>
      <c r="I250" s="10" t="s">
        <v>381</v>
      </c>
      <c r="J250" s="7" t="s">
        <v>2485</v>
      </c>
      <c r="K250" s="10" t="s">
        <v>55</v>
      </c>
      <c r="L250" s="9" t="s">
        <v>2483</v>
      </c>
      <c r="M250" s="9" t="s">
        <v>2484</v>
      </c>
      <c r="N250" s="10" t="s">
        <v>380</v>
      </c>
      <c r="O250" s="8" t="s">
        <v>381</v>
      </c>
      <c r="P250" s="8" t="s">
        <v>56</v>
      </c>
      <c r="Q250" s="10" t="s">
        <v>2486</v>
      </c>
      <c r="R250" s="10" t="s">
        <v>177</v>
      </c>
      <c r="S250" s="10"/>
      <c r="T250" s="8" t="s">
        <v>73</v>
      </c>
      <c r="U250" s="11">
        <v>33147</v>
      </c>
      <c r="V250" s="12">
        <v>1990</v>
      </c>
      <c r="W250" s="13">
        <v>35817</v>
      </c>
      <c r="X250" s="14">
        <v>1998</v>
      </c>
      <c r="Y250" s="13">
        <v>35827</v>
      </c>
      <c r="Z250" s="15">
        <v>1998</v>
      </c>
      <c r="AA250" s="13">
        <v>44197</v>
      </c>
      <c r="AB250" s="15">
        <v>2021</v>
      </c>
      <c r="AC250" s="15">
        <v>23</v>
      </c>
      <c r="AD250" s="15">
        <v>2021</v>
      </c>
      <c r="AE250" s="27" t="s">
        <v>2487</v>
      </c>
      <c r="AF250" s="8" t="s">
        <v>2488</v>
      </c>
      <c r="AG250" s="28">
        <v>333000000000</v>
      </c>
      <c r="AH250" s="16">
        <v>336831523.74000001</v>
      </c>
      <c r="AI250" s="16">
        <v>389933733.81</v>
      </c>
      <c r="AJ250" s="16" t="s">
        <v>63</v>
      </c>
      <c r="AK250" s="28">
        <v>333000000000</v>
      </c>
      <c r="AL250" s="16">
        <v>336831523.74000001</v>
      </c>
      <c r="AM250" s="16">
        <v>389933733.81</v>
      </c>
      <c r="AN250" s="10" t="s">
        <v>64</v>
      </c>
      <c r="AO250" s="8" t="s">
        <v>3757</v>
      </c>
      <c r="AP250" s="43">
        <v>300000</v>
      </c>
      <c r="AQ250" s="15" t="s">
        <v>94</v>
      </c>
      <c r="AR250" s="8" t="s">
        <v>3765</v>
      </c>
      <c r="AS250" s="10" t="s">
        <v>3816</v>
      </c>
      <c r="AT250" s="10" t="s">
        <v>3795</v>
      </c>
      <c r="AU250" s="96" t="s">
        <v>2489</v>
      </c>
      <c r="AV250" s="17" t="s">
        <v>3917</v>
      </c>
      <c r="AW250" s="10" t="s">
        <v>3962</v>
      </c>
      <c r="AX250" s="7" t="s">
        <v>4050</v>
      </c>
      <c r="AY250" s="10" t="s">
        <v>2490</v>
      </c>
      <c r="AZ250" s="10" t="s">
        <v>4132</v>
      </c>
      <c r="BA250" s="10" t="s">
        <v>2491</v>
      </c>
      <c r="BB250" s="18" t="s">
        <v>2492</v>
      </c>
      <c r="BC250" s="41" t="s">
        <v>2493</v>
      </c>
    </row>
    <row r="251" spans="1:55" ht="70" customHeight="1" x14ac:dyDescent="0.2">
      <c r="A251" s="88" t="s">
        <v>4435</v>
      </c>
      <c r="B251" s="6" t="s">
        <v>2494</v>
      </c>
      <c r="C251" s="7" t="s">
        <v>2495</v>
      </c>
      <c r="D251" s="8" t="s">
        <v>49</v>
      </c>
      <c r="E251" s="8" t="s">
        <v>50</v>
      </c>
      <c r="F251" s="9" t="s">
        <v>995</v>
      </c>
      <c r="G251" s="9" t="s">
        <v>996</v>
      </c>
      <c r="H251" s="10" t="s">
        <v>4154</v>
      </c>
      <c r="I251" s="10" t="s">
        <v>53</v>
      </c>
      <c r="J251" s="7" t="s">
        <v>2496</v>
      </c>
      <c r="K251" s="10" t="s">
        <v>55</v>
      </c>
      <c r="L251" s="9" t="s">
        <v>1814</v>
      </c>
      <c r="M251" s="9" t="s">
        <v>1815</v>
      </c>
      <c r="N251" s="10" t="s">
        <v>4154</v>
      </c>
      <c r="O251" s="8" t="s">
        <v>53</v>
      </c>
      <c r="P251" s="8" t="s">
        <v>144</v>
      </c>
      <c r="Q251" s="10" t="s">
        <v>2497</v>
      </c>
      <c r="R251" s="10" t="s">
        <v>72</v>
      </c>
      <c r="S251" s="10"/>
      <c r="T251" s="8" t="s">
        <v>60</v>
      </c>
      <c r="U251" s="11">
        <v>36039</v>
      </c>
      <c r="V251" s="12">
        <v>1998</v>
      </c>
      <c r="W251" s="13">
        <v>41194</v>
      </c>
      <c r="X251" s="14">
        <v>2012</v>
      </c>
      <c r="Y251" s="13" t="s">
        <v>94</v>
      </c>
      <c r="Z251" s="13" t="s">
        <v>94</v>
      </c>
      <c r="AA251" s="13" t="s">
        <v>94</v>
      </c>
      <c r="AB251" s="13" t="s">
        <v>94</v>
      </c>
      <c r="AC251" s="13" t="s">
        <v>94</v>
      </c>
      <c r="AD251" s="15"/>
      <c r="AE251" s="27"/>
      <c r="AF251" s="8" t="s">
        <v>75</v>
      </c>
      <c r="AG251" s="16">
        <v>3300</v>
      </c>
      <c r="AH251" s="16">
        <v>4239.8</v>
      </c>
      <c r="AI251" s="16">
        <v>5792.74</v>
      </c>
      <c r="AJ251" s="16" t="s">
        <v>76</v>
      </c>
      <c r="AK251" s="28" t="s">
        <v>94</v>
      </c>
      <c r="AL251" s="16" t="s">
        <v>94</v>
      </c>
      <c r="AM251" s="16" t="s">
        <v>94</v>
      </c>
      <c r="AN251" s="10" t="s">
        <v>64</v>
      </c>
      <c r="AO251" s="8" t="s">
        <v>3756</v>
      </c>
      <c r="AP251" s="15">
        <v>1</v>
      </c>
      <c r="AQ251" s="15" t="s">
        <v>94</v>
      </c>
      <c r="AR251" s="8" t="s">
        <v>3762</v>
      </c>
      <c r="AS251" s="10" t="s">
        <v>3781</v>
      </c>
      <c r="AT251" s="10" t="s">
        <v>3795</v>
      </c>
      <c r="AU251" s="96"/>
      <c r="AV251" s="17"/>
      <c r="AW251" s="10"/>
      <c r="AX251" s="7" t="s">
        <v>469</v>
      </c>
      <c r="AY251" s="10" t="s">
        <v>2498</v>
      </c>
      <c r="AZ251" s="10" t="s">
        <v>2499</v>
      </c>
      <c r="BA251" s="10" t="s">
        <v>2500</v>
      </c>
      <c r="BB251" s="18"/>
      <c r="BC251" s="41" t="s">
        <v>2501</v>
      </c>
    </row>
    <row r="252" spans="1:55" ht="70" customHeight="1" x14ac:dyDescent="0.2">
      <c r="A252" s="88" t="s">
        <v>4436</v>
      </c>
      <c r="B252" s="6" t="s">
        <v>2502</v>
      </c>
      <c r="C252" s="7" t="s">
        <v>2503</v>
      </c>
      <c r="D252" s="8" t="s">
        <v>49</v>
      </c>
      <c r="E252" s="8" t="s">
        <v>50</v>
      </c>
      <c r="F252" s="9" t="s">
        <v>2504</v>
      </c>
      <c r="G252" s="9" t="s">
        <v>2505</v>
      </c>
      <c r="H252" s="10" t="s">
        <v>380</v>
      </c>
      <c r="I252" s="10" t="s">
        <v>381</v>
      </c>
      <c r="J252" s="7" t="s">
        <v>2506</v>
      </c>
      <c r="K252" s="10" t="s">
        <v>55</v>
      </c>
      <c r="L252" s="9" t="s">
        <v>2504</v>
      </c>
      <c r="M252" s="9" t="s">
        <v>2505</v>
      </c>
      <c r="N252" s="10" t="s">
        <v>380</v>
      </c>
      <c r="O252" s="8" t="s">
        <v>381</v>
      </c>
      <c r="P252" s="8" t="s">
        <v>56</v>
      </c>
      <c r="Q252" s="10" t="s">
        <v>2507</v>
      </c>
      <c r="R252" s="10" t="s">
        <v>72</v>
      </c>
      <c r="S252" s="10"/>
      <c r="T252" s="8" t="s">
        <v>73</v>
      </c>
      <c r="U252" s="11">
        <v>33320</v>
      </c>
      <c r="V252" s="12">
        <v>1991</v>
      </c>
      <c r="W252" s="13" t="s">
        <v>94</v>
      </c>
      <c r="X252" s="15">
        <v>2008</v>
      </c>
      <c r="Y252" s="13">
        <v>39448</v>
      </c>
      <c r="Z252" s="15">
        <v>2008</v>
      </c>
      <c r="AA252" s="13">
        <v>41640</v>
      </c>
      <c r="AB252" s="15">
        <v>2014</v>
      </c>
      <c r="AC252" s="15">
        <v>6</v>
      </c>
      <c r="AD252" s="15">
        <v>2014</v>
      </c>
      <c r="AE252" s="27" t="s">
        <v>2508</v>
      </c>
      <c r="AF252" s="8" t="s">
        <v>106</v>
      </c>
      <c r="AG252" s="28">
        <v>8500000</v>
      </c>
      <c r="AH252" s="28">
        <v>8500000</v>
      </c>
      <c r="AI252" s="16">
        <v>11262995.49</v>
      </c>
      <c r="AJ252" s="16" t="s">
        <v>63</v>
      </c>
      <c r="AK252" s="28">
        <v>8500000</v>
      </c>
      <c r="AL252" s="28">
        <v>8500000</v>
      </c>
      <c r="AM252" s="16">
        <v>11262995.49</v>
      </c>
      <c r="AN252" s="54" t="s">
        <v>3755</v>
      </c>
      <c r="AO252" s="8" t="s">
        <v>3757</v>
      </c>
      <c r="AP252" s="43">
        <v>29733</v>
      </c>
      <c r="AQ252" s="15" t="s">
        <v>94</v>
      </c>
      <c r="AR252" s="8" t="s">
        <v>3770</v>
      </c>
      <c r="AS252" s="10" t="s">
        <v>3807</v>
      </c>
      <c r="AT252" s="10" t="s">
        <v>3795</v>
      </c>
      <c r="AU252" s="96"/>
      <c r="AV252" s="17" t="s">
        <v>3918</v>
      </c>
      <c r="AW252" s="10" t="s">
        <v>2509</v>
      </c>
      <c r="AX252" s="7" t="s">
        <v>2510</v>
      </c>
      <c r="AY252" s="10" t="s">
        <v>2511</v>
      </c>
      <c r="AZ252" s="10" t="s">
        <v>2512</v>
      </c>
      <c r="BA252" s="10" t="s">
        <v>2513</v>
      </c>
      <c r="BB252" s="18" t="s">
        <v>2514</v>
      </c>
      <c r="BC252" s="41" t="s">
        <v>2515</v>
      </c>
    </row>
    <row r="253" spans="1:55" ht="69" customHeight="1" x14ac:dyDescent="0.2">
      <c r="A253" s="88" t="s">
        <v>4437</v>
      </c>
      <c r="B253" s="6" t="s">
        <v>2516</v>
      </c>
      <c r="C253" s="7" t="s">
        <v>2517</v>
      </c>
      <c r="D253" s="8" t="s">
        <v>49</v>
      </c>
      <c r="E253" s="8" t="s">
        <v>50</v>
      </c>
      <c r="F253" s="9" t="s">
        <v>4581</v>
      </c>
      <c r="G253" s="9" t="s">
        <v>2518</v>
      </c>
      <c r="H253" s="10" t="s">
        <v>4154</v>
      </c>
      <c r="I253" s="10" t="s">
        <v>140</v>
      </c>
      <c r="J253" s="7" t="s">
        <v>70</v>
      </c>
      <c r="K253" s="10" t="s">
        <v>55</v>
      </c>
      <c r="L253" s="9" t="s">
        <v>4581</v>
      </c>
      <c r="M253" s="9" t="s">
        <v>2518</v>
      </c>
      <c r="N253" s="10" t="s">
        <v>4154</v>
      </c>
      <c r="O253" s="8" t="s">
        <v>140</v>
      </c>
      <c r="P253" s="8" t="s">
        <v>56</v>
      </c>
      <c r="Q253" s="10" t="s">
        <v>2519</v>
      </c>
      <c r="R253" s="10" t="s">
        <v>72</v>
      </c>
      <c r="S253" s="10"/>
      <c r="T253" s="8" t="s">
        <v>60</v>
      </c>
      <c r="U253" s="11">
        <v>17584</v>
      </c>
      <c r="V253" s="12">
        <v>1948</v>
      </c>
      <c r="W253" s="13">
        <v>37459</v>
      </c>
      <c r="X253" s="14">
        <v>2002</v>
      </c>
      <c r="Y253" s="13">
        <v>37257</v>
      </c>
      <c r="Z253" s="14">
        <v>2002</v>
      </c>
      <c r="AA253" s="13" t="s">
        <v>94</v>
      </c>
      <c r="AB253" s="13" t="s">
        <v>94</v>
      </c>
      <c r="AC253" s="13" t="s">
        <v>94</v>
      </c>
      <c r="AD253" s="15"/>
      <c r="AE253" s="27"/>
      <c r="AF253" s="8" t="s">
        <v>2520</v>
      </c>
      <c r="AG253" s="16">
        <v>86000000</v>
      </c>
      <c r="AH253" s="16">
        <v>7000000</v>
      </c>
      <c r="AI253" s="16">
        <v>12205797.67</v>
      </c>
      <c r="AJ253" s="16" t="s">
        <v>76</v>
      </c>
      <c r="AK253" s="28" t="s">
        <v>94</v>
      </c>
      <c r="AL253" s="16" t="s">
        <v>94</v>
      </c>
      <c r="AM253" s="16" t="s">
        <v>94</v>
      </c>
      <c r="AN253" s="10" t="s">
        <v>64</v>
      </c>
      <c r="AO253" s="8" t="s">
        <v>3757</v>
      </c>
      <c r="AP253" s="43">
        <v>7050</v>
      </c>
      <c r="AQ253" s="15" t="s">
        <v>94</v>
      </c>
      <c r="AR253" s="8" t="s">
        <v>3765</v>
      </c>
      <c r="AS253" s="10" t="s">
        <v>3781</v>
      </c>
      <c r="AT253" s="10" t="s">
        <v>3795</v>
      </c>
      <c r="AU253" s="96"/>
      <c r="AV253" s="17" t="s">
        <v>2521</v>
      </c>
      <c r="AW253" s="10"/>
      <c r="AX253" s="7" t="s">
        <v>3852</v>
      </c>
      <c r="AY253" s="10" t="s">
        <v>2522</v>
      </c>
      <c r="AZ253" s="10" t="s">
        <v>2523</v>
      </c>
      <c r="BA253" s="10" t="s">
        <v>2524</v>
      </c>
      <c r="BB253" s="18"/>
      <c r="BC253" s="41" t="s">
        <v>2525</v>
      </c>
    </row>
    <row r="254" spans="1:55" ht="69" customHeight="1" x14ac:dyDescent="0.2">
      <c r="A254" s="88" t="s">
        <v>4438</v>
      </c>
      <c r="B254" s="6" t="s">
        <v>2526</v>
      </c>
      <c r="C254" s="7" t="s">
        <v>2527</v>
      </c>
      <c r="D254" s="8" t="s">
        <v>49</v>
      </c>
      <c r="E254" s="8" t="s">
        <v>50</v>
      </c>
      <c r="F254" s="9" t="s">
        <v>2528</v>
      </c>
      <c r="G254" s="9" t="s">
        <v>2529</v>
      </c>
      <c r="H254" s="10" t="s">
        <v>4153</v>
      </c>
      <c r="I254" s="10" t="s">
        <v>103</v>
      </c>
      <c r="J254" s="7" t="s">
        <v>2530</v>
      </c>
      <c r="K254" s="7" t="s">
        <v>55</v>
      </c>
      <c r="L254" s="9" t="s">
        <v>2528</v>
      </c>
      <c r="M254" s="9" t="s">
        <v>2529</v>
      </c>
      <c r="N254" s="10" t="s">
        <v>4153</v>
      </c>
      <c r="O254" s="8" t="s">
        <v>103</v>
      </c>
      <c r="P254" s="8" t="s">
        <v>56</v>
      </c>
      <c r="Q254" s="10" t="s">
        <v>2531</v>
      </c>
      <c r="R254" s="10" t="s">
        <v>72</v>
      </c>
      <c r="S254" s="10"/>
      <c r="T254" s="8" t="s">
        <v>73</v>
      </c>
      <c r="U254" s="11">
        <v>36678</v>
      </c>
      <c r="V254" s="12">
        <v>2000</v>
      </c>
      <c r="W254" s="13">
        <v>36814</v>
      </c>
      <c r="X254" s="14">
        <v>2000</v>
      </c>
      <c r="Y254" s="24">
        <v>37096</v>
      </c>
      <c r="Z254" s="26">
        <v>2001</v>
      </c>
      <c r="AA254" s="13">
        <v>36892</v>
      </c>
      <c r="AB254" s="26">
        <v>2001</v>
      </c>
      <c r="AC254" s="15">
        <v>0</v>
      </c>
      <c r="AD254" s="15">
        <v>2001</v>
      </c>
      <c r="AE254" s="27" t="s">
        <v>2532</v>
      </c>
      <c r="AF254" s="8" t="s">
        <v>2533</v>
      </c>
      <c r="AG254" s="16">
        <v>371119008</v>
      </c>
      <c r="AH254" s="16">
        <v>72926714.890000001</v>
      </c>
      <c r="AI254" s="16">
        <v>132847318.62</v>
      </c>
      <c r="AJ254" s="16" t="s">
        <v>76</v>
      </c>
      <c r="AK254" s="28" t="s">
        <v>2072</v>
      </c>
      <c r="AL254" s="16">
        <v>8000000</v>
      </c>
      <c r="AM254" s="16">
        <v>14170028.23</v>
      </c>
      <c r="AN254" s="54" t="s">
        <v>3755</v>
      </c>
      <c r="AO254" s="8" t="s">
        <v>3756</v>
      </c>
      <c r="AP254" s="15" t="s">
        <v>94</v>
      </c>
      <c r="AQ254" s="15">
        <v>600</v>
      </c>
      <c r="AR254" s="8" t="s">
        <v>3770</v>
      </c>
      <c r="AS254" s="10" t="s">
        <v>3781</v>
      </c>
      <c r="AT254" s="10" t="s">
        <v>3795</v>
      </c>
      <c r="AU254" s="96"/>
      <c r="AV254" s="17" t="s">
        <v>3919</v>
      </c>
      <c r="AW254" s="10" t="s">
        <v>2534</v>
      </c>
      <c r="AX254" s="7"/>
      <c r="AY254" s="10" t="s">
        <v>2535</v>
      </c>
      <c r="AZ254" s="10" t="s">
        <v>2536</v>
      </c>
      <c r="BA254" s="10" t="s">
        <v>2537</v>
      </c>
      <c r="BB254" s="18" t="s">
        <v>2538</v>
      </c>
      <c r="BC254" s="41" t="s">
        <v>2539</v>
      </c>
    </row>
    <row r="255" spans="1:55" ht="70" customHeight="1" x14ac:dyDescent="0.2">
      <c r="A255" s="92" t="s">
        <v>4439</v>
      </c>
      <c r="B255" s="6" t="s">
        <v>2540</v>
      </c>
      <c r="C255" s="7" t="s">
        <v>2541</v>
      </c>
      <c r="D255" s="8" t="s">
        <v>49</v>
      </c>
      <c r="E255" s="8" t="s">
        <v>50</v>
      </c>
      <c r="F255" s="6" t="s">
        <v>2542</v>
      </c>
      <c r="G255" s="6" t="s">
        <v>2543</v>
      </c>
      <c r="H255" s="10" t="s">
        <v>380</v>
      </c>
      <c r="I255" s="10" t="s">
        <v>53</v>
      </c>
      <c r="J255" s="7" t="s">
        <v>2544</v>
      </c>
      <c r="K255" s="10" t="s">
        <v>55</v>
      </c>
      <c r="L255" s="6" t="s">
        <v>2542</v>
      </c>
      <c r="M255" s="6" t="s">
        <v>2543</v>
      </c>
      <c r="N255" s="10" t="s">
        <v>380</v>
      </c>
      <c r="O255" s="10" t="s">
        <v>53</v>
      </c>
      <c r="P255" s="10" t="s">
        <v>56</v>
      </c>
      <c r="Q255" s="10" t="s">
        <v>2545</v>
      </c>
      <c r="R255" s="10" t="s">
        <v>177</v>
      </c>
      <c r="S255" s="10"/>
      <c r="T255" s="10" t="s">
        <v>60</v>
      </c>
      <c r="U255" s="22">
        <v>17533</v>
      </c>
      <c r="V255" s="23">
        <v>1948</v>
      </c>
      <c r="W255" s="24">
        <v>37726</v>
      </c>
      <c r="X255" s="25">
        <v>2003</v>
      </c>
      <c r="Y255" s="13">
        <v>37622</v>
      </c>
      <c r="Z255" s="26">
        <v>2003</v>
      </c>
      <c r="AA255" s="13">
        <v>45292</v>
      </c>
      <c r="AB255" s="26">
        <v>2024</v>
      </c>
      <c r="AC255" s="15">
        <v>21</v>
      </c>
      <c r="AD255" s="15">
        <v>2024</v>
      </c>
      <c r="AE255" s="27" t="s">
        <v>2546</v>
      </c>
      <c r="AF255" s="10" t="s">
        <v>2547</v>
      </c>
      <c r="AG255" s="28" t="s">
        <v>2072</v>
      </c>
      <c r="AH255" s="28">
        <v>85000000</v>
      </c>
      <c r="AI255" s="28">
        <v>144910679.34999999</v>
      </c>
      <c r="AJ255" s="16" t="s">
        <v>76</v>
      </c>
      <c r="AK255" s="28">
        <v>500000000</v>
      </c>
      <c r="AL255" s="28">
        <v>27279684.760000002</v>
      </c>
      <c r="AM255" s="28">
        <v>27279684.760000002</v>
      </c>
      <c r="AN255" s="54" t="s">
        <v>3755</v>
      </c>
      <c r="AO255" s="8" t="s">
        <v>3757</v>
      </c>
      <c r="AP255" s="87">
        <v>22000</v>
      </c>
      <c r="AQ255" s="43">
        <v>17428</v>
      </c>
      <c r="AR255" s="8" t="s">
        <v>3765</v>
      </c>
      <c r="AS255" s="69" t="s">
        <v>3819</v>
      </c>
      <c r="AT255" s="10" t="s">
        <v>2548</v>
      </c>
      <c r="AU255" s="96"/>
      <c r="AV255" s="17" t="s">
        <v>3920</v>
      </c>
      <c r="AW255" s="10" t="s">
        <v>2549</v>
      </c>
      <c r="AX255" s="7" t="s">
        <v>4051</v>
      </c>
      <c r="AY255" s="10" t="s">
        <v>2550</v>
      </c>
      <c r="AZ255" s="10" t="s">
        <v>2551</v>
      </c>
      <c r="BA255" s="10" t="s">
        <v>2552</v>
      </c>
      <c r="BB255" s="18" t="s">
        <v>2553</v>
      </c>
      <c r="BC255" s="41" t="s">
        <v>2554</v>
      </c>
    </row>
    <row r="256" spans="1:55" ht="70" customHeight="1" x14ac:dyDescent="0.2">
      <c r="A256" s="88" t="s">
        <v>4440</v>
      </c>
      <c r="B256" s="6" t="s">
        <v>2555</v>
      </c>
      <c r="C256" s="7" t="s">
        <v>2556</v>
      </c>
      <c r="D256" s="8" t="s">
        <v>49</v>
      </c>
      <c r="E256" s="8" t="s">
        <v>50</v>
      </c>
      <c r="F256" s="9" t="s">
        <v>2557</v>
      </c>
      <c r="G256" s="9" t="s">
        <v>2558</v>
      </c>
      <c r="H256" s="10" t="s">
        <v>4154</v>
      </c>
      <c r="I256" s="10" t="s">
        <v>140</v>
      </c>
      <c r="J256" s="7" t="s">
        <v>2559</v>
      </c>
      <c r="K256" s="10" t="s">
        <v>55</v>
      </c>
      <c r="L256" s="9" t="s">
        <v>2557</v>
      </c>
      <c r="M256" s="9" t="s">
        <v>2558</v>
      </c>
      <c r="N256" s="10" t="s">
        <v>4154</v>
      </c>
      <c r="O256" s="8" t="s">
        <v>140</v>
      </c>
      <c r="P256" s="8" t="s">
        <v>56</v>
      </c>
      <c r="Q256" s="10" t="s">
        <v>2560</v>
      </c>
      <c r="R256" s="10" t="s">
        <v>72</v>
      </c>
      <c r="S256" s="10"/>
      <c r="T256" s="8" t="s">
        <v>73</v>
      </c>
      <c r="U256" s="11">
        <v>24838</v>
      </c>
      <c r="V256" s="12">
        <v>1968</v>
      </c>
      <c r="W256" s="13">
        <v>28413</v>
      </c>
      <c r="X256" s="14">
        <v>1977</v>
      </c>
      <c r="Y256" s="13">
        <v>28856</v>
      </c>
      <c r="Z256" s="14">
        <v>1979</v>
      </c>
      <c r="AA256" s="13">
        <v>43831</v>
      </c>
      <c r="AB256" s="15">
        <v>2020</v>
      </c>
      <c r="AC256" s="15">
        <v>41</v>
      </c>
      <c r="AD256" s="15">
        <v>2020</v>
      </c>
      <c r="AE256" s="27" t="s">
        <v>2561</v>
      </c>
      <c r="AF256" s="8" t="s">
        <v>75</v>
      </c>
      <c r="AG256" s="28">
        <v>21749000000</v>
      </c>
      <c r="AH256" s="28">
        <v>24785885482.259998</v>
      </c>
      <c r="AI256" s="28">
        <v>30041457399.59</v>
      </c>
      <c r="AJ256" s="16" t="s">
        <v>63</v>
      </c>
      <c r="AK256" s="28">
        <v>21749000000</v>
      </c>
      <c r="AL256" s="28">
        <v>24785885482.259998</v>
      </c>
      <c r="AM256" s="28">
        <v>30041457399.59</v>
      </c>
      <c r="AN256" s="54" t="s">
        <v>3755</v>
      </c>
      <c r="AO256" s="8" t="s">
        <v>3757</v>
      </c>
      <c r="AP256" s="43">
        <v>547670</v>
      </c>
      <c r="AQ256" s="43">
        <v>547670</v>
      </c>
      <c r="AR256" s="8" t="s">
        <v>3765</v>
      </c>
      <c r="AS256" s="10" t="s">
        <v>3787</v>
      </c>
      <c r="AT256" s="10" t="s">
        <v>3795</v>
      </c>
      <c r="AU256" s="96"/>
      <c r="AV256" s="17" t="s">
        <v>3921</v>
      </c>
      <c r="AW256" s="10" t="s">
        <v>2562</v>
      </c>
      <c r="AX256" s="7" t="s">
        <v>4052</v>
      </c>
      <c r="AY256" s="10" t="s">
        <v>2563</v>
      </c>
      <c r="AZ256" s="10" t="s">
        <v>2564</v>
      </c>
      <c r="BA256" s="10" t="s">
        <v>2565</v>
      </c>
      <c r="BB256" s="18" t="s">
        <v>2566</v>
      </c>
      <c r="BC256" s="41" t="s">
        <v>2567</v>
      </c>
    </row>
    <row r="257" spans="1:55" ht="70" customHeight="1" x14ac:dyDescent="0.2">
      <c r="A257" s="88" t="s">
        <v>4441</v>
      </c>
      <c r="B257" s="6" t="s">
        <v>2568</v>
      </c>
      <c r="C257" s="7" t="s">
        <v>2569</v>
      </c>
      <c r="D257" s="8" t="s">
        <v>49</v>
      </c>
      <c r="E257" s="8" t="s">
        <v>50</v>
      </c>
      <c r="F257" s="9" t="s">
        <v>2570</v>
      </c>
      <c r="G257" s="9" t="s">
        <v>2571</v>
      </c>
      <c r="H257" s="10" t="s">
        <v>748</v>
      </c>
      <c r="I257" s="10" t="s">
        <v>103</v>
      </c>
      <c r="J257" s="7" t="s">
        <v>2572</v>
      </c>
      <c r="K257" s="10" t="s">
        <v>55</v>
      </c>
      <c r="L257" s="9" t="s">
        <v>2570</v>
      </c>
      <c r="M257" s="9" t="s">
        <v>2571</v>
      </c>
      <c r="N257" s="10" t="s">
        <v>748</v>
      </c>
      <c r="O257" s="8" t="s">
        <v>103</v>
      </c>
      <c r="P257" s="8" t="s">
        <v>56</v>
      </c>
      <c r="Q257" s="10" t="s">
        <v>2573</v>
      </c>
      <c r="R257" s="10" t="s">
        <v>177</v>
      </c>
      <c r="S257" s="10"/>
      <c r="T257" s="8" t="s">
        <v>73</v>
      </c>
      <c r="U257" s="11">
        <v>30520</v>
      </c>
      <c r="V257" s="12">
        <v>1983</v>
      </c>
      <c r="W257" s="13">
        <v>38191</v>
      </c>
      <c r="X257" s="14">
        <v>2004</v>
      </c>
      <c r="Y257" s="13" t="s">
        <v>94</v>
      </c>
      <c r="Z257" s="13" t="s">
        <v>94</v>
      </c>
      <c r="AA257" s="13" t="s">
        <v>94</v>
      </c>
      <c r="AB257" s="13" t="s">
        <v>94</v>
      </c>
      <c r="AC257" s="13" t="s">
        <v>94</v>
      </c>
      <c r="AD257" s="13"/>
      <c r="AE257" s="27"/>
      <c r="AF257" s="8" t="s">
        <v>2574</v>
      </c>
      <c r="AG257" s="16">
        <v>72300000</v>
      </c>
      <c r="AH257" s="16">
        <v>702000</v>
      </c>
      <c r="AI257" s="16">
        <v>1165747.3700000001</v>
      </c>
      <c r="AJ257" s="16" t="s">
        <v>76</v>
      </c>
      <c r="AK257" s="28" t="s">
        <v>94</v>
      </c>
      <c r="AL257" s="16" t="s">
        <v>94</v>
      </c>
      <c r="AM257" s="16" t="s">
        <v>94</v>
      </c>
      <c r="AN257" s="10" t="s">
        <v>64</v>
      </c>
      <c r="AO257" s="8" t="s">
        <v>3756</v>
      </c>
      <c r="AP257" s="15">
        <v>937</v>
      </c>
      <c r="AQ257" s="15" t="s">
        <v>94</v>
      </c>
      <c r="AR257" s="8" t="s">
        <v>3765</v>
      </c>
      <c r="AS257" s="10" t="s">
        <v>3781</v>
      </c>
      <c r="AT257" s="10" t="s">
        <v>3795</v>
      </c>
      <c r="AU257" s="96"/>
      <c r="AV257" s="17" t="s">
        <v>2575</v>
      </c>
      <c r="AW257" s="7"/>
      <c r="AX257" s="7"/>
      <c r="AY257" s="10" t="s">
        <v>2576</v>
      </c>
      <c r="AZ257" s="10" t="s">
        <v>2577</v>
      </c>
      <c r="BA257" s="10" t="s">
        <v>2578</v>
      </c>
      <c r="BB257" s="18"/>
      <c r="BC257" s="41" t="s">
        <v>2579</v>
      </c>
    </row>
    <row r="258" spans="1:55" ht="69" customHeight="1" x14ac:dyDescent="0.2">
      <c r="A258" s="88" t="s">
        <v>4442</v>
      </c>
      <c r="B258" s="6" t="s">
        <v>2580</v>
      </c>
      <c r="C258" s="7" t="s">
        <v>2569</v>
      </c>
      <c r="D258" s="8" t="s">
        <v>49</v>
      </c>
      <c r="E258" s="8" t="s">
        <v>50</v>
      </c>
      <c r="F258" s="9" t="s">
        <v>2570</v>
      </c>
      <c r="G258" s="9" t="s">
        <v>2571</v>
      </c>
      <c r="H258" s="10" t="s">
        <v>748</v>
      </c>
      <c r="I258" s="10" t="s">
        <v>103</v>
      </c>
      <c r="J258" s="7" t="s">
        <v>2581</v>
      </c>
      <c r="K258" s="10" t="s">
        <v>55</v>
      </c>
      <c r="L258" s="9" t="s">
        <v>2570</v>
      </c>
      <c r="M258" s="9" t="s">
        <v>2571</v>
      </c>
      <c r="N258" s="10" t="s">
        <v>748</v>
      </c>
      <c r="O258" s="8" t="s">
        <v>103</v>
      </c>
      <c r="P258" s="8" t="s">
        <v>56</v>
      </c>
      <c r="Q258" s="10" t="s">
        <v>2582</v>
      </c>
      <c r="R258" s="10" t="s">
        <v>72</v>
      </c>
      <c r="S258" s="10"/>
      <c r="T258" s="8" t="s">
        <v>60</v>
      </c>
      <c r="U258" s="11">
        <v>30317</v>
      </c>
      <c r="V258" s="12">
        <v>1983</v>
      </c>
      <c r="W258" s="13">
        <v>43395</v>
      </c>
      <c r="X258" s="14">
        <v>2018</v>
      </c>
      <c r="Y258" s="13" t="s">
        <v>94</v>
      </c>
      <c r="Z258" s="13" t="s">
        <v>94</v>
      </c>
      <c r="AA258" s="13" t="s">
        <v>94</v>
      </c>
      <c r="AB258" s="13" t="s">
        <v>94</v>
      </c>
      <c r="AC258" s="13" t="s">
        <v>94</v>
      </c>
      <c r="AD258" s="15"/>
      <c r="AE258" s="27"/>
      <c r="AF258" s="8" t="s">
        <v>2574</v>
      </c>
      <c r="AG258" s="28">
        <v>900000000</v>
      </c>
      <c r="AH258" s="16">
        <v>5539659.5099999998</v>
      </c>
      <c r="AI258" s="16">
        <v>6920278.0199999996</v>
      </c>
      <c r="AJ258" s="16" t="s">
        <v>76</v>
      </c>
      <c r="AK258" s="28" t="s">
        <v>94</v>
      </c>
      <c r="AL258" s="16" t="s">
        <v>94</v>
      </c>
      <c r="AM258" s="16" t="s">
        <v>94</v>
      </c>
      <c r="AN258" s="54" t="s">
        <v>3755</v>
      </c>
      <c r="AO258" s="8" t="s">
        <v>3757</v>
      </c>
      <c r="AP258" s="43">
        <v>15212</v>
      </c>
      <c r="AQ258" s="15" t="s">
        <v>94</v>
      </c>
      <c r="AR258" s="8" t="s">
        <v>3765</v>
      </c>
      <c r="AS258" s="10" t="s">
        <v>269</v>
      </c>
      <c r="AT258" s="10" t="s">
        <v>3795</v>
      </c>
      <c r="AU258" s="96"/>
      <c r="AV258" s="17" t="s">
        <v>2583</v>
      </c>
      <c r="AW258" s="10" t="s">
        <v>2584</v>
      </c>
      <c r="AX258" s="7"/>
      <c r="AY258" s="10" t="s">
        <v>2585</v>
      </c>
      <c r="AZ258" s="10" t="s">
        <v>2586</v>
      </c>
      <c r="BA258" s="10" t="s">
        <v>2587</v>
      </c>
      <c r="BB258" s="18"/>
      <c r="BC258" s="41" t="s">
        <v>2588</v>
      </c>
    </row>
    <row r="259" spans="1:55" ht="69" customHeight="1" x14ac:dyDescent="0.2">
      <c r="A259" s="88" t="s">
        <v>4443</v>
      </c>
      <c r="B259" s="6" t="s">
        <v>2589</v>
      </c>
      <c r="C259" s="7" t="s">
        <v>2590</v>
      </c>
      <c r="D259" s="8" t="s">
        <v>453</v>
      </c>
      <c r="E259" s="8" t="s">
        <v>280</v>
      </c>
      <c r="F259" s="9" t="s">
        <v>2570</v>
      </c>
      <c r="G259" s="9" t="s">
        <v>2571</v>
      </c>
      <c r="H259" s="10" t="s">
        <v>748</v>
      </c>
      <c r="I259" s="10" t="s">
        <v>103</v>
      </c>
      <c r="J259" s="7" t="s">
        <v>2591</v>
      </c>
      <c r="K259" s="10" t="s">
        <v>55</v>
      </c>
      <c r="L259" s="9" t="s">
        <v>2570</v>
      </c>
      <c r="M259" s="9" t="s">
        <v>2571</v>
      </c>
      <c r="N259" s="10" t="s">
        <v>748</v>
      </c>
      <c r="O259" s="8" t="s">
        <v>103</v>
      </c>
      <c r="P259" s="8" t="s">
        <v>56</v>
      </c>
      <c r="Q259" s="10" t="s">
        <v>2592</v>
      </c>
      <c r="R259" s="10" t="s">
        <v>72</v>
      </c>
      <c r="S259" s="10"/>
      <c r="T259" s="8" t="s">
        <v>73</v>
      </c>
      <c r="U259" s="11">
        <v>43576</v>
      </c>
      <c r="V259" s="12">
        <v>2019</v>
      </c>
      <c r="W259" s="13">
        <v>44938</v>
      </c>
      <c r="X259" s="14">
        <v>2023</v>
      </c>
      <c r="Y259" s="13">
        <v>44927</v>
      </c>
      <c r="Z259" s="14">
        <v>2023</v>
      </c>
      <c r="AA259" s="13">
        <v>45292</v>
      </c>
      <c r="AB259" s="14">
        <v>2024</v>
      </c>
      <c r="AC259" s="15">
        <v>1</v>
      </c>
      <c r="AD259" s="15">
        <v>2024</v>
      </c>
      <c r="AE259" s="27" t="s">
        <v>2593</v>
      </c>
      <c r="AF259" s="8" t="s">
        <v>1448</v>
      </c>
      <c r="AG259" s="16">
        <v>311000000</v>
      </c>
      <c r="AH259" s="16">
        <v>3765166.15</v>
      </c>
      <c r="AI259" s="16">
        <v>3876217.43</v>
      </c>
      <c r="AJ259" s="16" t="s">
        <v>76</v>
      </c>
      <c r="AK259" s="28">
        <v>310418586.19999999</v>
      </c>
      <c r="AL259" s="16">
        <v>3710066.35</v>
      </c>
      <c r="AM259" s="16">
        <v>3710066.35</v>
      </c>
      <c r="AN259" s="10" t="s">
        <v>64</v>
      </c>
      <c r="AO259" s="8" t="s">
        <v>3757</v>
      </c>
      <c r="AP259" s="15">
        <v>661</v>
      </c>
      <c r="AQ259" s="15">
        <v>661</v>
      </c>
      <c r="AR259" s="8" t="s">
        <v>3762</v>
      </c>
      <c r="AS259" s="10" t="s">
        <v>292</v>
      </c>
      <c r="AT259" s="10" t="s">
        <v>3795</v>
      </c>
      <c r="AU259" s="96"/>
      <c r="AV259" s="17"/>
      <c r="AW259" s="10"/>
      <c r="AX259" s="7" t="s">
        <v>4053</v>
      </c>
      <c r="AY259" s="10" t="s">
        <v>2594</v>
      </c>
      <c r="AZ259" s="10" t="s">
        <v>4133</v>
      </c>
      <c r="BA259" s="10" t="s">
        <v>2595</v>
      </c>
      <c r="BB259" s="18" t="s">
        <v>2596</v>
      </c>
      <c r="BC259" s="41" t="s">
        <v>2597</v>
      </c>
    </row>
    <row r="260" spans="1:55" ht="70" customHeight="1" x14ac:dyDescent="0.2">
      <c r="A260" s="88" t="s">
        <v>4444</v>
      </c>
      <c r="B260" s="6" t="s">
        <v>2598</v>
      </c>
      <c r="C260" s="7" t="s">
        <v>2599</v>
      </c>
      <c r="D260" s="8" t="s">
        <v>49</v>
      </c>
      <c r="E260" s="8" t="s">
        <v>50</v>
      </c>
      <c r="F260" s="9" t="s">
        <v>2600</v>
      </c>
      <c r="G260" s="9" t="s">
        <v>2601</v>
      </c>
      <c r="H260" s="10" t="s">
        <v>380</v>
      </c>
      <c r="I260" s="10" t="s">
        <v>381</v>
      </c>
      <c r="J260" s="7" t="s">
        <v>2602</v>
      </c>
      <c r="K260" s="10" t="s">
        <v>55</v>
      </c>
      <c r="L260" s="9" t="s">
        <v>2600</v>
      </c>
      <c r="M260" s="9" t="s">
        <v>2601</v>
      </c>
      <c r="N260" s="10" t="s">
        <v>380</v>
      </c>
      <c r="O260" s="8" t="s">
        <v>381</v>
      </c>
      <c r="P260" s="8" t="s">
        <v>56</v>
      </c>
      <c r="Q260" s="10" t="s">
        <v>2603</v>
      </c>
      <c r="R260" s="10" t="s">
        <v>72</v>
      </c>
      <c r="S260" s="10"/>
      <c r="T260" s="8" t="s">
        <v>73</v>
      </c>
      <c r="U260" s="11">
        <v>37678</v>
      </c>
      <c r="V260" s="12">
        <v>2003</v>
      </c>
      <c r="W260" s="13">
        <v>38842</v>
      </c>
      <c r="X260" s="14">
        <v>2006</v>
      </c>
      <c r="Y260" s="13" t="s">
        <v>94</v>
      </c>
      <c r="Z260" s="13" t="s">
        <v>94</v>
      </c>
      <c r="AA260" s="13" t="s">
        <v>94</v>
      </c>
      <c r="AB260" s="13" t="s">
        <v>94</v>
      </c>
      <c r="AC260" s="13" t="s">
        <v>94</v>
      </c>
      <c r="AD260" s="15"/>
      <c r="AE260" s="27"/>
      <c r="AF260" s="8" t="s">
        <v>106</v>
      </c>
      <c r="AG260" s="16">
        <v>730000000</v>
      </c>
      <c r="AH260" s="16">
        <v>730000000</v>
      </c>
      <c r="AI260" s="16">
        <v>1135877827.3800001</v>
      </c>
      <c r="AJ260" s="16" t="s">
        <v>76</v>
      </c>
      <c r="AK260" s="28" t="s">
        <v>94</v>
      </c>
      <c r="AL260" s="16" t="s">
        <v>94</v>
      </c>
      <c r="AM260" s="16" t="s">
        <v>94</v>
      </c>
      <c r="AN260" s="54" t="s">
        <v>3755</v>
      </c>
      <c r="AO260" s="8" t="s">
        <v>3757</v>
      </c>
      <c r="AP260" s="15" t="s">
        <v>94</v>
      </c>
      <c r="AQ260" s="15" t="s">
        <v>94</v>
      </c>
      <c r="AR260" s="8" t="s">
        <v>3770</v>
      </c>
      <c r="AS260" s="10" t="s">
        <v>3816</v>
      </c>
      <c r="AT260" s="10" t="s">
        <v>3795</v>
      </c>
      <c r="AU260" s="96"/>
      <c r="AV260" s="17" t="s">
        <v>2604</v>
      </c>
      <c r="AW260" s="10" t="s">
        <v>2605</v>
      </c>
      <c r="AX260" s="7" t="s">
        <v>4054</v>
      </c>
      <c r="AY260" s="10" t="s">
        <v>2606</v>
      </c>
      <c r="AZ260" s="10" t="s">
        <v>2607</v>
      </c>
      <c r="BA260" s="10" t="s">
        <v>2608</v>
      </c>
      <c r="BB260" s="18"/>
      <c r="BC260" s="41" t="s">
        <v>2609</v>
      </c>
    </row>
    <row r="261" spans="1:55" ht="70" customHeight="1" x14ac:dyDescent="0.2">
      <c r="A261" s="88" t="s">
        <v>4445</v>
      </c>
      <c r="B261" s="6" t="s">
        <v>2610</v>
      </c>
      <c r="C261" s="7" t="s">
        <v>2599</v>
      </c>
      <c r="D261" s="8" t="s">
        <v>49</v>
      </c>
      <c r="E261" s="8" t="s">
        <v>50</v>
      </c>
      <c r="F261" s="9" t="s">
        <v>2600</v>
      </c>
      <c r="G261" s="9" t="s">
        <v>2601</v>
      </c>
      <c r="H261" s="10" t="s">
        <v>380</v>
      </c>
      <c r="I261" s="10" t="s">
        <v>381</v>
      </c>
      <c r="J261" s="7" t="s">
        <v>2611</v>
      </c>
      <c r="K261" s="10" t="s">
        <v>55</v>
      </c>
      <c r="L261" s="9" t="s">
        <v>2600</v>
      </c>
      <c r="M261" s="9" t="s">
        <v>2601</v>
      </c>
      <c r="N261" s="10" t="s">
        <v>380</v>
      </c>
      <c r="O261" s="8" t="s">
        <v>381</v>
      </c>
      <c r="P261" s="8" t="s">
        <v>56</v>
      </c>
      <c r="Q261" s="10" t="s">
        <v>2612</v>
      </c>
      <c r="R261" s="10" t="s">
        <v>72</v>
      </c>
      <c r="S261" s="10"/>
      <c r="T261" s="8" t="s">
        <v>73</v>
      </c>
      <c r="U261" s="11">
        <v>37678</v>
      </c>
      <c r="V261" s="12">
        <v>2003</v>
      </c>
      <c r="W261" s="13">
        <v>40738</v>
      </c>
      <c r="X261" s="14">
        <v>2011</v>
      </c>
      <c r="Y261" s="13" t="s">
        <v>94</v>
      </c>
      <c r="Z261" s="13" t="s">
        <v>94</v>
      </c>
      <c r="AA261" s="13" t="s">
        <v>94</v>
      </c>
      <c r="AB261" s="13" t="s">
        <v>94</v>
      </c>
      <c r="AC261" s="13" t="s">
        <v>94</v>
      </c>
      <c r="AD261" s="15"/>
      <c r="AE261" s="27"/>
      <c r="AF261" s="8" t="s">
        <v>106</v>
      </c>
      <c r="AG261" s="16">
        <v>300000000</v>
      </c>
      <c r="AH261" s="16">
        <v>300000000</v>
      </c>
      <c r="AI261" s="16">
        <v>418365423.50999999</v>
      </c>
      <c r="AJ261" s="16" t="s">
        <v>76</v>
      </c>
      <c r="AK261" s="28" t="s">
        <v>94</v>
      </c>
      <c r="AL261" s="16" t="s">
        <v>94</v>
      </c>
      <c r="AM261" s="16" t="s">
        <v>94</v>
      </c>
      <c r="AN261" s="10" t="s">
        <v>64</v>
      </c>
      <c r="AO261" s="8" t="s">
        <v>3756</v>
      </c>
      <c r="AP261" s="15" t="s">
        <v>94</v>
      </c>
      <c r="AQ261" s="15" t="s">
        <v>94</v>
      </c>
      <c r="AR261" s="8" t="s">
        <v>3770</v>
      </c>
      <c r="AS261" s="10" t="s">
        <v>292</v>
      </c>
      <c r="AT261" s="10" t="s">
        <v>3795</v>
      </c>
      <c r="AU261" s="96"/>
      <c r="AV261" s="17" t="s">
        <v>2613</v>
      </c>
      <c r="AW261" s="10" t="s">
        <v>2614</v>
      </c>
      <c r="AX261" s="7"/>
      <c r="AY261" s="10" t="s">
        <v>2615</v>
      </c>
      <c r="AZ261" s="10" t="s">
        <v>2616</v>
      </c>
      <c r="BA261" s="10" t="s">
        <v>2617</v>
      </c>
      <c r="BB261" s="18"/>
      <c r="BC261" s="41" t="s">
        <v>2618</v>
      </c>
    </row>
    <row r="262" spans="1:55" ht="70" customHeight="1" x14ac:dyDescent="0.2">
      <c r="A262" s="88" t="s">
        <v>4446</v>
      </c>
      <c r="B262" s="6" t="s">
        <v>2619</v>
      </c>
      <c r="C262" s="7" t="s">
        <v>2599</v>
      </c>
      <c r="D262" s="8" t="s">
        <v>49</v>
      </c>
      <c r="E262" s="8" t="s">
        <v>50</v>
      </c>
      <c r="F262" s="32" t="s">
        <v>2600</v>
      </c>
      <c r="G262" s="9" t="s">
        <v>2601</v>
      </c>
      <c r="H262" s="18" t="s">
        <v>380</v>
      </c>
      <c r="I262" s="18" t="s">
        <v>381</v>
      </c>
      <c r="J262" s="7" t="s">
        <v>2620</v>
      </c>
      <c r="K262" s="10" t="s">
        <v>55</v>
      </c>
      <c r="L262" s="9" t="s">
        <v>922</v>
      </c>
      <c r="M262" s="9" t="s">
        <v>923</v>
      </c>
      <c r="N262" s="10" t="s">
        <v>572</v>
      </c>
      <c r="O262" s="8" t="s">
        <v>140</v>
      </c>
      <c r="P262" s="8" t="s">
        <v>144</v>
      </c>
      <c r="Q262" s="10" t="s">
        <v>2621</v>
      </c>
      <c r="R262" s="10" t="s">
        <v>529</v>
      </c>
      <c r="S262" s="10"/>
      <c r="T262" s="8" t="s">
        <v>73</v>
      </c>
      <c r="U262" s="11">
        <v>35796</v>
      </c>
      <c r="V262" s="12">
        <v>1998</v>
      </c>
      <c r="W262" s="13">
        <v>44123</v>
      </c>
      <c r="X262" s="14">
        <v>2020</v>
      </c>
      <c r="Y262" s="13">
        <v>44197</v>
      </c>
      <c r="Z262" s="15">
        <v>2021</v>
      </c>
      <c r="AA262" s="13">
        <v>44197</v>
      </c>
      <c r="AB262" s="14">
        <v>2021</v>
      </c>
      <c r="AC262" s="15">
        <v>0</v>
      </c>
      <c r="AD262" s="15">
        <v>2021</v>
      </c>
      <c r="AE262" s="27"/>
      <c r="AF262" s="8" t="s">
        <v>106</v>
      </c>
      <c r="AG262" s="16">
        <v>335000000</v>
      </c>
      <c r="AH262" s="16">
        <v>335000000</v>
      </c>
      <c r="AI262" s="16">
        <v>406033031.82999998</v>
      </c>
      <c r="AJ262" s="16" t="s">
        <v>76</v>
      </c>
      <c r="AK262" s="28">
        <v>335000000</v>
      </c>
      <c r="AL262" s="16">
        <v>335000000</v>
      </c>
      <c r="AM262" s="16">
        <v>387813466.44</v>
      </c>
      <c r="AN262" s="10" t="s">
        <v>64</v>
      </c>
      <c r="AO262" s="8" t="s">
        <v>3757</v>
      </c>
      <c r="AP262" s="15" t="s">
        <v>94</v>
      </c>
      <c r="AQ262" s="15" t="s">
        <v>94</v>
      </c>
      <c r="AR262" s="8" t="s">
        <v>3759</v>
      </c>
      <c r="AS262" s="10" t="s">
        <v>3781</v>
      </c>
      <c r="AT262" s="10" t="s">
        <v>3795</v>
      </c>
      <c r="AU262" s="96"/>
      <c r="AV262" s="17"/>
      <c r="AW262" s="10"/>
      <c r="AX262" s="7" t="s">
        <v>2622</v>
      </c>
      <c r="AY262" s="10" t="s">
        <v>2623</v>
      </c>
      <c r="AZ262" s="10" t="s">
        <v>2624</v>
      </c>
      <c r="BA262" s="10" t="s">
        <v>2625</v>
      </c>
      <c r="BB262" s="18"/>
      <c r="BC262" s="41" t="s">
        <v>2626</v>
      </c>
    </row>
    <row r="263" spans="1:55" ht="69" customHeight="1" x14ac:dyDescent="0.2">
      <c r="A263" s="88" t="s">
        <v>4447</v>
      </c>
      <c r="B263" s="6" t="s">
        <v>2627</v>
      </c>
      <c r="C263" s="7" t="s">
        <v>2628</v>
      </c>
      <c r="D263" s="8" t="s">
        <v>49</v>
      </c>
      <c r="E263" s="8" t="s">
        <v>50</v>
      </c>
      <c r="F263" s="32" t="s">
        <v>2629</v>
      </c>
      <c r="G263" s="32" t="s">
        <v>2630</v>
      </c>
      <c r="H263" s="10" t="s">
        <v>4155</v>
      </c>
      <c r="I263" s="18" t="s">
        <v>53</v>
      </c>
      <c r="J263" s="7" t="s">
        <v>2631</v>
      </c>
      <c r="K263" s="10" t="s">
        <v>55</v>
      </c>
      <c r="L263" s="9" t="s">
        <v>2629</v>
      </c>
      <c r="M263" s="9" t="s">
        <v>2630</v>
      </c>
      <c r="N263" s="10" t="s">
        <v>4592</v>
      </c>
      <c r="O263" s="8" t="s">
        <v>53</v>
      </c>
      <c r="P263" s="8" t="s">
        <v>56</v>
      </c>
      <c r="Q263" s="10" t="s">
        <v>2632</v>
      </c>
      <c r="R263" s="10" t="s">
        <v>72</v>
      </c>
      <c r="S263" s="10"/>
      <c r="T263" s="8" t="s">
        <v>73</v>
      </c>
      <c r="U263" s="11">
        <v>31745</v>
      </c>
      <c r="V263" s="12">
        <v>1986</v>
      </c>
      <c r="W263" s="13">
        <v>38548</v>
      </c>
      <c r="X263" s="14">
        <v>2005</v>
      </c>
      <c r="Y263" s="13">
        <v>38718</v>
      </c>
      <c r="Z263" s="14">
        <v>2006</v>
      </c>
      <c r="AA263" s="13">
        <v>38718</v>
      </c>
      <c r="AB263" s="14">
        <v>2006</v>
      </c>
      <c r="AC263" s="15">
        <v>1</v>
      </c>
      <c r="AD263" s="14">
        <v>2006</v>
      </c>
      <c r="AE263" s="27"/>
      <c r="AF263" s="8" t="s">
        <v>106</v>
      </c>
      <c r="AG263" s="16">
        <v>2890000</v>
      </c>
      <c r="AH263" s="16">
        <v>2890000</v>
      </c>
      <c r="AI263" s="16">
        <v>4641890.4800000004</v>
      </c>
      <c r="AJ263" s="16" t="s">
        <v>76</v>
      </c>
      <c r="AK263" s="16">
        <v>2890000</v>
      </c>
      <c r="AL263" s="16">
        <v>2890000</v>
      </c>
      <c r="AM263" s="16">
        <v>4496831.4000000004</v>
      </c>
      <c r="AN263" s="54" t="s">
        <v>3755</v>
      </c>
      <c r="AO263" s="8" t="s">
        <v>3757</v>
      </c>
      <c r="AP263" s="15">
        <v>130</v>
      </c>
      <c r="AQ263" s="15">
        <v>130</v>
      </c>
      <c r="AR263" s="8" t="s">
        <v>3761</v>
      </c>
      <c r="AS263" s="10" t="s">
        <v>3816</v>
      </c>
      <c r="AT263" s="10" t="s">
        <v>892</v>
      </c>
      <c r="AU263" s="96"/>
      <c r="AV263" s="17" t="s">
        <v>2633</v>
      </c>
      <c r="AW263" s="10"/>
      <c r="AX263" s="7" t="s">
        <v>4055</v>
      </c>
      <c r="AY263" s="10" t="s">
        <v>2634</v>
      </c>
      <c r="AZ263" s="10" t="s">
        <v>4134</v>
      </c>
      <c r="BA263" s="10" t="s">
        <v>2635</v>
      </c>
      <c r="BB263" s="18" t="s">
        <v>2636</v>
      </c>
      <c r="BC263" s="41" t="s">
        <v>2637</v>
      </c>
    </row>
    <row r="264" spans="1:55" ht="69" customHeight="1" x14ac:dyDescent="0.2">
      <c r="A264" s="88" t="s">
        <v>4448</v>
      </c>
      <c r="B264" s="6" t="s">
        <v>2638</v>
      </c>
      <c r="C264" s="7" t="s">
        <v>2639</v>
      </c>
      <c r="D264" s="8" t="s">
        <v>49</v>
      </c>
      <c r="E264" s="8" t="s">
        <v>50</v>
      </c>
      <c r="F264" s="32" t="s">
        <v>2640</v>
      </c>
      <c r="G264" s="32" t="s">
        <v>2641</v>
      </c>
      <c r="H264" s="10" t="s">
        <v>4154</v>
      </c>
      <c r="I264" s="18" t="s">
        <v>140</v>
      </c>
      <c r="J264" s="7" t="s">
        <v>2642</v>
      </c>
      <c r="K264" s="10" t="s">
        <v>55</v>
      </c>
      <c r="L264" s="9" t="s">
        <v>2640</v>
      </c>
      <c r="M264" s="9" t="s">
        <v>2641</v>
      </c>
      <c r="N264" s="10" t="s">
        <v>4154</v>
      </c>
      <c r="O264" s="8" t="s">
        <v>140</v>
      </c>
      <c r="P264" s="8" t="s">
        <v>56</v>
      </c>
      <c r="Q264" s="10" t="s">
        <v>2643</v>
      </c>
      <c r="R264" s="10" t="s">
        <v>584</v>
      </c>
      <c r="S264" s="10"/>
      <c r="T264" s="8" t="s">
        <v>60</v>
      </c>
      <c r="U264" s="11">
        <v>12420</v>
      </c>
      <c r="V264" s="12">
        <v>1934</v>
      </c>
      <c r="W264" s="13">
        <v>36224</v>
      </c>
      <c r="X264" s="14">
        <v>1999</v>
      </c>
      <c r="Y264" s="13">
        <v>36342</v>
      </c>
      <c r="Z264" s="14">
        <v>1999</v>
      </c>
      <c r="AA264" s="13">
        <v>37257</v>
      </c>
      <c r="AB264" s="15">
        <v>2002</v>
      </c>
      <c r="AC264" s="15">
        <v>3</v>
      </c>
      <c r="AD264" s="15">
        <v>2002</v>
      </c>
      <c r="AE264" s="27"/>
      <c r="AF264" s="8" t="s">
        <v>2644</v>
      </c>
      <c r="AG264" s="28">
        <v>280000000</v>
      </c>
      <c r="AH264" s="16">
        <v>28755926.199999999</v>
      </c>
      <c r="AI264" s="16">
        <v>50141288.130000003</v>
      </c>
      <c r="AJ264" s="16" t="s">
        <v>63</v>
      </c>
      <c r="AK264" s="28">
        <v>280000000</v>
      </c>
      <c r="AL264" s="16">
        <v>28755926.199999999</v>
      </c>
      <c r="AM264" s="16">
        <v>50141288.130000003</v>
      </c>
      <c r="AN264" s="10" t="s">
        <v>64</v>
      </c>
      <c r="AO264" s="8" t="s">
        <v>3756</v>
      </c>
      <c r="AP264" s="43">
        <v>1564</v>
      </c>
      <c r="AQ264" s="43">
        <v>1564</v>
      </c>
      <c r="AR264" s="8" t="s">
        <v>3765</v>
      </c>
      <c r="AS264" s="10" t="s">
        <v>3781</v>
      </c>
      <c r="AT264" s="10" t="s">
        <v>3795</v>
      </c>
      <c r="AU264" s="96"/>
      <c r="AV264" s="17" t="s">
        <v>3922</v>
      </c>
      <c r="AW264" s="10" t="s">
        <v>2645</v>
      </c>
      <c r="AX264" s="7" t="s">
        <v>4056</v>
      </c>
      <c r="AY264" s="10" t="s">
        <v>2646</v>
      </c>
      <c r="AZ264" s="10" t="s">
        <v>2647</v>
      </c>
      <c r="BA264" s="10" t="s">
        <v>2648</v>
      </c>
      <c r="BB264" s="18" t="s">
        <v>2649</v>
      </c>
      <c r="BC264" s="41" t="s">
        <v>2650</v>
      </c>
    </row>
    <row r="265" spans="1:55" ht="70" customHeight="1" x14ac:dyDescent="0.2">
      <c r="A265" s="88" t="s">
        <v>4449</v>
      </c>
      <c r="B265" s="6" t="s">
        <v>2651</v>
      </c>
      <c r="C265" s="7" t="s">
        <v>2639</v>
      </c>
      <c r="D265" s="8" t="s">
        <v>49</v>
      </c>
      <c r="E265" s="8" t="s">
        <v>50</v>
      </c>
      <c r="F265" s="32" t="s">
        <v>2640</v>
      </c>
      <c r="G265" s="32" t="s">
        <v>2641</v>
      </c>
      <c r="H265" s="10" t="s">
        <v>4154</v>
      </c>
      <c r="I265" s="18" t="s">
        <v>140</v>
      </c>
      <c r="J265" s="7" t="s">
        <v>2652</v>
      </c>
      <c r="K265" s="10" t="s">
        <v>55</v>
      </c>
      <c r="L265" s="9" t="s">
        <v>2640</v>
      </c>
      <c r="M265" s="9" t="s">
        <v>2641</v>
      </c>
      <c r="N265" s="10" t="s">
        <v>4154</v>
      </c>
      <c r="O265" s="8" t="s">
        <v>140</v>
      </c>
      <c r="P265" s="8" t="s">
        <v>56</v>
      </c>
      <c r="Q265" s="10" t="s">
        <v>2653</v>
      </c>
      <c r="R265" s="10" t="s">
        <v>584</v>
      </c>
      <c r="S265" s="10"/>
      <c r="T265" s="8" t="s">
        <v>60</v>
      </c>
      <c r="U265" s="11">
        <v>26481</v>
      </c>
      <c r="V265" s="12">
        <v>1972</v>
      </c>
      <c r="W265" s="13">
        <v>43221</v>
      </c>
      <c r="X265" s="14">
        <v>2018</v>
      </c>
      <c r="Y265" s="15" t="s">
        <v>94</v>
      </c>
      <c r="Z265" s="15" t="s">
        <v>94</v>
      </c>
      <c r="AA265" s="15" t="s">
        <v>94</v>
      </c>
      <c r="AB265" s="15" t="s">
        <v>94</v>
      </c>
      <c r="AC265" s="15" t="s">
        <v>94</v>
      </c>
      <c r="AD265" s="15"/>
      <c r="AE265" s="27"/>
      <c r="AF265" s="8" t="s">
        <v>2644</v>
      </c>
      <c r="AG265" s="28">
        <v>180000000</v>
      </c>
      <c r="AH265" s="16">
        <v>20707462.800000001</v>
      </c>
      <c r="AI265" s="16">
        <v>25868268.5</v>
      </c>
      <c r="AJ265" s="16" t="s">
        <v>76</v>
      </c>
      <c r="AK265" s="28" t="s">
        <v>94</v>
      </c>
      <c r="AL265" s="28" t="s">
        <v>94</v>
      </c>
      <c r="AM265" s="28" t="s">
        <v>94</v>
      </c>
      <c r="AN265" s="10" t="s">
        <v>64</v>
      </c>
      <c r="AO265" s="8" t="s">
        <v>3756</v>
      </c>
      <c r="AP265" s="15">
        <v>800</v>
      </c>
      <c r="AQ265" s="15" t="s">
        <v>94</v>
      </c>
      <c r="AR265" s="8" t="s">
        <v>3765</v>
      </c>
      <c r="AS265" s="8" t="s">
        <v>3778</v>
      </c>
      <c r="AT265" s="10" t="s">
        <v>3795</v>
      </c>
      <c r="AU265" s="96"/>
      <c r="AV265" s="17" t="s">
        <v>2654</v>
      </c>
      <c r="AW265" s="10" t="s">
        <v>2655</v>
      </c>
      <c r="AX265" s="7" t="s">
        <v>3853</v>
      </c>
      <c r="AY265" s="10" t="s">
        <v>2656</v>
      </c>
      <c r="AZ265" s="10" t="s">
        <v>2657</v>
      </c>
      <c r="BA265" s="10" t="s">
        <v>2658</v>
      </c>
      <c r="BB265" s="18" t="s">
        <v>2659</v>
      </c>
      <c r="BC265" s="41" t="s">
        <v>2660</v>
      </c>
    </row>
    <row r="266" spans="1:55" ht="70" customHeight="1" x14ac:dyDescent="0.2">
      <c r="A266" s="88" t="s">
        <v>4450</v>
      </c>
      <c r="B266" s="6" t="s">
        <v>2661</v>
      </c>
      <c r="C266" s="7" t="s">
        <v>2662</v>
      </c>
      <c r="D266" s="8" t="s">
        <v>279</v>
      </c>
      <c r="E266" s="8" t="s">
        <v>280</v>
      </c>
      <c r="F266" s="9" t="s">
        <v>2663</v>
      </c>
      <c r="G266" s="9" t="s">
        <v>2664</v>
      </c>
      <c r="H266" s="10" t="s">
        <v>4154</v>
      </c>
      <c r="I266" s="10" t="s">
        <v>140</v>
      </c>
      <c r="J266" s="7" t="s">
        <v>2665</v>
      </c>
      <c r="K266" s="10" t="s">
        <v>55</v>
      </c>
      <c r="L266" s="30" t="s">
        <v>2042</v>
      </c>
      <c r="M266" s="30" t="s">
        <v>537</v>
      </c>
      <c r="N266" s="30" t="s">
        <v>4185</v>
      </c>
      <c r="O266" s="30" t="s">
        <v>4185</v>
      </c>
      <c r="P266" s="8" t="s">
        <v>144</v>
      </c>
      <c r="Q266" s="10" t="s">
        <v>2666</v>
      </c>
      <c r="R266" s="10" t="s">
        <v>177</v>
      </c>
      <c r="S266" s="10" t="s">
        <v>59</v>
      </c>
      <c r="T266" s="8" t="s">
        <v>60</v>
      </c>
      <c r="U266" s="11">
        <v>12055</v>
      </c>
      <c r="V266" s="12">
        <v>1933</v>
      </c>
      <c r="W266" s="13">
        <v>36019</v>
      </c>
      <c r="X266" s="14">
        <v>1998</v>
      </c>
      <c r="Y266" s="13">
        <v>36526</v>
      </c>
      <c r="Z266" s="14">
        <v>2000</v>
      </c>
      <c r="AA266" s="13">
        <v>43861</v>
      </c>
      <c r="AB266" s="14">
        <v>2020</v>
      </c>
      <c r="AC266" s="14">
        <v>20</v>
      </c>
      <c r="AD266" s="14">
        <v>2020</v>
      </c>
      <c r="AE266" s="27"/>
      <c r="AF266" s="8" t="s">
        <v>106</v>
      </c>
      <c r="AG266" s="28">
        <v>1288097978</v>
      </c>
      <c r="AH266" s="16">
        <v>1288097978</v>
      </c>
      <c r="AI266" s="16">
        <v>1561224857.5999999</v>
      </c>
      <c r="AJ266" s="16" t="s">
        <v>63</v>
      </c>
      <c r="AK266" s="28">
        <v>1288097978</v>
      </c>
      <c r="AL266" s="16">
        <v>1288097978</v>
      </c>
      <c r="AM266" s="16">
        <v>1561224857.5999999</v>
      </c>
      <c r="AN266" s="10" t="s">
        <v>64</v>
      </c>
      <c r="AO266" s="8" t="s">
        <v>3757</v>
      </c>
      <c r="AP266" s="43">
        <v>458436</v>
      </c>
      <c r="AQ266" s="43">
        <v>458436</v>
      </c>
      <c r="AR266" s="8" t="s">
        <v>3764</v>
      </c>
      <c r="AS266" s="10" t="s">
        <v>292</v>
      </c>
      <c r="AT266" s="10" t="s">
        <v>2667</v>
      </c>
      <c r="AU266" s="96"/>
      <c r="AV266" s="17" t="s">
        <v>3923</v>
      </c>
      <c r="AW266" s="10" t="s">
        <v>2668</v>
      </c>
      <c r="AX266" s="7" t="s">
        <v>3854</v>
      </c>
      <c r="AY266" s="10" t="s">
        <v>2669</v>
      </c>
      <c r="AZ266" s="10" t="s">
        <v>4135</v>
      </c>
      <c r="BA266" s="10" t="s">
        <v>2670</v>
      </c>
      <c r="BB266" s="18" t="s">
        <v>2671</v>
      </c>
      <c r="BC266" s="41" t="s">
        <v>2672</v>
      </c>
    </row>
    <row r="267" spans="1:55" ht="69" customHeight="1" x14ac:dyDescent="0.2">
      <c r="A267" s="88" t="s">
        <v>4451</v>
      </c>
      <c r="B267" s="6" t="s">
        <v>2673</v>
      </c>
      <c r="C267" s="7" t="s">
        <v>2674</v>
      </c>
      <c r="D267" s="8" t="s">
        <v>49</v>
      </c>
      <c r="E267" s="8" t="s">
        <v>50</v>
      </c>
      <c r="F267" s="9" t="s">
        <v>2663</v>
      </c>
      <c r="G267" s="9" t="s">
        <v>2664</v>
      </c>
      <c r="H267" s="10" t="s">
        <v>4154</v>
      </c>
      <c r="I267" s="10" t="s">
        <v>140</v>
      </c>
      <c r="J267" s="7" t="s">
        <v>2675</v>
      </c>
      <c r="K267" s="10" t="s">
        <v>55</v>
      </c>
      <c r="L267" s="9" t="s">
        <v>2663</v>
      </c>
      <c r="M267" s="9" t="s">
        <v>2664</v>
      </c>
      <c r="N267" s="10" t="s">
        <v>4154</v>
      </c>
      <c r="O267" s="8" t="s">
        <v>140</v>
      </c>
      <c r="P267" s="8" t="s">
        <v>56</v>
      </c>
      <c r="Q267" s="10" t="s">
        <v>2676</v>
      </c>
      <c r="R267" s="10" t="s">
        <v>163</v>
      </c>
      <c r="S267" s="10"/>
      <c r="T267" s="8" t="s">
        <v>73</v>
      </c>
      <c r="U267" s="11" t="s">
        <v>2677</v>
      </c>
      <c r="V267" s="12">
        <v>1800</v>
      </c>
      <c r="W267" s="13">
        <v>42614</v>
      </c>
      <c r="X267" s="14">
        <v>2016</v>
      </c>
      <c r="Y267" s="13">
        <v>42370</v>
      </c>
      <c r="Z267" s="15">
        <v>2016</v>
      </c>
      <c r="AA267" s="13">
        <v>43466</v>
      </c>
      <c r="AB267" s="15">
        <v>2019</v>
      </c>
      <c r="AC267" s="15">
        <v>3</v>
      </c>
      <c r="AD267" s="15">
        <v>2019</v>
      </c>
      <c r="AE267" s="27"/>
      <c r="AF267" s="8" t="s">
        <v>2678</v>
      </c>
      <c r="AG267" s="16">
        <v>300000000</v>
      </c>
      <c r="AH267" s="16">
        <v>308000000</v>
      </c>
      <c r="AI267" s="16">
        <v>402555808.79000002</v>
      </c>
      <c r="AJ267" s="16" t="s">
        <v>76</v>
      </c>
      <c r="AK267" s="28">
        <v>150000000</v>
      </c>
      <c r="AL267" s="16">
        <v>148800000</v>
      </c>
      <c r="AM267" s="16">
        <v>182576355.03999999</v>
      </c>
      <c r="AN267" s="10" t="s">
        <v>64</v>
      </c>
      <c r="AO267" s="8" t="s">
        <v>3756</v>
      </c>
      <c r="AP267" s="43">
        <v>15000</v>
      </c>
      <c r="AQ267" s="43">
        <v>6000</v>
      </c>
      <c r="AR267" s="8" t="s">
        <v>3765</v>
      </c>
      <c r="AS267" s="10" t="s">
        <v>3781</v>
      </c>
      <c r="AT267" s="10" t="s">
        <v>3795</v>
      </c>
      <c r="AU267" s="96"/>
      <c r="AV267" s="17" t="s">
        <v>2679</v>
      </c>
      <c r="AW267" s="10"/>
      <c r="AX267" s="7" t="s">
        <v>3855</v>
      </c>
      <c r="AY267" s="10" t="s">
        <v>2680</v>
      </c>
      <c r="AZ267" s="10" t="s">
        <v>4136</v>
      </c>
      <c r="BA267" s="10" t="s">
        <v>2681</v>
      </c>
      <c r="BB267" s="18" t="s">
        <v>2682</v>
      </c>
      <c r="BC267" s="41" t="s">
        <v>2683</v>
      </c>
    </row>
    <row r="268" spans="1:55" ht="70" customHeight="1" x14ac:dyDescent="0.2">
      <c r="A268" s="88" t="s">
        <v>4452</v>
      </c>
      <c r="B268" s="6" t="s">
        <v>2684</v>
      </c>
      <c r="C268" s="7" t="s">
        <v>2685</v>
      </c>
      <c r="D268" s="8" t="s">
        <v>150</v>
      </c>
      <c r="E268" s="31" t="s">
        <v>280</v>
      </c>
      <c r="F268" s="9" t="s">
        <v>4582</v>
      </c>
      <c r="G268" s="9" t="s">
        <v>2686</v>
      </c>
      <c r="H268" s="10" t="s">
        <v>4156</v>
      </c>
      <c r="I268" s="10" t="s">
        <v>381</v>
      </c>
      <c r="J268" s="7" t="s">
        <v>2687</v>
      </c>
      <c r="K268" s="10" t="s">
        <v>55</v>
      </c>
      <c r="L268" s="9" t="s">
        <v>4582</v>
      </c>
      <c r="M268" s="9" t="s">
        <v>2686</v>
      </c>
      <c r="N268" s="10" t="s">
        <v>4156</v>
      </c>
      <c r="O268" s="8" t="s">
        <v>381</v>
      </c>
      <c r="P268" s="8" t="s">
        <v>56</v>
      </c>
      <c r="Q268" s="10" t="s">
        <v>2688</v>
      </c>
      <c r="R268" s="10" t="s">
        <v>72</v>
      </c>
      <c r="S268" s="10"/>
      <c r="T268" s="8" t="s">
        <v>73</v>
      </c>
      <c r="U268" s="11">
        <v>42736</v>
      </c>
      <c r="V268" s="12">
        <v>2017</v>
      </c>
      <c r="W268" s="13">
        <v>43133</v>
      </c>
      <c r="X268" s="14">
        <v>2018</v>
      </c>
      <c r="Y268" s="13">
        <v>43101</v>
      </c>
      <c r="Z268" s="14">
        <v>2018</v>
      </c>
      <c r="AA268" s="13">
        <v>43101</v>
      </c>
      <c r="AB268" s="14">
        <v>2018</v>
      </c>
      <c r="AC268" s="14">
        <v>0</v>
      </c>
      <c r="AD268" s="15">
        <v>2018</v>
      </c>
      <c r="AE268" s="27"/>
      <c r="AF268" s="8" t="s">
        <v>106</v>
      </c>
      <c r="AG268" s="16">
        <v>46000</v>
      </c>
      <c r="AH268" s="16">
        <v>46000</v>
      </c>
      <c r="AI268" s="16">
        <v>57464.32</v>
      </c>
      <c r="AJ268" s="16" t="s">
        <v>76</v>
      </c>
      <c r="AK268" s="28">
        <v>46000</v>
      </c>
      <c r="AL268" s="16">
        <v>46000</v>
      </c>
      <c r="AM268" s="16">
        <v>57464.32</v>
      </c>
      <c r="AN268" s="10" t="s">
        <v>64</v>
      </c>
      <c r="AO268" s="8" t="s">
        <v>3758</v>
      </c>
      <c r="AP268" s="15" t="s">
        <v>94</v>
      </c>
      <c r="AQ268" s="15" t="s">
        <v>94</v>
      </c>
      <c r="AR268" s="8" t="s">
        <v>3770</v>
      </c>
      <c r="AS268" s="10" t="s">
        <v>3781</v>
      </c>
      <c r="AT268" s="10" t="s">
        <v>3795</v>
      </c>
      <c r="AU268" s="96"/>
      <c r="AV268" s="17" t="s">
        <v>2689</v>
      </c>
      <c r="AW268" s="10" t="s">
        <v>2690</v>
      </c>
      <c r="AX268" s="7"/>
      <c r="AY268" s="10"/>
      <c r="AZ268" s="10"/>
      <c r="BA268" s="10" t="s">
        <v>2691</v>
      </c>
      <c r="BB268" s="18" t="s">
        <v>2692</v>
      </c>
      <c r="BC268" s="41" t="s">
        <v>2693</v>
      </c>
    </row>
    <row r="269" spans="1:55" ht="59" customHeight="1" x14ac:dyDescent="0.2">
      <c r="A269" s="88" t="s">
        <v>4453</v>
      </c>
      <c r="B269" s="6" t="s">
        <v>2694</v>
      </c>
      <c r="C269" s="7" t="s">
        <v>1112</v>
      </c>
      <c r="D269" s="8" t="s">
        <v>49</v>
      </c>
      <c r="E269" s="8" t="s">
        <v>50</v>
      </c>
      <c r="F269" s="9" t="s">
        <v>4583</v>
      </c>
      <c r="G269" s="9" t="s">
        <v>1113</v>
      </c>
      <c r="H269" s="10" t="s">
        <v>4153</v>
      </c>
      <c r="I269" s="10" t="s">
        <v>140</v>
      </c>
      <c r="J269" s="7" t="s">
        <v>2695</v>
      </c>
      <c r="K269" s="10" t="s">
        <v>55</v>
      </c>
      <c r="L269" s="9" t="s">
        <v>4583</v>
      </c>
      <c r="M269" s="9" t="s">
        <v>1113</v>
      </c>
      <c r="N269" s="10" t="s">
        <v>4153</v>
      </c>
      <c r="O269" s="8" t="s">
        <v>140</v>
      </c>
      <c r="P269" s="8" t="s">
        <v>56</v>
      </c>
      <c r="Q269" s="10" t="s">
        <v>2696</v>
      </c>
      <c r="R269" s="10" t="s">
        <v>72</v>
      </c>
      <c r="S269" s="10"/>
      <c r="T269" s="8" t="s">
        <v>73</v>
      </c>
      <c r="U269" s="11">
        <v>18038</v>
      </c>
      <c r="V269" s="12">
        <v>1949</v>
      </c>
      <c r="W269" s="13">
        <v>34727</v>
      </c>
      <c r="X269" s="14">
        <v>1995</v>
      </c>
      <c r="Y269" s="13">
        <v>34700</v>
      </c>
      <c r="Z269" s="15">
        <v>1995</v>
      </c>
      <c r="AA269" s="13">
        <v>43466</v>
      </c>
      <c r="AB269" s="15">
        <v>2019</v>
      </c>
      <c r="AC269" s="15">
        <v>24</v>
      </c>
      <c r="AD269" s="15">
        <v>2019</v>
      </c>
      <c r="AE269" s="27" t="s">
        <v>2697</v>
      </c>
      <c r="AF269" s="8" t="s">
        <v>2698</v>
      </c>
      <c r="AG269" s="28">
        <v>194000000000</v>
      </c>
      <c r="AH269" s="16">
        <v>6272836033.2399998</v>
      </c>
      <c r="AI269" s="16">
        <v>7696717329.9799995</v>
      </c>
      <c r="AJ269" s="16" t="s">
        <v>63</v>
      </c>
      <c r="AK269" s="28">
        <v>194000000000</v>
      </c>
      <c r="AL269" s="16">
        <v>6272836033.2399998</v>
      </c>
      <c r="AM269" s="16">
        <v>7696717329.9799995</v>
      </c>
      <c r="AN269" s="10" t="s">
        <v>64</v>
      </c>
      <c r="AO269" s="8" t="s">
        <v>3756</v>
      </c>
      <c r="AP269" s="15" t="s">
        <v>94</v>
      </c>
      <c r="AQ269" s="15" t="s">
        <v>94</v>
      </c>
      <c r="AR269" s="8" t="s">
        <v>3765</v>
      </c>
      <c r="AS269" s="10" t="s">
        <v>3781</v>
      </c>
      <c r="AT269" s="10" t="s">
        <v>3795</v>
      </c>
      <c r="AU269" s="96"/>
      <c r="AV269" s="17" t="s">
        <v>2699</v>
      </c>
      <c r="AW269" s="10" t="s">
        <v>2700</v>
      </c>
      <c r="AX269" s="7" t="s">
        <v>2701</v>
      </c>
      <c r="AY269" s="10" t="s">
        <v>2702</v>
      </c>
      <c r="AZ269" s="10" t="s">
        <v>2703</v>
      </c>
      <c r="BA269" s="10" t="s">
        <v>2704</v>
      </c>
      <c r="BB269" s="18" t="s">
        <v>2705</v>
      </c>
      <c r="BC269" s="41" t="s">
        <v>2706</v>
      </c>
    </row>
    <row r="270" spans="1:55" ht="69" customHeight="1" x14ac:dyDescent="0.2">
      <c r="A270" s="88" t="s">
        <v>4454</v>
      </c>
      <c r="B270" s="6" t="s">
        <v>2707</v>
      </c>
      <c r="C270" s="7" t="s">
        <v>1112</v>
      </c>
      <c r="D270" s="8" t="s">
        <v>49</v>
      </c>
      <c r="E270" s="8" t="s">
        <v>50</v>
      </c>
      <c r="F270" s="9" t="s">
        <v>4583</v>
      </c>
      <c r="G270" s="9" t="s">
        <v>1113</v>
      </c>
      <c r="H270" s="10" t="s">
        <v>4153</v>
      </c>
      <c r="I270" s="10" t="s">
        <v>140</v>
      </c>
      <c r="J270" s="7" t="s">
        <v>2708</v>
      </c>
      <c r="K270" s="10" t="s">
        <v>55</v>
      </c>
      <c r="L270" s="9" t="s">
        <v>4583</v>
      </c>
      <c r="M270" s="9" t="s">
        <v>1113</v>
      </c>
      <c r="N270" s="10" t="s">
        <v>4153</v>
      </c>
      <c r="O270" s="8" t="s">
        <v>140</v>
      </c>
      <c r="P270" s="8" t="s">
        <v>56</v>
      </c>
      <c r="Q270" s="10" t="s">
        <v>2709</v>
      </c>
      <c r="R270" s="10" t="s">
        <v>72</v>
      </c>
      <c r="S270" s="10"/>
      <c r="T270" s="8" t="s">
        <v>73</v>
      </c>
      <c r="U270" s="11">
        <v>18038</v>
      </c>
      <c r="V270" s="12">
        <v>1949</v>
      </c>
      <c r="W270" s="13">
        <v>35963</v>
      </c>
      <c r="X270" s="14">
        <v>1998</v>
      </c>
      <c r="Y270" s="13">
        <v>36146</v>
      </c>
      <c r="Z270" s="15">
        <v>1998</v>
      </c>
      <c r="AA270" s="13">
        <v>42005</v>
      </c>
      <c r="AB270" s="15">
        <v>2015</v>
      </c>
      <c r="AC270" s="15">
        <v>17</v>
      </c>
      <c r="AD270" s="15">
        <v>2015</v>
      </c>
      <c r="AE270" s="27" t="s">
        <v>2710</v>
      </c>
      <c r="AF270" s="8" t="s">
        <v>2698</v>
      </c>
      <c r="AG270" s="16">
        <v>19700000000</v>
      </c>
      <c r="AH270" s="16">
        <v>617408087.41999996</v>
      </c>
      <c r="AI270" s="16">
        <v>817131790.26999998</v>
      </c>
      <c r="AJ270" s="16" t="s">
        <v>63</v>
      </c>
      <c r="AK270" s="16">
        <v>19700000000</v>
      </c>
      <c r="AL270" s="16">
        <v>617408087.41999996</v>
      </c>
      <c r="AM270" s="16">
        <v>817131790.26999998</v>
      </c>
      <c r="AN270" s="54" t="s">
        <v>3755</v>
      </c>
      <c r="AO270" s="8" t="s">
        <v>3757</v>
      </c>
      <c r="AP270" s="43">
        <v>10062</v>
      </c>
      <c r="AQ270" s="43">
        <v>10062</v>
      </c>
      <c r="AR270" s="8" t="s">
        <v>3765</v>
      </c>
      <c r="AS270" s="10" t="s">
        <v>292</v>
      </c>
      <c r="AT270" s="10" t="s">
        <v>3795</v>
      </c>
      <c r="AU270" s="96"/>
      <c r="AV270" s="17" t="s">
        <v>2711</v>
      </c>
      <c r="AW270" s="10" t="s">
        <v>2712</v>
      </c>
      <c r="AX270" s="7" t="s">
        <v>2701</v>
      </c>
      <c r="AY270" s="10" t="s">
        <v>2713</v>
      </c>
      <c r="AZ270" s="10" t="s">
        <v>2714</v>
      </c>
      <c r="BA270" s="10" t="s">
        <v>2715</v>
      </c>
      <c r="BB270" s="18" t="s">
        <v>2716</v>
      </c>
      <c r="BC270" s="41" t="s">
        <v>2717</v>
      </c>
    </row>
    <row r="271" spans="1:55" ht="70" customHeight="1" x14ac:dyDescent="0.2">
      <c r="A271" s="88" t="s">
        <v>4455</v>
      </c>
      <c r="B271" s="6" t="s">
        <v>2718</v>
      </c>
      <c r="C271" s="7" t="s">
        <v>2719</v>
      </c>
      <c r="D271" s="8" t="s">
        <v>49</v>
      </c>
      <c r="E271" s="8" t="s">
        <v>50</v>
      </c>
      <c r="F271" s="9" t="s">
        <v>2720</v>
      </c>
      <c r="G271" s="9" t="s">
        <v>2721</v>
      </c>
      <c r="H271" s="10" t="s">
        <v>4153</v>
      </c>
      <c r="I271" s="10" t="s">
        <v>53</v>
      </c>
      <c r="J271" s="7" t="s">
        <v>2722</v>
      </c>
      <c r="K271" s="10" t="s">
        <v>55</v>
      </c>
      <c r="L271" s="9" t="s">
        <v>2720</v>
      </c>
      <c r="M271" s="9" t="s">
        <v>2721</v>
      </c>
      <c r="N271" s="10" t="s">
        <v>4153</v>
      </c>
      <c r="O271" s="8" t="s">
        <v>53</v>
      </c>
      <c r="P271" s="8" t="s">
        <v>56</v>
      </c>
      <c r="Q271" s="10" t="s">
        <v>2723</v>
      </c>
      <c r="R271" s="10" t="s">
        <v>72</v>
      </c>
      <c r="S271" s="10"/>
      <c r="T271" s="8" t="s">
        <v>73</v>
      </c>
      <c r="U271" s="11">
        <v>38353</v>
      </c>
      <c r="V271" s="12">
        <v>2005</v>
      </c>
      <c r="W271" s="13">
        <v>40919</v>
      </c>
      <c r="X271" s="14">
        <v>2012</v>
      </c>
      <c r="Y271" s="14" t="s">
        <v>94</v>
      </c>
      <c r="Z271" s="14" t="s">
        <v>94</v>
      </c>
      <c r="AA271" s="14" t="s">
        <v>94</v>
      </c>
      <c r="AB271" s="14" t="s">
        <v>94</v>
      </c>
      <c r="AC271" s="14" t="s">
        <v>94</v>
      </c>
      <c r="AD271" s="15"/>
      <c r="AE271" s="27"/>
      <c r="AF271" s="8" t="s">
        <v>2724</v>
      </c>
      <c r="AG271" s="16">
        <v>2000000000</v>
      </c>
      <c r="AH271" s="16">
        <v>63000000</v>
      </c>
      <c r="AI271" s="16">
        <v>86075450.579999998</v>
      </c>
      <c r="AJ271" s="16" t="s">
        <v>76</v>
      </c>
      <c r="AK271" s="28" t="s">
        <v>94</v>
      </c>
      <c r="AL271" s="28" t="s">
        <v>94</v>
      </c>
      <c r="AM271" s="28" t="s">
        <v>94</v>
      </c>
      <c r="AN271" s="10" t="s">
        <v>64</v>
      </c>
      <c r="AO271" s="8" t="s">
        <v>3757</v>
      </c>
      <c r="AP271" s="43">
        <v>6150</v>
      </c>
      <c r="AQ271" s="43" t="s">
        <v>94</v>
      </c>
      <c r="AR271" s="8" t="s">
        <v>3765</v>
      </c>
      <c r="AS271" s="10" t="s">
        <v>292</v>
      </c>
      <c r="AT271" s="10" t="s">
        <v>3795</v>
      </c>
      <c r="AU271" s="96"/>
      <c r="AV271" s="17" t="s">
        <v>2725</v>
      </c>
      <c r="AW271" s="10"/>
      <c r="AX271" s="7" t="s">
        <v>883</v>
      </c>
      <c r="AY271" s="10" t="s">
        <v>2726</v>
      </c>
      <c r="AZ271" s="10" t="s">
        <v>2727</v>
      </c>
      <c r="BA271" s="10" t="s">
        <v>2728</v>
      </c>
      <c r="BB271" s="18"/>
      <c r="BC271" s="41" t="s">
        <v>2729</v>
      </c>
    </row>
    <row r="272" spans="1:55" ht="70" customHeight="1" x14ac:dyDescent="0.2">
      <c r="A272" s="88" t="s">
        <v>4456</v>
      </c>
      <c r="B272" s="6" t="s">
        <v>2730</v>
      </c>
      <c r="C272" s="7" t="s">
        <v>2719</v>
      </c>
      <c r="D272" s="8" t="s">
        <v>49</v>
      </c>
      <c r="E272" s="8" t="s">
        <v>50</v>
      </c>
      <c r="F272" s="9" t="s">
        <v>2720</v>
      </c>
      <c r="G272" s="9" t="s">
        <v>2721</v>
      </c>
      <c r="H272" s="10" t="s">
        <v>4153</v>
      </c>
      <c r="I272" s="10" t="s">
        <v>53</v>
      </c>
      <c r="J272" s="7" t="s">
        <v>2731</v>
      </c>
      <c r="K272" s="10" t="s">
        <v>55</v>
      </c>
      <c r="L272" s="9" t="s">
        <v>2720</v>
      </c>
      <c r="M272" s="9" t="s">
        <v>2721</v>
      </c>
      <c r="N272" s="10" t="s">
        <v>4153</v>
      </c>
      <c r="O272" s="8" t="s">
        <v>53</v>
      </c>
      <c r="P272" s="8" t="s">
        <v>56</v>
      </c>
      <c r="Q272" s="10" t="s">
        <v>2732</v>
      </c>
      <c r="R272" s="10" t="s">
        <v>72</v>
      </c>
      <c r="S272" s="10"/>
      <c r="T272" s="8" t="s">
        <v>73</v>
      </c>
      <c r="U272" s="11">
        <v>37987</v>
      </c>
      <c r="V272" s="12">
        <v>2004</v>
      </c>
      <c r="W272" s="13">
        <v>41023</v>
      </c>
      <c r="X272" s="14">
        <v>2012</v>
      </c>
      <c r="Y272" s="13">
        <v>40909</v>
      </c>
      <c r="Z272" s="14">
        <v>2012</v>
      </c>
      <c r="AA272" s="13">
        <v>40909</v>
      </c>
      <c r="AB272" s="14">
        <v>2012</v>
      </c>
      <c r="AC272" s="14">
        <v>0</v>
      </c>
      <c r="AD272" s="15">
        <v>2012</v>
      </c>
      <c r="AE272" s="27" t="s">
        <v>2733</v>
      </c>
      <c r="AF272" s="8" t="s">
        <v>2724</v>
      </c>
      <c r="AG272" s="28">
        <v>2080000000</v>
      </c>
      <c r="AH272" s="16">
        <v>68000000</v>
      </c>
      <c r="AI272" s="16">
        <v>92906835.540000007</v>
      </c>
      <c r="AJ272" s="16" t="s">
        <v>76</v>
      </c>
      <c r="AK272" s="28">
        <v>867000000</v>
      </c>
      <c r="AL272" s="16">
        <v>27892978.260000002</v>
      </c>
      <c r="AM272" s="16">
        <v>38109534.469999999</v>
      </c>
      <c r="AN272" s="10" t="s">
        <v>64</v>
      </c>
      <c r="AO272" s="8" t="s">
        <v>3757</v>
      </c>
      <c r="AP272" s="43">
        <v>3042</v>
      </c>
      <c r="AQ272" s="43" t="s">
        <v>94</v>
      </c>
      <c r="AR272" s="8" t="s">
        <v>3765</v>
      </c>
      <c r="AS272" s="10" t="s">
        <v>3781</v>
      </c>
      <c r="AT272" s="10" t="s">
        <v>3795</v>
      </c>
      <c r="AU272" s="96"/>
      <c r="AV272" s="17" t="s">
        <v>2734</v>
      </c>
      <c r="AW272" s="10"/>
      <c r="AX272" s="7" t="s">
        <v>4057</v>
      </c>
      <c r="AY272" s="10" t="s">
        <v>2735</v>
      </c>
      <c r="AZ272" s="10" t="s">
        <v>2736</v>
      </c>
      <c r="BA272" s="10" t="s">
        <v>2737</v>
      </c>
      <c r="BB272" s="18"/>
      <c r="BC272" s="41" t="s">
        <v>2738</v>
      </c>
    </row>
    <row r="273" spans="1:55" ht="70" customHeight="1" x14ac:dyDescent="0.2">
      <c r="A273" s="88" t="s">
        <v>4457</v>
      </c>
      <c r="B273" s="6" t="s">
        <v>2739</v>
      </c>
      <c r="C273" s="7" t="s">
        <v>2740</v>
      </c>
      <c r="D273" s="8" t="s">
        <v>49</v>
      </c>
      <c r="E273" s="8" t="s">
        <v>50</v>
      </c>
      <c r="F273" s="9" t="s">
        <v>2741</v>
      </c>
      <c r="G273" s="9" t="s">
        <v>2742</v>
      </c>
      <c r="H273" s="10" t="s">
        <v>4156</v>
      </c>
      <c r="I273" s="10" t="s">
        <v>103</v>
      </c>
      <c r="J273" s="7" t="s">
        <v>2743</v>
      </c>
      <c r="K273" s="10" t="s">
        <v>55</v>
      </c>
      <c r="L273" s="30" t="s">
        <v>2042</v>
      </c>
      <c r="M273" s="30" t="s">
        <v>537</v>
      </c>
      <c r="N273" s="30" t="s">
        <v>4185</v>
      </c>
      <c r="O273" s="30" t="s">
        <v>4185</v>
      </c>
      <c r="P273" s="8" t="s">
        <v>144</v>
      </c>
      <c r="Q273" s="10" t="s">
        <v>2744</v>
      </c>
      <c r="R273" s="10" t="s">
        <v>59</v>
      </c>
      <c r="S273" s="10"/>
      <c r="T273" s="8" t="s">
        <v>60</v>
      </c>
      <c r="U273" s="11">
        <v>29952</v>
      </c>
      <c r="V273" s="12">
        <v>1982</v>
      </c>
      <c r="W273" s="13">
        <v>45282</v>
      </c>
      <c r="X273" s="14">
        <v>2023</v>
      </c>
      <c r="Y273" s="13" t="s">
        <v>94</v>
      </c>
      <c r="Z273" s="13" t="s">
        <v>94</v>
      </c>
      <c r="AA273" s="13" t="s">
        <v>94</v>
      </c>
      <c r="AB273" s="13" t="s">
        <v>94</v>
      </c>
      <c r="AC273" s="13" t="s">
        <v>94</v>
      </c>
      <c r="AD273" s="15"/>
      <c r="AE273" s="27"/>
      <c r="AF273" s="8" t="s">
        <v>2745</v>
      </c>
      <c r="AG273" s="16">
        <v>343673</v>
      </c>
      <c r="AH273" s="16">
        <v>110000</v>
      </c>
      <c r="AI273" s="16">
        <v>113244.38</v>
      </c>
      <c r="AJ273" s="16" t="s">
        <v>76</v>
      </c>
      <c r="AK273" s="28" t="s">
        <v>94</v>
      </c>
      <c r="AL273" s="16" t="s">
        <v>94</v>
      </c>
      <c r="AM273" s="16" t="s">
        <v>94</v>
      </c>
      <c r="AN273" s="10" t="s">
        <v>64</v>
      </c>
      <c r="AO273" s="8" t="s">
        <v>3756</v>
      </c>
      <c r="AP273" s="15">
        <v>1</v>
      </c>
      <c r="AQ273" s="43" t="s">
        <v>94</v>
      </c>
      <c r="AR273" s="8" t="s">
        <v>3764</v>
      </c>
      <c r="AS273" s="10" t="s">
        <v>3781</v>
      </c>
      <c r="AT273" s="10" t="s">
        <v>2746</v>
      </c>
      <c r="AU273" s="96"/>
      <c r="AV273" s="17"/>
      <c r="AW273" s="10"/>
      <c r="AX273" s="7" t="s">
        <v>1161</v>
      </c>
      <c r="AY273" s="10" t="s">
        <v>2747</v>
      </c>
      <c r="AZ273" s="10" t="s">
        <v>2748</v>
      </c>
      <c r="BA273" s="10" t="s">
        <v>2749</v>
      </c>
      <c r="BB273" s="18"/>
      <c r="BC273" s="41" t="s">
        <v>2750</v>
      </c>
    </row>
    <row r="274" spans="1:55" ht="70" customHeight="1" x14ac:dyDescent="0.2">
      <c r="A274" s="88" t="s">
        <v>4458</v>
      </c>
      <c r="B274" s="6" t="s">
        <v>2751</v>
      </c>
      <c r="C274" s="7" t="s">
        <v>2740</v>
      </c>
      <c r="D274" s="8" t="s">
        <v>49</v>
      </c>
      <c r="E274" s="8" t="s">
        <v>50</v>
      </c>
      <c r="F274" s="9" t="s">
        <v>2741</v>
      </c>
      <c r="G274" s="9" t="s">
        <v>2742</v>
      </c>
      <c r="H274" s="10" t="s">
        <v>4156</v>
      </c>
      <c r="I274" s="10" t="s">
        <v>103</v>
      </c>
      <c r="J274" s="7" t="s">
        <v>2752</v>
      </c>
      <c r="K274" s="10" t="s">
        <v>279</v>
      </c>
      <c r="L274" s="30" t="s">
        <v>2042</v>
      </c>
      <c r="M274" s="30" t="s">
        <v>537</v>
      </c>
      <c r="N274" s="30" t="s">
        <v>4185</v>
      </c>
      <c r="O274" s="30" t="s">
        <v>4185</v>
      </c>
      <c r="P274" s="8" t="s">
        <v>144</v>
      </c>
      <c r="Q274" s="10" t="s">
        <v>2744</v>
      </c>
      <c r="R274" s="10" t="s">
        <v>59</v>
      </c>
      <c r="S274" s="10"/>
      <c r="T274" s="8" t="s">
        <v>60</v>
      </c>
      <c r="U274" s="11">
        <v>29952</v>
      </c>
      <c r="V274" s="12">
        <v>1982</v>
      </c>
      <c r="W274" s="13">
        <v>45282</v>
      </c>
      <c r="X274" s="14">
        <v>2023</v>
      </c>
      <c r="Y274" s="13" t="s">
        <v>94</v>
      </c>
      <c r="Z274" s="13" t="s">
        <v>94</v>
      </c>
      <c r="AA274" s="13" t="s">
        <v>94</v>
      </c>
      <c r="AB274" s="13" t="s">
        <v>94</v>
      </c>
      <c r="AC274" s="13" t="s">
        <v>94</v>
      </c>
      <c r="AD274" s="15"/>
      <c r="AE274" s="27"/>
      <c r="AF274" s="8" t="s">
        <v>2745</v>
      </c>
      <c r="AG274" s="16">
        <v>1100000</v>
      </c>
      <c r="AH274" s="16">
        <v>350000</v>
      </c>
      <c r="AI274" s="16">
        <v>360323.04</v>
      </c>
      <c r="AJ274" s="16" t="s">
        <v>76</v>
      </c>
      <c r="AK274" s="28" t="s">
        <v>94</v>
      </c>
      <c r="AL274" s="16" t="s">
        <v>94</v>
      </c>
      <c r="AM274" s="16" t="s">
        <v>94</v>
      </c>
      <c r="AN274" s="10" t="s">
        <v>149</v>
      </c>
      <c r="AO274" s="8" t="s">
        <v>3756</v>
      </c>
      <c r="AP274" s="43" t="s">
        <v>151</v>
      </c>
      <c r="AQ274" s="43" t="s">
        <v>151</v>
      </c>
      <c r="AR274" s="8" t="s">
        <v>3764</v>
      </c>
      <c r="AS274" s="10" t="s">
        <v>3781</v>
      </c>
      <c r="AT274" s="10" t="s">
        <v>2746</v>
      </c>
      <c r="AU274" s="98"/>
      <c r="AV274" s="17"/>
      <c r="AW274" s="10"/>
      <c r="AX274" s="7" t="s">
        <v>2753</v>
      </c>
      <c r="AY274" s="10" t="s">
        <v>2754</v>
      </c>
      <c r="AZ274" s="10" t="s">
        <v>2755</v>
      </c>
      <c r="BA274" s="10" t="s">
        <v>2756</v>
      </c>
      <c r="BB274" s="18"/>
      <c r="BC274" s="41" t="s">
        <v>2750</v>
      </c>
    </row>
    <row r="275" spans="1:55" ht="70" customHeight="1" x14ac:dyDescent="0.2">
      <c r="A275" s="88" t="s">
        <v>4459</v>
      </c>
      <c r="B275" s="6" t="s">
        <v>2757</v>
      </c>
      <c r="C275" s="7" t="s">
        <v>2758</v>
      </c>
      <c r="D275" s="8" t="s">
        <v>49</v>
      </c>
      <c r="E275" s="8" t="s">
        <v>50</v>
      </c>
      <c r="F275" s="9" t="s">
        <v>4584</v>
      </c>
      <c r="G275" s="9" t="s">
        <v>1590</v>
      </c>
      <c r="H275" s="10" t="s">
        <v>4154</v>
      </c>
      <c r="I275" s="10" t="s">
        <v>53</v>
      </c>
      <c r="J275" s="7" t="s">
        <v>2759</v>
      </c>
      <c r="K275" s="10" t="s">
        <v>55</v>
      </c>
      <c r="L275" s="9" t="s">
        <v>4584</v>
      </c>
      <c r="M275" s="9" t="s">
        <v>1590</v>
      </c>
      <c r="N275" s="10" t="s">
        <v>4154</v>
      </c>
      <c r="O275" s="8" t="s">
        <v>53</v>
      </c>
      <c r="P275" s="8" t="s">
        <v>56</v>
      </c>
      <c r="Q275" s="10" t="s">
        <v>2760</v>
      </c>
      <c r="R275" s="10" t="s">
        <v>72</v>
      </c>
      <c r="S275" s="10"/>
      <c r="T275" s="8" t="s">
        <v>73</v>
      </c>
      <c r="U275" s="11">
        <v>31977</v>
      </c>
      <c r="V275" s="12">
        <v>1987</v>
      </c>
      <c r="W275" s="13">
        <v>38185</v>
      </c>
      <c r="X275" s="14">
        <v>2004</v>
      </c>
      <c r="Y275" s="13">
        <v>38195</v>
      </c>
      <c r="Z275" s="15">
        <v>2004</v>
      </c>
      <c r="AA275" s="13" t="s">
        <v>94</v>
      </c>
      <c r="AB275" s="13" t="s">
        <v>94</v>
      </c>
      <c r="AC275" s="13" t="s">
        <v>94</v>
      </c>
      <c r="AD275" s="15"/>
      <c r="AE275" s="27"/>
      <c r="AF275" s="8" t="s">
        <v>75</v>
      </c>
      <c r="AG275" s="28">
        <v>1000000000</v>
      </c>
      <c r="AH275" s="16">
        <v>1243902316.5999999</v>
      </c>
      <c r="AI275" s="16">
        <v>2065635118.01</v>
      </c>
      <c r="AJ275" s="16" t="s">
        <v>76</v>
      </c>
      <c r="AK275" s="28" t="s">
        <v>94</v>
      </c>
      <c r="AL275" s="16" t="s">
        <v>94</v>
      </c>
      <c r="AM275" s="16" t="s">
        <v>94</v>
      </c>
      <c r="AN275" s="10" t="s">
        <v>64</v>
      </c>
      <c r="AO275" s="8" t="s">
        <v>3757</v>
      </c>
      <c r="AP275" s="43">
        <v>300000</v>
      </c>
      <c r="AQ275" s="43" t="s">
        <v>94</v>
      </c>
      <c r="AR275" s="8" t="s">
        <v>3765</v>
      </c>
      <c r="AS275" s="10" t="s">
        <v>269</v>
      </c>
      <c r="AT275" s="10" t="s">
        <v>3795</v>
      </c>
      <c r="AU275" s="96"/>
      <c r="AV275" s="17" t="s">
        <v>4160</v>
      </c>
      <c r="AW275" s="10" t="s">
        <v>2761</v>
      </c>
      <c r="AX275" s="7" t="s">
        <v>1015</v>
      </c>
      <c r="AY275" s="10" t="s">
        <v>2762</v>
      </c>
      <c r="AZ275" s="10" t="s">
        <v>2763</v>
      </c>
      <c r="BA275" s="10" t="s">
        <v>2764</v>
      </c>
      <c r="BB275" s="18"/>
      <c r="BC275" s="41" t="s">
        <v>2765</v>
      </c>
    </row>
    <row r="276" spans="1:55" ht="70" customHeight="1" x14ac:dyDescent="0.2">
      <c r="A276" s="88" t="s">
        <v>4460</v>
      </c>
      <c r="B276" s="6" t="s">
        <v>2766</v>
      </c>
      <c r="C276" s="7" t="s">
        <v>2758</v>
      </c>
      <c r="D276" s="8" t="s">
        <v>49</v>
      </c>
      <c r="E276" s="8" t="s">
        <v>50</v>
      </c>
      <c r="F276" s="9" t="s">
        <v>4584</v>
      </c>
      <c r="G276" s="9" t="s">
        <v>1590</v>
      </c>
      <c r="H276" s="10" t="s">
        <v>4154</v>
      </c>
      <c r="I276" s="10" t="s">
        <v>53</v>
      </c>
      <c r="J276" s="7" t="s">
        <v>2767</v>
      </c>
      <c r="K276" s="10" t="s">
        <v>55</v>
      </c>
      <c r="L276" s="30" t="s">
        <v>2042</v>
      </c>
      <c r="M276" s="30" t="s">
        <v>537</v>
      </c>
      <c r="N276" s="30" t="s">
        <v>4185</v>
      </c>
      <c r="O276" s="30" t="s">
        <v>4185</v>
      </c>
      <c r="P276" s="8" t="s">
        <v>144</v>
      </c>
      <c r="Q276" s="10" t="s">
        <v>2768</v>
      </c>
      <c r="R276" s="10" t="s">
        <v>58</v>
      </c>
      <c r="S276" s="10"/>
      <c r="T276" s="8" t="s">
        <v>60</v>
      </c>
      <c r="U276" s="11">
        <v>27230</v>
      </c>
      <c r="V276" s="12">
        <v>1974</v>
      </c>
      <c r="W276" s="13" t="s">
        <v>94</v>
      </c>
      <c r="X276" s="14">
        <v>2005</v>
      </c>
      <c r="Y276" s="13">
        <v>38353</v>
      </c>
      <c r="Z276" s="14">
        <v>2005</v>
      </c>
      <c r="AA276" s="13">
        <v>45292</v>
      </c>
      <c r="AB276" s="14">
        <v>2024</v>
      </c>
      <c r="AC276" s="14">
        <v>19</v>
      </c>
      <c r="AD276" s="15">
        <v>2024</v>
      </c>
      <c r="AE276" s="27" t="s">
        <v>2107</v>
      </c>
      <c r="AF276" s="8" t="s">
        <v>891</v>
      </c>
      <c r="AG276" s="28">
        <v>446200000</v>
      </c>
      <c r="AH276" s="16">
        <v>570285895.53999996</v>
      </c>
      <c r="AI276" s="16">
        <v>570285895.53999996</v>
      </c>
      <c r="AJ276" s="16" t="s">
        <v>63</v>
      </c>
      <c r="AK276" s="28">
        <v>446200000</v>
      </c>
      <c r="AL276" s="16">
        <v>570285895.53999996</v>
      </c>
      <c r="AM276" s="16">
        <v>570285895.53999996</v>
      </c>
      <c r="AN276" s="10" t="s">
        <v>64</v>
      </c>
      <c r="AO276" s="8" t="s">
        <v>3757</v>
      </c>
      <c r="AP276" s="43">
        <v>1840</v>
      </c>
      <c r="AQ276" s="43">
        <v>1840</v>
      </c>
      <c r="AR276" s="8" t="s">
        <v>3761</v>
      </c>
      <c r="AS276" s="10" t="s">
        <v>3781</v>
      </c>
      <c r="AT276" s="10" t="s">
        <v>4157</v>
      </c>
      <c r="AU276" s="96"/>
      <c r="AV276" s="17"/>
      <c r="AW276" s="10" t="s">
        <v>2769</v>
      </c>
      <c r="AX276" s="7" t="s">
        <v>2770</v>
      </c>
      <c r="AY276" s="10" t="s">
        <v>2771</v>
      </c>
      <c r="AZ276" s="10" t="s">
        <v>2772</v>
      </c>
      <c r="BA276" s="10" t="s">
        <v>2773</v>
      </c>
      <c r="BB276" s="18" t="s">
        <v>2774</v>
      </c>
      <c r="BC276" s="41" t="s">
        <v>2775</v>
      </c>
    </row>
    <row r="277" spans="1:55" ht="70" customHeight="1" x14ac:dyDescent="0.2">
      <c r="A277" s="88" t="s">
        <v>4461</v>
      </c>
      <c r="B277" s="6" t="s">
        <v>2776</v>
      </c>
      <c r="C277" s="7" t="s">
        <v>2758</v>
      </c>
      <c r="D277" s="8" t="s">
        <v>49</v>
      </c>
      <c r="E277" s="8" t="s">
        <v>50</v>
      </c>
      <c r="F277" s="9" t="s">
        <v>4584</v>
      </c>
      <c r="G277" s="9" t="s">
        <v>1590</v>
      </c>
      <c r="H277" s="10" t="s">
        <v>4154</v>
      </c>
      <c r="I277" s="10" t="s">
        <v>53</v>
      </c>
      <c r="J277" s="7" t="s">
        <v>2777</v>
      </c>
      <c r="K277" s="10" t="s">
        <v>55</v>
      </c>
      <c r="L277" s="9" t="s">
        <v>2778</v>
      </c>
      <c r="M277" s="9" t="s">
        <v>2779</v>
      </c>
      <c r="N277" s="10" t="s">
        <v>4154</v>
      </c>
      <c r="O277" s="8" t="s">
        <v>140</v>
      </c>
      <c r="P277" s="8" t="s">
        <v>144</v>
      </c>
      <c r="Q277" s="10" t="s">
        <v>2780</v>
      </c>
      <c r="R277" s="10" t="s">
        <v>529</v>
      </c>
      <c r="S277" s="10"/>
      <c r="T277" s="8" t="s">
        <v>73</v>
      </c>
      <c r="U277" s="11">
        <v>27230</v>
      </c>
      <c r="V277" s="12">
        <v>1974</v>
      </c>
      <c r="W277" s="13">
        <v>41771</v>
      </c>
      <c r="X277" s="14">
        <v>2014</v>
      </c>
      <c r="Y277" s="28" t="s">
        <v>384</v>
      </c>
      <c r="Z277" s="28" t="s">
        <v>384</v>
      </c>
      <c r="AA277" s="28" t="s">
        <v>384</v>
      </c>
      <c r="AB277" s="28" t="s">
        <v>384</v>
      </c>
      <c r="AC277" s="13" t="s">
        <v>94</v>
      </c>
      <c r="AD277" s="13"/>
      <c r="AE277" s="27"/>
      <c r="AF277" s="8" t="s">
        <v>75</v>
      </c>
      <c r="AG277" s="16">
        <v>90000000</v>
      </c>
      <c r="AH277" s="16">
        <v>123000000</v>
      </c>
      <c r="AI277" s="16">
        <v>162982170.00999999</v>
      </c>
      <c r="AJ277" s="16" t="s">
        <v>76</v>
      </c>
      <c r="AK277" s="28" t="s">
        <v>384</v>
      </c>
      <c r="AL277" s="28" t="s">
        <v>384</v>
      </c>
      <c r="AM277" s="28" t="s">
        <v>384</v>
      </c>
      <c r="AN277" s="10" t="s">
        <v>64</v>
      </c>
      <c r="AO277" s="8" t="s">
        <v>3757</v>
      </c>
      <c r="AP277" s="15" t="s">
        <v>94</v>
      </c>
      <c r="AQ277" s="15" t="s">
        <v>94</v>
      </c>
      <c r="AR277" s="8" t="s">
        <v>3761</v>
      </c>
      <c r="AS277" s="10" t="s">
        <v>269</v>
      </c>
      <c r="AT277" s="10" t="s">
        <v>4157</v>
      </c>
      <c r="AU277" s="96"/>
      <c r="AV277" s="17" t="s">
        <v>2781</v>
      </c>
      <c r="AW277" s="10" t="s">
        <v>2782</v>
      </c>
      <c r="AX277" s="7" t="s">
        <v>4058</v>
      </c>
      <c r="AY277" s="10" t="s">
        <v>2783</v>
      </c>
      <c r="AZ277" s="10" t="s">
        <v>2784</v>
      </c>
      <c r="BA277" s="10" t="s">
        <v>2785</v>
      </c>
      <c r="BB277" s="18"/>
      <c r="BC277" s="41" t="s">
        <v>2786</v>
      </c>
    </row>
    <row r="278" spans="1:55" ht="70" customHeight="1" x14ac:dyDescent="0.2">
      <c r="A278" s="88" t="s">
        <v>4462</v>
      </c>
      <c r="B278" s="6" t="s">
        <v>2787</v>
      </c>
      <c r="C278" s="7" t="s">
        <v>2788</v>
      </c>
      <c r="D278" s="8" t="s">
        <v>49</v>
      </c>
      <c r="E278" s="8" t="s">
        <v>50</v>
      </c>
      <c r="F278" s="9" t="s">
        <v>2146</v>
      </c>
      <c r="G278" s="9" t="s">
        <v>2147</v>
      </c>
      <c r="H278" s="10" t="s">
        <v>380</v>
      </c>
      <c r="I278" s="10" t="s">
        <v>381</v>
      </c>
      <c r="J278" s="7" t="s">
        <v>377</v>
      </c>
      <c r="K278" s="10" t="s">
        <v>49</v>
      </c>
      <c r="L278" s="9" t="s">
        <v>377</v>
      </c>
      <c r="M278" s="9" t="s">
        <v>379</v>
      </c>
      <c r="N278" s="10" t="s">
        <v>380</v>
      </c>
      <c r="O278" s="8" t="s">
        <v>381</v>
      </c>
      <c r="P278" s="8" t="s">
        <v>144</v>
      </c>
      <c r="Q278" s="10" t="s">
        <v>2789</v>
      </c>
      <c r="R278" s="10" t="s">
        <v>72</v>
      </c>
      <c r="S278" s="10"/>
      <c r="T278" s="8" t="s">
        <v>73</v>
      </c>
      <c r="U278" s="11">
        <v>35796</v>
      </c>
      <c r="V278" s="12">
        <v>1998</v>
      </c>
      <c r="W278" s="13">
        <v>44593</v>
      </c>
      <c r="X278" s="14">
        <v>2022</v>
      </c>
      <c r="Y278" s="13">
        <v>44805</v>
      </c>
      <c r="Z278" s="40">
        <v>2022</v>
      </c>
      <c r="AA278" s="13">
        <v>44805</v>
      </c>
      <c r="AB278" s="40">
        <v>2022</v>
      </c>
      <c r="AC278" s="14">
        <v>0</v>
      </c>
      <c r="AD278" s="15">
        <v>2022</v>
      </c>
      <c r="AE278" s="27" t="s">
        <v>2790</v>
      </c>
      <c r="AF278" s="8" t="s">
        <v>106</v>
      </c>
      <c r="AG278" s="16">
        <v>325000000</v>
      </c>
      <c r="AH278" s="16">
        <v>325000000</v>
      </c>
      <c r="AI278" s="16">
        <v>348358732.98000002</v>
      </c>
      <c r="AJ278" s="16" t="s">
        <v>76</v>
      </c>
      <c r="AK278" s="28">
        <v>65000000</v>
      </c>
      <c r="AL278" s="16">
        <v>65000000</v>
      </c>
      <c r="AM278" s="16">
        <v>69671746.599999994</v>
      </c>
      <c r="AN278" s="10" t="s">
        <v>149</v>
      </c>
      <c r="AO278" s="8" t="s">
        <v>150</v>
      </c>
      <c r="AP278" s="15" t="s">
        <v>151</v>
      </c>
      <c r="AQ278" s="15" t="s">
        <v>151</v>
      </c>
      <c r="AR278" s="8" t="s">
        <v>3761</v>
      </c>
      <c r="AS278" s="10" t="s">
        <v>3805</v>
      </c>
      <c r="AT278" s="18" t="s">
        <v>3199</v>
      </c>
      <c r="AU278" s="96"/>
      <c r="AV278" s="17" t="s">
        <v>2791</v>
      </c>
      <c r="AW278" s="10" t="s">
        <v>2318</v>
      </c>
      <c r="AX278" s="7" t="s">
        <v>2792</v>
      </c>
      <c r="AY278" s="10" t="s">
        <v>2793</v>
      </c>
      <c r="AZ278" s="10" t="s">
        <v>2794</v>
      </c>
      <c r="BA278" s="10" t="s">
        <v>2795</v>
      </c>
      <c r="BB278" s="18" t="s">
        <v>2796</v>
      </c>
      <c r="BC278" s="41" t="s">
        <v>2797</v>
      </c>
    </row>
    <row r="279" spans="1:55" ht="69" customHeight="1" x14ac:dyDescent="0.2">
      <c r="A279" s="91" t="s">
        <v>4463</v>
      </c>
      <c r="B279" s="76" t="s">
        <v>2798</v>
      </c>
      <c r="C279" s="19" t="s">
        <v>2799</v>
      </c>
      <c r="D279" s="8" t="s">
        <v>49</v>
      </c>
      <c r="E279" s="31" t="s">
        <v>50</v>
      </c>
      <c r="F279" s="32" t="s">
        <v>2083</v>
      </c>
      <c r="G279" s="32" t="s">
        <v>2084</v>
      </c>
      <c r="H279" s="10" t="s">
        <v>4154</v>
      </c>
      <c r="I279" s="18" t="s">
        <v>140</v>
      </c>
      <c r="J279" s="19" t="s">
        <v>2800</v>
      </c>
      <c r="K279" s="10" t="s">
        <v>55</v>
      </c>
      <c r="L279" s="9" t="s">
        <v>2083</v>
      </c>
      <c r="M279" s="9" t="s">
        <v>2084</v>
      </c>
      <c r="N279" s="10" t="s">
        <v>4154</v>
      </c>
      <c r="O279" s="8" t="s">
        <v>140</v>
      </c>
      <c r="P279" s="31" t="s">
        <v>56</v>
      </c>
      <c r="Q279" s="18" t="s">
        <v>2801</v>
      </c>
      <c r="R279" s="10" t="s">
        <v>72</v>
      </c>
      <c r="S279" s="18"/>
      <c r="T279" s="31" t="s">
        <v>73</v>
      </c>
      <c r="U279" s="11">
        <v>24838</v>
      </c>
      <c r="V279" s="57">
        <v>1968</v>
      </c>
      <c r="W279" s="13" t="s">
        <v>94</v>
      </c>
      <c r="X279" s="36">
        <v>1969</v>
      </c>
      <c r="Y279" s="13">
        <v>25204</v>
      </c>
      <c r="Z279" s="36">
        <v>1969</v>
      </c>
      <c r="AA279" s="13">
        <v>35796</v>
      </c>
      <c r="AB279" s="36">
        <v>1998</v>
      </c>
      <c r="AC279" s="40">
        <v>29</v>
      </c>
      <c r="AD279" s="40">
        <v>1998</v>
      </c>
      <c r="AE279" s="39"/>
      <c r="AF279" s="31" t="s">
        <v>891</v>
      </c>
      <c r="AG279" s="37">
        <v>186000000</v>
      </c>
      <c r="AH279" s="37">
        <v>308036985.95999998</v>
      </c>
      <c r="AI279" s="16">
        <v>592808675.38999999</v>
      </c>
      <c r="AJ279" s="16" t="s">
        <v>63</v>
      </c>
      <c r="AK279" s="37">
        <v>186000000</v>
      </c>
      <c r="AL279" s="37">
        <v>308036985.95999998</v>
      </c>
      <c r="AM279" s="16">
        <v>592808675.38999999</v>
      </c>
      <c r="AN279" s="10" t="s">
        <v>64</v>
      </c>
      <c r="AO279" s="8" t="s">
        <v>3757</v>
      </c>
      <c r="AP279" s="15" t="s">
        <v>94</v>
      </c>
      <c r="AQ279" s="15" t="s">
        <v>94</v>
      </c>
      <c r="AR279" s="8" t="s">
        <v>3765</v>
      </c>
      <c r="AS279" s="10" t="s">
        <v>3781</v>
      </c>
      <c r="AT279" s="10" t="s">
        <v>3795</v>
      </c>
      <c r="AU279" s="98"/>
      <c r="AV279" s="20"/>
      <c r="AW279" s="10"/>
      <c r="AX279" s="45" t="s">
        <v>3856</v>
      </c>
      <c r="AY279" s="10" t="s">
        <v>2802</v>
      </c>
      <c r="AZ279" s="10" t="s">
        <v>2803</v>
      </c>
      <c r="BA279" s="10" t="s">
        <v>2804</v>
      </c>
      <c r="BB279" s="18" t="s">
        <v>2805</v>
      </c>
      <c r="BC279" s="18" t="s">
        <v>4092</v>
      </c>
    </row>
    <row r="280" spans="1:55" ht="70" customHeight="1" x14ac:dyDescent="0.2">
      <c r="A280" s="91" t="s">
        <v>4464</v>
      </c>
      <c r="B280" s="76" t="s">
        <v>2806</v>
      </c>
      <c r="C280" s="19" t="s">
        <v>2799</v>
      </c>
      <c r="D280" s="8" t="s">
        <v>49</v>
      </c>
      <c r="E280" s="8" t="s">
        <v>50</v>
      </c>
      <c r="F280" s="32" t="s">
        <v>2083</v>
      </c>
      <c r="G280" s="32" t="s">
        <v>2084</v>
      </c>
      <c r="H280" s="10" t="s">
        <v>4154</v>
      </c>
      <c r="I280" s="18" t="s">
        <v>140</v>
      </c>
      <c r="J280" s="19" t="s">
        <v>2807</v>
      </c>
      <c r="K280" s="10" t="s">
        <v>55</v>
      </c>
      <c r="L280" s="9" t="s">
        <v>2083</v>
      </c>
      <c r="M280" s="9" t="s">
        <v>2084</v>
      </c>
      <c r="N280" s="10" t="s">
        <v>4154</v>
      </c>
      <c r="O280" s="8" t="s">
        <v>140</v>
      </c>
      <c r="P280" s="31" t="s">
        <v>56</v>
      </c>
      <c r="Q280" s="18" t="s">
        <v>2808</v>
      </c>
      <c r="R280" s="10" t="s">
        <v>72</v>
      </c>
      <c r="S280" s="18"/>
      <c r="T280" s="31" t="s">
        <v>60</v>
      </c>
      <c r="U280" s="33">
        <v>27728</v>
      </c>
      <c r="V280" s="34">
        <v>1975</v>
      </c>
      <c r="W280" s="35">
        <v>32800</v>
      </c>
      <c r="X280" s="36">
        <v>1989</v>
      </c>
      <c r="Y280" s="13">
        <v>32509</v>
      </c>
      <c r="Z280" s="36">
        <v>1989</v>
      </c>
      <c r="AA280" s="13">
        <v>32509</v>
      </c>
      <c r="AB280" s="36">
        <v>1989</v>
      </c>
      <c r="AC280" s="14">
        <v>0</v>
      </c>
      <c r="AD280" s="15">
        <v>1989</v>
      </c>
      <c r="AE280" s="39"/>
      <c r="AF280" s="31" t="s">
        <v>891</v>
      </c>
      <c r="AG280" s="37">
        <v>2000000</v>
      </c>
      <c r="AH280" s="38">
        <v>3272397.21</v>
      </c>
      <c r="AI280" s="16">
        <v>8278346.8399999999</v>
      </c>
      <c r="AJ280" s="16" t="s">
        <v>76</v>
      </c>
      <c r="AK280" s="37">
        <v>2000000</v>
      </c>
      <c r="AL280" s="38">
        <v>3272397.21</v>
      </c>
      <c r="AM280" s="16">
        <v>8278346.8399999999</v>
      </c>
      <c r="AN280" s="10" t="s">
        <v>64</v>
      </c>
      <c r="AO280" s="8" t="s">
        <v>3756</v>
      </c>
      <c r="AP280" s="15">
        <v>4</v>
      </c>
      <c r="AQ280" s="15">
        <v>4</v>
      </c>
      <c r="AR280" s="8" t="s">
        <v>3764</v>
      </c>
      <c r="AS280" s="8" t="s">
        <v>3778</v>
      </c>
      <c r="AT280" s="10" t="s">
        <v>3795</v>
      </c>
      <c r="AU280" s="98"/>
      <c r="AV280" s="20" t="s">
        <v>2809</v>
      </c>
      <c r="AW280" s="10"/>
      <c r="AX280" s="7" t="s">
        <v>3857</v>
      </c>
      <c r="AY280" s="10" t="s">
        <v>2810</v>
      </c>
      <c r="AZ280" s="10" t="s">
        <v>2811</v>
      </c>
      <c r="BA280" s="10" t="s">
        <v>2812</v>
      </c>
      <c r="BB280" s="18"/>
      <c r="BC280" s="41" t="s">
        <v>2813</v>
      </c>
    </row>
    <row r="281" spans="1:55" ht="70" customHeight="1" x14ac:dyDescent="0.2">
      <c r="A281" s="91" t="s">
        <v>4465</v>
      </c>
      <c r="B281" s="76" t="s">
        <v>2814</v>
      </c>
      <c r="C281" s="19" t="s">
        <v>2815</v>
      </c>
      <c r="D281" s="8" t="s">
        <v>49</v>
      </c>
      <c r="E281" s="8" t="s">
        <v>50</v>
      </c>
      <c r="F281" s="32" t="s">
        <v>2083</v>
      </c>
      <c r="G281" s="32" t="s">
        <v>2084</v>
      </c>
      <c r="H281" s="10" t="s">
        <v>4154</v>
      </c>
      <c r="I281" s="18" t="s">
        <v>140</v>
      </c>
      <c r="J281" s="19" t="s">
        <v>2816</v>
      </c>
      <c r="K281" s="10" t="s">
        <v>55</v>
      </c>
      <c r="L281" s="9" t="s">
        <v>2083</v>
      </c>
      <c r="M281" s="9" t="s">
        <v>2084</v>
      </c>
      <c r="N281" s="10" t="s">
        <v>4154</v>
      </c>
      <c r="O281" s="8" t="s">
        <v>140</v>
      </c>
      <c r="P281" s="31" t="s">
        <v>56</v>
      </c>
      <c r="Q281" s="18" t="s">
        <v>2817</v>
      </c>
      <c r="R281" s="10" t="s">
        <v>584</v>
      </c>
      <c r="S281" s="18"/>
      <c r="T281" s="31" t="s">
        <v>73</v>
      </c>
      <c r="U281" s="33">
        <v>32613</v>
      </c>
      <c r="V281" s="34">
        <v>1989</v>
      </c>
      <c r="W281" s="35">
        <v>32813</v>
      </c>
      <c r="X281" s="36">
        <v>1989</v>
      </c>
      <c r="Y281" s="13">
        <v>32509</v>
      </c>
      <c r="Z281" s="36">
        <v>1989</v>
      </c>
      <c r="AA281" s="13">
        <v>36161</v>
      </c>
      <c r="AB281" s="36">
        <v>1999</v>
      </c>
      <c r="AC281" s="14">
        <v>10</v>
      </c>
      <c r="AD281" s="15">
        <v>1999</v>
      </c>
      <c r="AE281" s="39" t="s">
        <v>2818</v>
      </c>
      <c r="AF281" s="31" t="s">
        <v>891</v>
      </c>
      <c r="AG281" s="38">
        <v>19800000</v>
      </c>
      <c r="AH281" s="38">
        <v>32035888.219999999</v>
      </c>
      <c r="AI281" s="16">
        <v>60319962.420000002</v>
      </c>
      <c r="AJ281" s="16" t="s">
        <v>63</v>
      </c>
      <c r="AK281" s="38">
        <v>19800000</v>
      </c>
      <c r="AL281" s="38">
        <v>32035888.219999999</v>
      </c>
      <c r="AM281" s="16">
        <v>60319962.420000002</v>
      </c>
      <c r="AN281" s="10" t="s">
        <v>64</v>
      </c>
      <c r="AO281" s="8" t="s">
        <v>3757</v>
      </c>
      <c r="AP281" s="43">
        <v>1500</v>
      </c>
      <c r="AQ281" s="43">
        <v>1500</v>
      </c>
      <c r="AR281" s="8" t="s">
        <v>3764</v>
      </c>
      <c r="AS281" s="10" t="s">
        <v>3781</v>
      </c>
      <c r="AT281" s="10" t="s">
        <v>3795</v>
      </c>
      <c r="AU281" s="98"/>
      <c r="AV281" s="20" t="s">
        <v>2819</v>
      </c>
      <c r="AW281" s="10" t="s">
        <v>2820</v>
      </c>
      <c r="AX281" s="7" t="s">
        <v>303</v>
      </c>
      <c r="AY281" s="10" t="s">
        <v>2821</v>
      </c>
      <c r="AZ281" s="10" t="s">
        <v>2822</v>
      </c>
      <c r="BA281" s="10" t="s">
        <v>2823</v>
      </c>
      <c r="BB281" s="18" t="s">
        <v>2824</v>
      </c>
      <c r="BC281" s="41" t="s">
        <v>2825</v>
      </c>
    </row>
    <row r="282" spans="1:55" ht="69" customHeight="1" x14ac:dyDescent="0.2">
      <c r="A282" s="91" t="s">
        <v>4466</v>
      </c>
      <c r="B282" s="76" t="s">
        <v>2826</v>
      </c>
      <c r="C282" s="19" t="s">
        <v>2799</v>
      </c>
      <c r="D282" s="8" t="s">
        <v>49</v>
      </c>
      <c r="E282" s="31" t="s">
        <v>50</v>
      </c>
      <c r="F282" s="32" t="s">
        <v>2083</v>
      </c>
      <c r="G282" s="32" t="s">
        <v>2084</v>
      </c>
      <c r="H282" s="10" t="s">
        <v>4154</v>
      </c>
      <c r="I282" s="18" t="s">
        <v>140</v>
      </c>
      <c r="J282" s="19" t="s">
        <v>2827</v>
      </c>
      <c r="K282" s="10" t="s">
        <v>55</v>
      </c>
      <c r="L282" s="9" t="s">
        <v>2269</v>
      </c>
      <c r="M282" s="9" t="s">
        <v>2270</v>
      </c>
      <c r="N282" s="10" t="s">
        <v>4153</v>
      </c>
      <c r="O282" s="8" t="s">
        <v>140</v>
      </c>
      <c r="P282" s="31" t="s">
        <v>144</v>
      </c>
      <c r="Q282" s="18" t="s">
        <v>2828</v>
      </c>
      <c r="R282" s="18" t="s">
        <v>58</v>
      </c>
      <c r="S282" s="18"/>
      <c r="T282" s="31" t="s">
        <v>60</v>
      </c>
      <c r="U282" s="33" t="s">
        <v>2273</v>
      </c>
      <c r="V282" s="34">
        <v>1840</v>
      </c>
      <c r="W282" s="80">
        <v>34841</v>
      </c>
      <c r="X282" s="36">
        <v>1995</v>
      </c>
      <c r="Y282" s="13">
        <v>34700</v>
      </c>
      <c r="Z282" s="36">
        <v>1995</v>
      </c>
      <c r="AA282" s="13">
        <v>44562</v>
      </c>
      <c r="AB282" s="36">
        <v>2022</v>
      </c>
      <c r="AC282" s="14">
        <v>27</v>
      </c>
      <c r="AD282" s="15">
        <v>2022</v>
      </c>
      <c r="AE282" s="39" t="s">
        <v>2829</v>
      </c>
      <c r="AF282" s="31" t="s">
        <v>2284</v>
      </c>
      <c r="AG282" s="38">
        <v>390000000</v>
      </c>
      <c r="AH282" s="38">
        <v>247276262.53999999</v>
      </c>
      <c r="AI282" s="16">
        <v>265048755.43000001</v>
      </c>
      <c r="AJ282" s="16" t="s">
        <v>63</v>
      </c>
      <c r="AK282" s="38">
        <v>390000000</v>
      </c>
      <c r="AL282" s="38">
        <v>247276262.53999999</v>
      </c>
      <c r="AM282" s="16">
        <v>265048755.43000001</v>
      </c>
      <c r="AN282" s="10" t="s">
        <v>149</v>
      </c>
      <c r="AO282" s="8" t="s">
        <v>3756</v>
      </c>
      <c r="AP282" s="15" t="s">
        <v>151</v>
      </c>
      <c r="AQ282" s="15" t="s">
        <v>151</v>
      </c>
      <c r="AR282" s="8" t="s">
        <v>3769</v>
      </c>
      <c r="AS282" s="68" t="s">
        <v>269</v>
      </c>
      <c r="AT282" s="10" t="s">
        <v>3795</v>
      </c>
      <c r="AU282" s="98"/>
      <c r="AV282" s="20" t="s">
        <v>2830</v>
      </c>
      <c r="AW282" s="10"/>
      <c r="AX282" s="7" t="s">
        <v>3858</v>
      </c>
      <c r="AY282" s="10" t="s">
        <v>4105</v>
      </c>
      <c r="AZ282" s="10" t="s">
        <v>4106</v>
      </c>
      <c r="BA282" s="10" t="s">
        <v>2831</v>
      </c>
      <c r="BB282" s="18" t="s">
        <v>2832</v>
      </c>
      <c r="BC282" s="41" t="s">
        <v>2833</v>
      </c>
    </row>
    <row r="283" spans="1:55" ht="70" customHeight="1" x14ac:dyDescent="0.2">
      <c r="A283" s="93" t="s">
        <v>4467</v>
      </c>
      <c r="B283" s="76" t="s">
        <v>2834</v>
      </c>
      <c r="C283" s="19" t="s">
        <v>2835</v>
      </c>
      <c r="D283" s="18" t="s">
        <v>279</v>
      </c>
      <c r="E283" s="8" t="s">
        <v>280</v>
      </c>
      <c r="F283" s="77" t="s">
        <v>2083</v>
      </c>
      <c r="G283" s="32" t="s">
        <v>2084</v>
      </c>
      <c r="H283" s="10" t="s">
        <v>4154</v>
      </c>
      <c r="I283" s="18" t="s">
        <v>140</v>
      </c>
      <c r="J283" s="19" t="s">
        <v>2836</v>
      </c>
      <c r="K283" s="10" t="s">
        <v>55</v>
      </c>
      <c r="L283" s="56" t="s">
        <v>1078</v>
      </c>
      <c r="M283" s="56" t="s">
        <v>1079</v>
      </c>
      <c r="N283" s="10" t="s">
        <v>4154</v>
      </c>
      <c r="O283" s="10" t="s">
        <v>140</v>
      </c>
      <c r="P283" s="18" t="s">
        <v>144</v>
      </c>
      <c r="Q283" s="18" t="s">
        <v>1081</v>
      </c>
      <c r="R283" s="18" t="s">
        <v>177</v>
      </c>
      <c r="S283" s="18" t="s">
        <v>59</v>
      </c>
      <c r="T283" s="18" t="s">
        <v>60</v>
      </c>
      <c r="U283" s="78">
        <v>14611</v>
      </c>
      <c r="V283" s="79">
        <v>1940</v>
      </c>
      <c r="W283" s="80">
        <v>36146</v>
      </c>
      <c r="X283" s="81">
        <v>1998</v>
      </c>
      <c r="Y283" s="18" t="s">
        <v>94</v>
      </c>
      <c r="Z283" s="18" t="s">
        <v>94</v>
      </c>
      <c r="AA283" s="18" t="s">
        <v>94</v>
      </c>
      <c r="AB283" s="18" t="s">
        <v>94</v>
      </c>
      <c r="AC283" s="18" t="s">
        <v>94</v>
      </c>
      <c r="AD283" s="82"/>
      <c r="AE283" s="18"/>
      <c r="AF283" s="18" t="s">
        <v>106</v>
      </c>
      <c r="AG283" s="83">
        <v>3600000</v>
      </c>
      <c r="AH283" s="83">
        <v>3600000</v>
      </c>
      <c r="AI283" s="38">
        <v>6928100.6100000003</v>
      </c>
      <c r="AJ283" s="16" t="s">
        <v>76</v>
      </c>
      <c r="AK283" s="38" t="s">
        <v>94</v>
      </c>
      <c r="AL283" s="38" t="s">
        <v>94</v>
      </c>
      <c r="AM283" s="16" t="s">
        <v>94</v>
      </c>
      <c r="AN283" s="10" t="s">
        <v>64</v>
      </c>
      <c r="AO283" s="8" t="s">
        <v>3757</v>
      </c>
      <c r="AP283" s="26">
        <v>335</v>
      </c>
      <c r="AQ283" s="26" t="s">
        <v>94</v>
      </c>
      <c r="AR283" s="8" t="s">
        <v>3764</v>
      </c>
      <c r="AS283" s="10" t="s">
        <v>3819</v>
      </c>
      <c r="AT283" s="10" t="s">
        <v>3795</v>
      </c>
      <c r="AU283" s="98"/>
      <c r="AV283" s="20" t="s">
        <v>2837</v>
      </c>
      <c r="AW283" s="73"/>
      <c r="AX283" s="7" t="s">
        <v>883</v>
      </c>
      <c r="AY283" s="26" t="s">
        <v>2838</v>
      </c>
      <c r="AZ283" s="10" t="s">
        <v>2839</v>
      </c>
      <c r="BA283" s="10" t="s">
        <v>2840</v>
      </c>
      <c r="BB283" s="18"/>
      <c r="BC283" s="41" t="s">
        <v>2841</v>
      </c>
    </row>
    <row r="284" spans="1:55" ht="69" customHeight="1" x14ac:dyDescent="0.2">
      <c r="A284" s="91" t="s">
        <v>4468</v>
      </c>
      <c r="B284" s="76" t="s">
        <v>2842</v>
      </c>
      <c r="C284" s="19" t="s">
        <v>2843</v>
      </c>
      <c r="D284" s="8" t="s">
        <v>49</v>
      </c>
      <c r="E284" s="31" t="s">
        <v>50</v>
      </c>
      <c r="F284" s="32" t="s">
        <v>2083</v>
      </c>
      <c r="G284" s="32" t="s">
        <v>2084</v>
      </c>
      <c r="H284" s="10" t="s">
        <v>4154</v>
      </c>
      <c r="I284" s="18" t="s">
        <v>140</v>
      </c>
      <c r="J284" s="19" t="s">
        <v>2844</v>
      </c>
      <c r="K284" s="10" t="s">
        <v>55</v>
      </c>
      <c r="L284" s="9" t="s">
        <v>2845</v>
      </c>
      <c r="M284" s="9" t="s">
        <v>2846</v>
      </c>
      <c r="N284" s="10" t="s">
        <v>748</v>
      </c>
      <c r="O284" s="8" t="s">
        <v>381</v>
      </c>
      <c r="P284" s="31" t="s">
        <v>144</v>
      </c>
      <c r="Q284" s="18" t="s">
        <v>2847</v>
      </c>
      <c r="R284" s="10" t="s">
        <v>529</v>
      </c>
      <c r="S284" s="18"/>
      <c r="T284" s="31" t="s">
        <v>73</v>
      </c>
      <c r="U284" s="33">
        <v>37196</v>
      </c>
      <c r="V284" s="34">
        <v>2001</v>
      </c>
      <c r="W284" s="13" t="s">
        <v>94</v>
      </c>
      <c r="X284" s="36">
        <v>2001</v>
      </c>
      <c r="Y284" s="13">
        <v>36892</v>
      </c>
      <c r="Z284" s="36">
        <v>2001</v>
      </c>
      <c r="AA284" s="13">
        <v>44197</v>
      </c>
      <c r="AB284" s="36">
        <v>2021</v>
      </c>
      <c r="AC284" s="40">
        <v>20</v>
      </c>
      <c r="AD284" s="15">
        <v>2021</v>
      </c>
      <c r="AE284" s="39" t="s">
        <v>2848</v>
      </c>
      <c r="AF284" s="31" t="s">
        <v>891</v>
      </c>
      <c r="AG284" s="38">
        <v>5400000</v>
      </c>
      <c r="AH284" s="37">
        <v>7427121.9400000004</v>
      </c>
      <c r="AI284" s="16">
        <v>8598023.5999999996</v>
      </c>
      <c r="AJ284" s="16" t="s">
        <v>63</v>
      </c>
      <c r="AK284" s="38">
        <v>5400000</v>
      </c>
      <c r="AL284" s="37">
        <v>7427121.9400000004</v>
      </c>
      <c r="AM284" s="16">
        <v>8598023.5999999996</v>
      </c>
      <c r="AN284" s="10" t="s">
        <v>64</v>
      </c>
      <c r="AO284" s="8" t="s">
        <v>3757</v>
      </c>
      <c r="AP284" s="43">
        <v>4740</v>
      </c>
      <c r="AQ284" s="43">
        <v>4740</v>
      </c>
      <c r="AR284" s="8" t="s">
        <v>3769</v>
      </c>
      <c r="AS284" s="10" t="s">
        <v>3781</v>
      </c>
      <c r="AT284" s="10" t="s">
        <v>3795</v>
      </c>
      <c r="AU284" s="98"/>
      <c r="AV284" s="20"/>
      <c r="AW284" s="10"/>
      <c r="AX284" s="7" t="s">
        <v>2849</v>
      </c>
      <c r="AY284" s="10" t="s">
        <v>2850</v>
      </c>
      <c r="AZ284" s="10" t="s">
        <v>2851</v>
      </c>
      <c r="BA284" s="10" t="s">
        <v>2852</v>
      </c>
      <c r="BB284" s="18" t="s">
        <v>2853</v>
      </c>
      <c r="BC284" s="18" t="s">
        <v>4093</v>
      </c>
    </row>
    <row r="285" spans="1:55" ht="69" customHeight="1" x14ac:dyDescent="0.2">
      <c r="A285" s="91" t="s">
        <v>4469</v>
      </c>
      <c r="B285" s="76" t="s">
        <v>2854</v>
      </c>
      <c r="C285" s="19" t="s">
        <v>2799</v>
      </c>
      <c r="D285" s="8" t="s">
        <v>49</v>
      </c>
      <c r="E285" s="8" t="s">
        <v>50</v>
      </c>
      <c r="F285" s="32" t="s">
        <v>2083</v>
      </c>
      <c r="G285" s="32" t="s">
        <v>2084</v>
      </c>
      <c r="H285" s="10" t="s">
        <v>4154</v>
      </c>
      <c r="I285" s="18" t="s">
        <v>140</v>
      </c>
      <c r="J285" s="19" t="s">
        <v>2855</v>
      </c>
      <c r="K285" s="10" t="s">
        <v>55</v>
      </c>
      <c r="L285" s="9" t="s">
        <v>375</v>
      </c>
      <c r="M285" s="9" t="s">
        <v>376</v>
      </c>
      <c r="N285" s="10" t="s">
        <v>4154</v>
      </c>
      <c r="O285" s="8" t="s">
        <v>140</v>
      </c>
      <c r="P285" s="31" t="s">
        <v>144</v>
      </c>
      <c r="Q285" s="18" t="s">
        <v>2856</v>
      </c>
      <c r="R285" s="18" t="s">
        <v>177</v>
      </c>
      <c r="S285" s="18" t="s">
        <v>59</v>
      </c>
      <c r="T285" s="31" t="s">
        <v>60</v>
      </c>
      <c r="U285" s="33">
        <v>14611</v>
      </c>
      <c r="V285" s="34">
        <v>1940</v>
      </c>
      <c r="W285" s="35">
        <v>36909</v>
      </c>
      <c r="X285" s="36">
        <v>2001</v>
      </c>
      <c r="Y285" s="13">
        <v>36892</v>
      </c>
      <c r="Z285" s="36">
        <v>2001</v>
      </c>
      <c r="AA285" s="13">
        <v>36892</v>
      </c>
      <c r="AB285" s="36">
        <v>2001</v>
      </c>
      <c r="AC285" s="14">
        <v>0</v>
      </c>
      <c r="AD285" s="15">
        <v>2001</v>
      </c>
      <c r="AE285" s="39"/>
      <c r="AF285" s="31" t="s">
        <v>891</v>
      </c>
      <c r="AG285" s="37">
        <v>125000</v>
      </c>
      <c r="AH285" s="37">
        <v>179945.44</v>
      </c>
      <c r="AI285" s="37">
        <v>318729</v>
      </c>
      <c r="AJ285" s="16" t="s">
        <v>76</v>
      </c>
      <c r="AK285" s="38">
        <v>125000</v>
      </c>
      <c r="AL285" s="37">
        <v>179945.44</v>
      </c>
      <c r="AM285" s="16">
        <v>318729</v>
      </c>
      <c r="AN285" s="10" t="s">
        <v>64</v>
      </c>
      <c r="AO285" s="8" t="s">
        <v>3757</v>
      </c>
      <c r="AP285" s="15">
        <v>1</v>
      </c>
      <c r="AQ285" s="15">
        <v>1</v>
      </c>
      <c r="AR285" s="8" t="s">
        <v>3765</v>
      </c>
      <c r="AS285" s="8" t="s">
        <v>3778</v>
      </c>
      <c r="AT285" s="10" t="s">
        <v>3795</v>
      </c>
      <c r="AU285" s="98"/>
      <c r="AV285" s="20" t="s">
        <v>2857</v>
      </c>
      <c r="AW285" s="10" t="s">
        <v>2858</v>
      </c>
      <c r="AX285" s="7" t="s">
        <v>883</v>
      </c>
      <c r="AY285" s="10" t="s">
        <v>2859</v>
      </c>
      <c r="AZ285" s="10" t="s">
        <v>2860</v>
      </c>
      <c r="BA285" s="10" t="s">
        <v>2861</v>
      </c>
      <c r="BB285" s="18"/>
      <c r="BC285" s="41" t="s">
        <v>2862</v>
      </c>
    </row>
    <row r="286" spans="1:55" ht="70" customHeight="1" x14ac:dyDescent="0.2">
      <c r="A286" s="91" t="s">
        <v>4470</v>
      </c>
      <c r="B286" s="76" t="s">
        <v>2863</v>
      </c>
      <c r="C286" s="19" t="s">
        <v>2799</v>
      </c>
      <c r="D286" s="8" t="s">
        <v>49</v>
      </c>
      <c r="E286" s="31" t="s">
        <v>50</v>
      </c>
      <c r="F286" s="32" t="s">
        <v>2083</v>
      </c>
      <c r="G286" s="32" t="s">
        <v>2084</v>
      </c>
      <c r="H286" s="10" t="s">
        <v>4154</v>
      </c>
      <c r="I286" s="18" t="s">
        <v>140</v>
      </c>
      <c r="J286" s="19" t="s">
        <v>2864</v>
      </c>
      <c r="K286" s="10" t="s">
        <v>55</v>
      </c>
      <c r="L286" s="9" t="s">
        <v>1759</v>
      </c>
      <c r="M286" s="9" t="s">
        <v>1760</v>
      </c>
      <c r="N286" s="10" t="s">
        <v>380</v>
      </c>
      <c r="O286" s="8" t="s">
        <v>103</v>
      </c>
      <c r="P286" s="31" t="s">
        <v>144</v>
      </c>
      <c r="Q286" s="18" t="s">
        <v>2865</v>
      </c>
      <c r="R286" s="10" t="s">
        <v>584</v>
      </c>
      <c r="S286" s="18"/>
      <c r="T286" s="31" t="s">
        <v>73</v>
      </c>
      <c r="U286" s="33">
        <v>21916</v>
      </c>
      <c r="V286" s="34">
        <v>1960</v>
      </c>
      <c r="W286" s="35">
        <v>37456</v>
      </c>
      <c r="X286" s="36">
        <v>2002</v>
      </c>
      <c r="Y286" s="13">
        <v>37257</v>
      </c>
      <c r="Z286" s="36">
        <v>2002</v>
      </c>
      <c r="AA286" s="13">
        <v>37257</v>
      </c>
      <c r="AB286" s="36">
        <v>2002</v>
      </c>
      <c r="AC286" s="14">
        <v>0</v>
      </c>
      <c r="AD286" s="36">
        <v>2002</v>
      </c>
      <c r="AE286" s="39"/>
      <c r="AF286" s="31" t="s">
        <v>891</v>
      </c>
      <c r="AG286" s="37">
        <v>4500000</v>
      </c>
      <c r="AH286" s="37">
        <v>7000000</v>
      </c>
      <c r="AI286" s="37">
        <v>12205797.67</v>
      </c>
      <c r="AJ286" s="16" t="s">
        <v>76</v>
      </c>
      <c r="AK286" s="37">
        <v>4500000</v>
      </c>
      <c r="AL286" s="37">
        <v>7000000</v>
      </c>
      <c r="AM286" s="16">
        <v>12205797.67</v>
      </c>
      <c r="AN286" s="10" t="s">
        <v>64</v>
      </c>
      <c r="AO286" s="8" t="s">
        <v>3757</v>
      </c>
      <c r="AP286" s="15">
        <v>228</v>
      </c>
      <c r="AQ286" s="15">
        <v>228</v>
      </c>
      <c r="AR286" s="8" t="s">
        <v>3769</v>
      </c>
      <c r="AS286" s="10" t="s">
        <v>3781</v>
      </c>
      <c r="AT286" s="10" t="s">
        <v>3795</v>
      </c>
      <c r="AU286" s="98"/>
      <c r="AV286" s="20" t="s">
        <v>3924</v>
      </c>
      <c r="AW286" s="10"/>
      <c r="AX286" s="7" t="s">
        <v>4059</v>
      </c>
      <c r="AY286" s="10" t="s">
        <v>2866</v>
      </c>
      <c r="AZ286" s="10" t="s">
        <v>2867</v>
      </c>
      <c r="BA286" s="10" t="s">
        <v>2868</v>
      </c>
      <c r="BB286" s="18"/>
      <c r="BC286" s="41" t="s">
        <v>2869</v>
      </c>
    </row>
    <row r="287" spans="1:55" ht="69" customHeight="1" x14ac:dyDescent="0.2">
      <c r="A287" s="91" t="s">
        <v>4471</v>
      </c>
      <c r="B287" s="76" t="s">
        <v>2870</v>
      </c>
      <c r="C287" s="19" t="s">
        <v>2843</v>
      </c>
      <c r="D287" s="8" t="s">
        <v>49</v>
      </c>
      <c r="E287" s="31" t="s">
        <v>50</v>
      </c>
      <c r="F287" s="32" t="s">
        <v>2083</v>
      </c>
      <c r="G287" s="32" t="s">
        <v>2084</v>
      </c>
      <c r="H287" s="10" t="s">
        <v>4154</v>
      </c>
      <c r="I287" s="18" t="s">
        <v>140</v>
      </c>
      <c r="J287" s="19" t="s">
        <v>2871</v>
      </c>
      <c r="K287" s="10" t="s">
        <v>55</v>
      </c>
      <c r="L287" s="9" t="s">
        <v>1500</v>
      </c>
      <c r="M287" s="9" t="s">
        <v>1501</v>
      </c>
      <c r="N287" s="10" t="s">
        <v>4156</v>
      </c>
      <c r="O287" s="8" t="s">
        <v>53</v>
      </c>
      <c r="P287" s="31" t="s">
        <v>144</v>
      </c>
      <c r="Q287" s="18" t="s">
        <v>2872</v>
      </c>
      <c r="R287" s="10" t="s">
        <v>529</v>
      </c>
      <c r="S287" s="18"/>
      <c r="T287" s="31" t="s">
        <v>73</v>
      </c>
      <c r="U287" s="33">
        <v>37681</v>
      </c>
      <c r="V287" s="34">
        <v>2003</v>
      </c>
      <c r="W287" s="13" t="s">
        <v>94</v>
      </c>
      <c r="X287" s="36">
        <v>2003</v>
      </c>
      <c r="Y287" s="13">
        <v>37622</v>
      </c>
      <c r="Z287" s="36">
        <v>2003</v>
      </c>
      <c r="AA287" s="13">
        <v>44197</v>
      </c>
      <c r="AB287" s="36">
        <v>2021</v>
      </c>
      <c r="AC287" s="40">
        <v>18</v>
      </c>
      <c r="AD287" s="15">
        <v>2021</v>
      </c>
      <c r="AE287" s="39" t="s">
        <v>2873</v>
      </c>
      <c r="AF287" s="31" t="s">
        <v>891</v>
      </c>
      <c r="AG287" s="38">
        <v>26400000</v>
      </c>
      <c r="AH287" s="37">
        <v>36310373.909999996</v>
      </c>
      <c r="AI287" s="16">
        <v>42034782.009999998</v>
      </c>
      <c r="AJ287" s="16" t="s">
        <v>63</v>
      </c>
      <c r="AK287" s="38">
        <v>26400000</v>
      </c>
      <c r="AL287" s="37">
        <v>36310373.909999996</v>
      </c>
      <c r="AM287" s="16">
        <v>42034782.009999998</v>
      </c>
      <c r="AN287" s="10" t="s">
        <v>64</v>
      </c>
      <c r="AO287" s="8" t="s">
        <v>3757</v>
      </c>
      <c r="AP287" s="43">
        <v>1893</v>
      </c>
      <c r="AQ287" s="43">
        <v>1893</v>
      </c>
      <c r="AR287" s="8" t="s">
        <v>3769</v>
      </c>
      <c r="AS287" s="10" t="s">
        <v>3781</v>
      </c>
      <c r="AT287" s="10" t="s">
        <v>3795</v>
      </c>
      <c r="AU287" s="98"/>
      <c r="AV287" s="20" t="s">
        <v>2874</v>
      </c>
      <c r="AW287" s="10"/>
      <c r="AX287" s="7" t="s">
        <v>4060</v>
      </c>
      <c r="AY287" s="10" t="s">
        <v>2875</v>
      </c>
      <c r="AZ287" s="10" t="s">
        <v>2876</v>
      </c>
      <c r="BA287" s="10" t="s">
        <v>2877</v>
      </c>
      <c r="BB287" s="18" t="s">
        <v>2878</v>
      </c>
      <c r="BC287" s="41" t="s">
        <v>2879</v>
      </c>
    </row>
    <row r="288" spans="1:55" ht="70" customHeight="1" x14ac:dyDescent="0.2">
      <c r="A288" s="91" t="s">
        <v>4472</v>
      </c>
      <c r="B288" s="76" t="s">
        <v>2880</v>
      </c>
      <c r="C288" s="19" t="s">
        <v>2881</v>
      </c>
      <c r="D288" s="8" t="s">
        <v>49</v>
      </c>
      <c r="E288" s="31" t="s">
        <v>50</v>
      </c>
      <c r="F288" s="32" t="s">
        <v>2083</v>
      </c>
      <c r="G288" s="32" t="s">
        <v>2084</v>
      </c>
      <c r="H288" s="10" t="s">
        <v>4154</v>
      </c>
      <c r="I288" s="18" t="s">
        <v>140</v>
      </c>
      <c r="J288" s="19" t="s">
        <v>2882</v>
      </c>
      <c r="K288" s="10" t="s">
        <v>55</v>
      </c>
      <c r="L288" s="9" t="s">
        <v>2083</v>
      </c>
      <c r="M288" s="9" t="s">
        <v>2084</v>
      </c>
      <c r="N288" s="10" t="s">
        <v>4154</v>
      </c>
      <c r="O288" s="8" t="s">
        <v>140</v>
      </c>
      <c r="P288" s="31" t="s">
        <v>56</v>
      </c>
      <c r="Q288" s="18" t="s">
        <v>2883</v>
      </c>
      <c r="R288" s="10" t="s">
        <v>72</v>
      </c>
      <c r="S288" s="18"/>
      <c r="T288" s="31" t="s">
        <v>60</v>
      </c>
      <c r="U288" s="33">
        <v>24838</v>
      </c>
      <c r="V288" s="57">
        <v>1968</v>
      </c>
      <c r="W288" s="35">
        <v>40214</v>
      </c>
      <c r="X288" s="36">
        <v>2010</v>
      </c>
      <c r="Y288" s="35" t="s">
        <v>94</v>
      </c>
      <c r="Z288" s="35" t="s">
        <v>94</v>
      </c>
      <c r="AA288" s="35" t="s">
        <v>94</v>
      </c>
      <c r="AB288" s="35" t="s">
        <v>94</v>
      </c>
      <c r="AC288" s="35" t="s">
        <v>94</v>
      </c>
      <c r="AD288" s="40"/>
      <c r="AE288" s="39"/>
      <c r="AF288" s="31" t="s">
        <v>891</v>
      </c>
      <c r="AG288" s="37">
        <v>60000000</v>
      </c>
      <c r="AH288" s="37">
        <v>92710004.439999998</v>
      </c>
      <c r="AI288" s="37">
        <v>133369907.65000001</v>
      </c>
      <c r="AJ288" s="16" t="s">
        <v>76</v>
      </c>
      <c r="AK288" s="38" t="s">
        <v>94</v>
      </c>
      <c r="AL288" s="37" t="s">
        <v>94</v>
      </c>
      <c r="AM288" s="16" t="s">
        <v>94</v>
      </c>
      <c r="AN288" s="10" t="s">
        <v>64</v>
      </c>
      <c r="AO288" s="8" t="s">
        <v>3756</v>
      </c>
      <c r="AP288" s="15" t="s">
        <v>94</v>
      </c>
      <c r="AQ288" s="15" t="s">
        <v>94</v>
      </c>
      <c r="AR288" s="8" t="s">
        <v>3770</v>
      </c>
      <c r="AS288" s="18" t="s">
        <v>269</v>
      </c>
      <c r="AT288" s="10" t="s">
        <v>3795</v>
      </c>
      <c r="AU288" s="98"/>
      <c r="AV288" s="20" t="s">
        <v>2884</v>
      </c>
      <c r="AW288" s="10" t="s">
        <v>2885</v>
      </c>
      <c r="AX288" s="7"/>
      <c r="AY288" s="10" t="s">
        <v>2886</v>
      </c>
      <c r="AZ288" s="10" t="s">
        <v>2887</v>
      </c>
      <c r="BA288" s="10" t="s">
        <v>2888</v>
      </c>
      <c r="BB288" s="18" t="s">
        <v>2889</v>
      </c>
      <c r="BC288" s="41" t="s">
        <v>2890</v>
      </c>
    </row>
    <row r="289" spans="1:55" ht="70" customHeight="1" x14ac:dyDescent="0.2">
      <c r="A289" s="91" t="s">
        <v>4473</v>
      </c>
      <c r="B289" s="76" t="s">
        <v>2891</v>
      </c>
      <c r="C289" s="19" t="s">
        <v>2799</v>
      </c>
      <c r="D289" s="8" t="s">
        <v>49</v>
      </c>
      <c r="E289" s="31" t="s">
        <v>50</v>
      </c>
      <c r="F289" s="32" t="s">
        <v>2083</v>
      </c>
      <c r="G289" s="32" t="s">
        <v>2084</v>
      </c>
      <c r="H289" s="10" t="s">
        <v>4154</v>
      </c>
      <c r="I289" s="18" t="s">
        <v>140</v>
      </c>
      <c r="J289" s="19" t="s">
        <v>2892</v>
      </c>
      <c r="K289" s="10" t="s">
        <v>55</v>
      </c>
      <c r="L289" s="9" t="s">
        <v>1500</v>
      </c>
      <c r="M289" s="9" t="s">
        <v>1501</v>
      </c>
      <c r="N289" s="10" t="s">
        <v>4156</v>
      </c>
      <c r="O289" s="8" t="s">
        <v>53</v>
      </c>
      <c r="P289" s="31" t="s">
        <v>144</v>
      </c>
      <c r="Q289" s="18" t="s">
        <v>2893</v>
      </c>
      <c r="R289" s="10" t="s">
        <v>72</v>
      </c>
      <c r="S289" s="18"/>
      <c r="T289" s="31" t="s">
        <v>60</v>
      </c>
      <c r="U289" s="33">
        <v>38231</v>
      </c>
      <c r="V289" s="34">
        <v>2004</v>
      </c>
      <c r="W289" s="35">
        <v>40731</v>
      </c>
      <c r="X289" s="36">
        <v>2011</v>
      </c>
      <c r="Y289" s="35" t="s">
        <v>94</v>
      </c>
      <c r="Z289" s="35" t="s">
        <v>94</v>
      </c>
      <c r="AA289" s="35" t="s">
        <v>94</v>
      </c>
      <c r="AB289" s="35" t="s">
        <v>94</v>
      </c>
      <c r="AC289" s="35" t="s">
        <v>94</v>
      </c>
      <c r="AD289" s="40"/>
      <c r="AE289" s="39"/>
      <c r="AF289" s="31" t="s">
        <v>75</v>
      </c>
      <c r="AG289" s="37">
        <v>25000</v>
      </c>
      <c r="AH289" s="37">
        <v>34798.879999999997</v>
      </c>
      <c r="AI289" s="37">
        <v>48528.83</v>
      </c>
      <c r="AJ289" s="16" t="s">
        <v>76</v>
      </c>
      <c r="AK289" s="38" t="s">
        <v>94</v>
      </c>
      <c r="AL289" s="37" t="s">
        <v>94</v>
      </c>
      <c r="AM289" s="37" t="s">
        <v>94</v>
      </c>
      <c r="AN289" s="10" t="s">
        <v>64</v>
      </c>
      <c r="AO289" s="8" t="s">
        <v>3756</v>
      </c>
      <c r="AP289" s="15">
        <v>1</v>
      </c>
      <c r="AQ289" s="15" t="s">
        <v>94</v>
      </c>
      <c r="AR289" s="8" t="s">
        <v>3761</v>
      </c>
      <c r="AS289" s="10" t="s">
        <v>3781</v>
      </c>
      <c r="AT289" s="10" t="s">
        <v>4157</v>
      </c>
      <c r="AU289" s="98"/>
      <c r="AV289" s="20" t="s">
        <v>459</v>
      </c>
      <c r="AW289" s="10"/>
      <c r="AX289" s="7"/>
      <c r="AY289" s="10" t="s">
        <v>2894</v>
      </c>
      <c r="AZ289" s="10" t="s">
        <v>2895</v>
      </c>
      <c r="BA289" s="10" t="s">
        <v>2896</v>
      </c>
      <c r="BB289" s="18"/>
      <c r="BC289" s="41" t="s">
        <v>2897</v>
      </c>
    </row>
    <row r="290" spans="1:55" ht="69" customHeight="1" x14ac:dyDescent="0.2">
      <c r="A290" s="91" t="s">
        <v>4474</v>
      </c>
      <c r="B290" s="76" t="s">
        <v>2898</v>
      </c>
      <c r="C290" s="19" t="s">
        <v>2799</v>
      </c>
      <c r="D290" s="8" t="s">
        <v>49</v>
      </c>
      <c r="E290" s="31" t="s">
        <v>50</v>
      </c>
      <c r="F290" s="32" t="s">
        <v>2083</v>
      </c>
      <c r="G290" s="32" t="s">
        <v>2084</v>
      </c>
      <c r="H290" s="10" t="s">
        <v>4154</v>
      </c>
      <c r="I290" s="18" t="s">
        <v>140</v>
      </c>
      <c r="J290" s="19" t="s">
        <v>2899</v>
      </c>
      <c r="K290" s="10" t="s">
        <v>55</v>
      </c>
      <c r="L290" s="9" t="s">
        <v>1500</v>
      </c>
      <c r="M290" s="9" t="s">
        <v>1501</v>
      </c>
      <c r="N290" s="10" t="s">
        <v>4156</v>
      </c>
      <c r="O290" s="8" t="s">
        <v>53</v>
      </c>
      <c r="P290" s="31" t="s">
        <v>144</v>
      </c>
      <c r="Q290" s="18" t="s">
        <v>2900</v>
      </c>
      <c r="R290" s="10" t="s">
        <v>529</v>
      </c>
      <c r="S290" s="18"/>
      <c r="T290" s="31" t="s">
        <v>73</v>
      </c>
      <c r="U290" s="33">
        <v>37749</v>
      </c>
      <c r="V290" s="34">
        <v>2003</v>
      </c>
      <c r="W290" s="35">
        <v>40731</v>
      </c>
      <c r="X290" s="36">
        <v>2011</v>
      </c>
      <c r="Y290" s="35" t="s">
        <v>94</v>
      </c>
      <c r="Z290" s="35" t="s">
        <v>94</v>
      </c>
      <c r="AA290" s="35" t="s">
        <v>94</v>
      </c>
      <c r="AB290" s="35" t="s">
        <v>94</v>
      </c>
      <c r="AC290" s="35" t="s">
        <v>94</v>
      </c>
      <c r="AD290" s="40"/>
      <c r="AE290" s="39"/>
      <c r="AF290" s="31" t="s">
        <v>75</v>
      </c>
      <c r="AG290" s="37">
        <v>85000</v>
      </c>
      <c r="AH290" s="37">
        <v>118316.2</v>
      </c>
      <c r="AI290" s="37">
        <v>164998.01999999999</v>
      </c>
      <c r="AJ290" s="16" t="s">
        <v>76</v>
      </c>
      <c r="AK290" s="38" t="s">
        <v>94</v>
      </c>
      <c r="AL290" s="37" t="s">
        <v>94</v>
      </c>
      <c r="AM290" s="37" t="s">
        <v>94</v>
      </c>
      <c r="AN290" s="10" t="s">
        <v>64</v>
      </c>
      <c r="AO290" s="8" t="s">
        <v>3758</v>
      </c>
      <c r="AP290" s="15">
        <v>5</v>
      </c>
      <c r="AQ290" s="15" t="s">
        <v>94</v>
      </c>
      <c r="AR290" s="8" t="s">
        <v>3761</v>
      </c>
      <c r="AS290" s="10" t="s">
        <v>3781</v>
      </c>
      <c r="AT290" s="10" t="s">
        <v>4157</v>
      </c>
      <c r="AU290" s="98"/>
      <c r="AV290" s="20" t="s">
        <v>459</v>
      </c>
      <c r="AW290" s="10"/>
      <c r="AX290" s="31" t="s">
        <v>2901</v>
      </c>
      <c r="AY290" s="10" t="s">
        <v>2902</v>
      </c>
      <c r="AZ290" s="10" t="s">
        <v>2903</v>
      </c>
      <c r="BA290" s="10" t="s">
        <v>2904</v>
      </c>
      <c r="BB290" s="18"/>
      <c r="BC290" s="41" t="s">
        <v>2905</v>
      </c>
    </row>
    <row r="291" spans="1:55" ht="69" customHeight="1" x14ac:dyDescent="0.2">
      <c r="A291" s="91" t="s">
        <v>4475</v>
      </c>
      <c r="B291" s="76" t="s">
        <v>2906</v>
      </c>
      <c r="C291" s="19" t="s">
        <v>2799</v>
      </c>
      <c r="D291" s="8" t="s">
        <v>49</v>
      </c>
      <c r="E291" s="31" t="s">
        <v>50</v>
      </c>
      <c r="F291" s="32" t="s">
        <v>2083</v>
      </c>
      <c r="G291" s="32" t="s">
        <v>2084</v>
      </c>
      <c r="H291" s="10" t="s">
        <v>4154</v>
      </c>
      <c r="I291" s="18" t="s">
        <v>140</v>
      </c>
      <c r="J291" s="19" t="s">
        <v>2907</v>
      </c>
      <c r="K291" s="10" t="s">
        <v>55</v>
      </c>
      <c r="L291" s="9" t="s">
        <v>1759</v>
      </c>
      <c r="M291" s="9" t="s">
        <v>1760</v>
      </c>
      <c r="N291" s="10" t="s">
        <v>380</v>
      </c>
      <c r="O291" s="8" t="s">
        <v>103</v>
      </c>
      <c r="P291" s="31" t="s">
        <v>144</v>
      </c>
      <c r="Q291" s="18" t="s">
        <v>2908</v>
      </c>
      <c r="R291" s="18" t="s">
        <v>383</v>
      </c>
      <c r="S291" s="18"/>
      <c r="T291" s="31" t="s">
        <v>73</v>
      </c>
      <c r="U291" s="33">
        <v>18994</v>
      </c>
      <c r="V291" s="34">
        <v>1952</v>
      </c>
      <c r="W291" s="35">
        <v>41431</v>
      </c>
      <c r="X291" s="36">
        <v>2013</v>
      </c>
      <c r="Y291" s="28" t="s">
        <v>384</v>
      </c>
      <c r="Z291" s="28" t="s">
        <v>384</v>
      </c>
      <c r="AA291" s="28" t="s">
        <v>384</v>
      </c>
      <c r="AB291" s="28" t="s">
        <v>384</v>
      </c>
      <c r="AC291" s="35" t="s">
        <v>94</v>
      </c>
      <c r="AD291" s="35"/>
      <c r="AE291" s="39"/>
      <c r="AF291" s="31" t="s">
        <v>891</v>
      </c>
      <c r="AG291" s="37">
        <v>19900000</v>
      </c>
      <c r="AH291" s="37">
        <v>30800000</v>
      </c>
      <c r="AI291" s="37">
        <v>41473839.380000003</v>
      </c>
      <c r="AJ291" s="16" t="s">
        <v>76</v>
      </c>
      <c r="AK291" s="28" t="s">
        <v>384</v>
      </c>
      <c r="AL291" s="28" t="s">
        <v>384</v>
      </c>
      <c r="AM291" s="28" t="s">
        <v>384</v>
      </c>
      <c r="AN291" s="10" t="s">
        <v>64</v>
      </c>
      <c r="AO291" s="8" t="s">
        <v>3756</v>
      </c>
      <c r="AP291" s="43">
        <v>5228</v>
      </c>
      <c r="AQ291" s="15" t="s">
        <v>94</v>
      </c>
      <c r="AR291" s="8" t="s">
        <v>3769</v>
      </c>
      <c r="AS291" s="10" t="s">
        <v>3781</v>
      </c>
      <c r="AT291" s="10" t="s">
        <v>3795</v>
      </c>
      <c r="AU291" s="98"/>
      <c r="AV291" s="20" t="s">
        <v>3925</v>
      </c>
      <c r="AW291" s="10"/>
      <c r="AX291" s="7" t="s">
        <v>4061</v>
      </c>
      <c r="AY291" s="10" t="s">
        <v>2909</v>
      </c>
      <c r="AZ291" s="10" t="s">
        <v>2910</v>
      </c>
      <c r="BA291" s="10" t="s">
        <v>2911</v>
      </c>
      <c r="BB291" s="18"/>
      <c r="BC291" s="41" t="s">
        <v>2912</v>
      </c>
    </row>
    <row r="292" spans="1:55" ht="69" customHeight="1" x14ac:dyDescent="0.2">
      <c r="A292" s="91" t="s">
        <v>4476</v>
      </c>
      <c r="B292" s="76" t="s">
        <v>2913</v>
      </c>
      <c r="C292" s="19" t="s">
        <v>2799</v>
      </c>
      <c r="D292" s="8" t="s">
        <v>49</v>
      </c>
      <c r="E292" s="31" t="s">
        <v>50</v>
      </c>
      <c r="F292" s="32" t="s">
        <v>2083</v>
      </c>
      <c r="G292" s="32" t="s">
        <v>2084</v>
      </c>
      <c r="H292" s="10" t="s">
        <v>4154</v>
      </c>
      <c r="I292" s="18" t="s">
        <v>140</v>
      </c>
      <c r="J292" s="19" t="s">
        <v>2914</v>
      </c>
      <c r="K292" s="10" t="s">
        <v>55</v>
      </c>
      <c r="L292" s="30" t="s">
        <v>2042</v>
      </c>
      <c r="M292" s="30" t="s">
        <v>537</v>
      </c>
      <c r="N292" s="30" t="s">
        <v>4185</v>
      </c>
      <c r="O292" s="30" t="s">
        <v>4185</v>
      </c>
      <c r="P292" s="31" t="s">
        <v>144</v>
      </c>
      <c r="Q292" s="18" t="s">
        <v>2915</v>
      </c>
      <c r="R292" s="18" t="s">
        <v>163</v>
      </c>
      <c r="S292" s="18"/>
      <c r="T292" s="31" t="s">
        <v>60</v>
      </c>
      <c r="U292" s="33">
        <v>16438</v>
      </c>
      <c r="V292" s="34">
        <v>1945</v>
      </c>
      <c r="W292" s="13" t="s">
        <v>94</v>
      </c>
      <c r="X292" s="36">
        <v>2018</v>
      </c>
      <c r="Y292" s="13">
        <v>43101</v>
      </c>
      <c r="Z292" s="36">
        <v>2018</v>
      </c>
      <c r="AA292" s="13">
        <v>45292</v>
      </c>
      <c r="AB292" s="36">
        <v>2024</v>
      </c>
      <c r="AC292" s="36">
        <v>6</v>
      </c>
      <c r="AD292" s="40">
        <v>2024</v>
      </c>
      <c r="AE292" s="39" t="s">
        <v>2107</v>
      </c>
      <c r="AF292" s="31" t="s">
        <v>891</v>
      </c>
      <c r="AG292" s="37">
        <v>40000000</v>
      </c>
      <c r="AH292" s="37">
        <v>53366666.850000001</v>
      </c>
      <c r="AI292" s="37">
        <v>66666944.200000003</v>
      </c>
      <c r="AJ292" s="16" t="s">
        <v>76</v>
      </c>
      <c r="AK292" s="38">
        <v>35000000</v>
      </c>
      <c r="AL292" s="37">
        <v>44733317.670000002</v>
      </c>
      <c r="AM292" s="37">
        <v>44733317.670000002</v>
      </c>
      <c r="AN292" s="10" t="s">
        <v>64</v>
      </c>
      <c r="AO292" s="8" t="s">
        <v>3756</v>
      </c>
      <c r="AP292" s="43">
        <v>2000</v>
      </c>
      <c r="AQ292" s="43">
        <v>1750</v>
      </c>
      <c r="AR292" s="8" t="s">
        <v>3765</v>
      </c>
      <c r="AS292" s="69" t="s">
        <v>3819</v>
      </c>
      <c r="AT292" s="18" t="s">
        <v>2916</v>
      </c>
      <c r="AU292" s="98"/>
      <c r="AV292" s="20"/>
      <c r="AW292" s="10" t="s">
        <v>2917</v>
      </c>
      <c r="AX292" s="7" t="s">
        <v>883</v>
      </c>
      <c r="AY292" s="10" t="s">
        <v>4104</v>
      </c>
      <c r="AZ292" s="10" t="s">
        <v>4137</v>
      </c>
      <c r="BA292" s="10" t="s">
        <v>2918</v>
      </c>
      <c r="BB292" s="18" t="s">
        <v>2919</v>
      </c>
      <c r="BC292" s="41" t="s">
        <v>2920</v>
      </c>
    </row>
    <row r="293" spans="1:55" ht="70" customHeight="1" x14ac:dyDescent="0.2">
      <c r="A293" s="91" t="s">
        <v>4477</v>
      </c>
      <c r="B293" s="76" t="s">
        <v>2921</v>
      </c>
      <c r="C293" s="19" t="s">
        <v>2922</v>
      </c>
      <c r="D293" s="8" t="s">
        <v>49</v>
      </c>
      <c r="E293" s="31" t="s">
        <v>50</v>
      </c>
      <c r="F293" s="32" t="s">
        <v>2083</v>
      </c>
      <c r="G293" s="32" t="s">
        <v>2084</v>
      </c>
      <c r="H293" s="10" t="s">
        <v>4154</v>
      </c>
      <c r="I293" s="18" t="s">
        <v>140</v>
      </c>
      <c r="J293" s="19" t="s">
        <v>2923</v>
      </c>
      <c r="K293" s="10" t="s">
        <v>55</v>
      </c>
      <c r="L293" s="9" t="s">
        <v>2083</v>
      </c>
      <c r="M293" s="9" t="s">
        <v>2084</v>
      </c>
      <c r="N293" s="10" t="s">
        <v>4154</v>
      </c>
      <c r="O293" s="8" t="s">
        <v>140</v>
      </c>
      <c r="P293" s="31" t="s">
        <v>56</v>
      </c>
      <c r="Q293" s="18" t="s">
        <v>2924</v>
      </c>
      <c r="R293" s="10" t="s">
        <v>72</v>
      </c>
      <c r="S293" s="18"/>
      <c r="T293" s="31" t="s">
        <v>73</v>
      </c>
      <c r="U293" s="33">
        <v>26328</v>
      </c>
      <c r="V293" s="34">
        <v>1972</v>
      </c>
      <c r="W293" s="35">
        <v>43398</v>
      </c>
      <c r="X293" s="36">
        <v>2018</v>
      </c>
      <c r="Y293" s="35" t="s">
        <v>94</v>
      </c>
      <c r="Z293" s="35" t="s">
        <v>94</v>
      </c>
      <c r="AA293" s="35" t="s">
        <v>94</v>
      </c>
      <c r="AB293" s="35" t="s">
        <v>94</v>
      </c>
      <c r="AC293" s="35" t="s">
        <v>94</v>
      </c>
      <c r="AD293" s="35"/>
      <c r="AE293" s="39"/>
      <c r="AF293" s="31" t="s">
        <v>891</v>
      </c>
      <c r="AG293" s="37">
        <v>925000</v>
      </c>
      <c r="AH293" s="37">
        <v>1234104.17</v>
      </c>
      <c r="AI293" s="37">
        <v>1541673.08</v>
      </c>
      <c r="AJ293" s="16" t="s">
        <v>76</v>
      </c>
      <c r="AK293" s="38" t="s">
        <v>94</v>
      </c>
      <c r="AL293" s="38" t="s">
        <v>94</v>
      </c>
      <c r="AM293" s="38" t="s">
        <v>94</v>
      </c>
      <c r="AN293" s="10" t="s">
        <v>64</v>
      </c>
      <c r="AO293" s="8" t="s">
        <v>3757</v>
      </c>
      <c r="AP293" s="15">
        <v>14</v>
      </c>
      <c r="AQ293" s="15" t="s">
        <v>94</v>
      </c>
      <c r="AR293" s="8" t="s">
        <v>3764</v>
      </c>
      <c r="AS293" s="10" t="s">
        <v>3781</v>
      </c>
      <c r="AT293" s="10" t="s">
        <v>3795</v>
      </c>
      <c r="AU293" s="98"/>
      <c r="AV293" s="20" t="s">
        <v>3926</v>
      </c>
      <c r="AW293" s="10"/>
      <c r="AX293" s="7" t="s">
        <v>4007</v>
      </c>
      <c r="AY293" s="10" t="s">
        <v>2925</v>
      </c>
      <c r="AZ293" s="10" t="s">
        <v>2926</v>
      </c>
      <c r="BA293" s="10" t="s">
        <v>2927</v>
      </c>
      <c r="BB293" s="18"/>
      <c r="BC293" s="41" t="s">
        <v>2928</v>
      </c>
    </row>
    <row r="294" spans="1:55" ht="70" customHeight="1" x14ac:dyDescent="0.2">
      <c r="A294" s="91" t="s">
        <v>4478</v>
      </c>
      <c r="B294" s="76" t="s">
        <v>2929</v>
      </c>
      <c r="C294" s="19" t="s">
        <v>2799</v>
      </c>
      <c r="D294" s="8" t="s">
        <v>49</v>
      </c>
      <c r="E294" s="31" t="s">
        <v>50</v>
      </c>
      <c r="F294" s="32" t="s">
        <v>2083</v>
      </c>
      <c r="G294" s="32" t="s">
        <v>2084</v>
      </c>
      <c r="H294" s="10" t="s">
        <v>4154</v>
      </c>
      <c r="I294" s="18" t="s">
        <v>140</v>
      </c>
      <c r="J294" s="19" t="s">
        <v>2930</v>
      </c>
      <c r="K294" s="10" t="s">
        <v>55</v>
      </c>
      <c r="L294" s="30" t="s">
        <v>2042</v>
      </c>
      <c r="M294" s="30" t="s">
        <v>537</v>
      </c>
      <c r="N294" s="30" t="s">
        <v>4185</v>
      </c>
      <c r="O294" s="30" t="s">
        <v>4185</v>
      </c>
      <c r="P294" s="31" t="s">
        <v>144</v>
      </c>
      <c r="Q294" s="18" t="s">
        <v>2931</v>
      </c>
      <c r="R294" s="10" t="s">
        <v>529</v>
      </c>
      <c r="S294" s="18"/>
      <c r="T294" s="31" t="s">
        <v>60</v>
      </c>
      <c r="U294" s="33">
        <v>20180</v>
      </c>
      <c r="V294" s="34">
        <v>1955</v>
      </c>
      <c r="W294" s="35">
        <v>43488</v>
      </c>
      <c r="X294" s="36">
        <v>2019</v>
      </c>
      <c r="Y294" s="35" t="s">
        <v>94</v>
      </c>
      <c r="Z294" s="35" t="s">
        <v>94</v>
      </c>
      <c r="AA294" s="35" t="s">
        <v>94</v>
      </c>
      <c r="AB294" s="35" t="s">
        <v>94</v>
      </c>
      <c r="AC294" s="35" t="s">
        <v>94</v>
      </c>
      <c r="AD294" s="40"/>
      <c r="AE294" s="39"/>
      <c r="AF294" s="31" t="s">
        <v>891</v>
      </c>
      <c r="AG294" s="37">
        <v>1000000</v>
      </c>
      <c r="AH294" s="37">
        <v>1276413.6100000001</v>
      </c>
      <c r="AI294" s="37">
        <v>1566148.82</v>
      </c>
      <c r="AJ294" s="16" t="s">
        <v>76</v>
      </c>
      <c r="AK294" s="38" t="s">
        <v>94</v>
      </c>
      <c r="AL294" s="37" t="s">
        <v>94</v>
      </c>
      <c r="AM294" s="37" t="s">
        <v>94</v>
      </c>
      <c r="AN294" s="10" t="s">
        <v>64</v>
      </c>
      <c r="AO294" s="8" t="s">
        <v>3756</v>
      </c>
      <c r="AP294" s="15">
        <v>33</v>
      </c>
      <c r="AQ294" s="15" t="s">
        <v>94</v>
      </c>
      <c r="AR294" s="8" t="s">
        <v>3769</v>
      </c>
      <c r="AS294" s="10" t="s">
        <v>3781</v>
      </c>
      <c r="AT294" s="10" t="s">
        <v>3795</v>
      </c>
      <c r="AU294" s="98"/>
      <c r="AV294" s="20"/>
      <c r="AW294" s="10" t="s">
        <v>2932</v>
      </c>
      <c r="AX294" s="7" t="s">
        <v>303</v>
      </c>
      <c r="AY294" s="10" t="s">
        <v>2933</v>
      </c>
      <c r="AZ294" s="10" t="s">
        <v>2934</v>
      </c>
      <c r="BA294" s="10" t="s">
        <v>2935</v>
      </c>
      <c r="BB294" s="18"/>
      <c r="BC294" s="41" t="s">
        <v>2936</v>
      </c>
    </row>
    <row r="295" spans="1:55" ht="70" customHeight="1" x14ac:dyDescent="0.2">
      <c r="A295" s="91" t="s">
        <v>4479</v>
      </c>
      <c r="B295" s="76" t="s">
        <v>2937</v>
      </c>
      <c r="C295" s="19" t="s">
        <v>2938</v>
      </c>
      <c r="D295" s="31" t="s">
        <v>2939</v>
      </c>
      <c r="E295" s="31" t="s">
        <v>50</v>
      </c>
      <c r="F295" s="32" t="s">
        <v>2083</v>
      </c>
      <c r="G295" s="32" t="s">
        <v>2084</v>
      </c>
      <c r="H295" s="10" t="s">
        <v>4154</v>
      </c>
      <c r="I295" s="18" t="s">
        <v>140</v>
      </c>
      <c r="J295" s="19" t="s">
        <v>2940</v>
      </c>
      <c r="K295" s="18" t="s">
        <v>2939</v>
      </c>
      <c r="L295" s="30" t="s">
        <v>2042</v>
      </c>
      <c r="M295" s="30" t="s">
        <v>537</v>
      </c>
      <c r="N295" s="30" t="s">
        <v>4185</v>
      </c>
      <c r="O295" s="30" t="s">
        <v>4185</v>
      </c>
      <c r="P295" s="31" t="s">
        <v>144</v>
      </c>
      <c r="Q295" s="18" t="s">
        <v>2941</v>
      </c>
      <c r="R295" s="18" t="s">
        <v>1227</v>
      </c>
      <c r="S295" s="18"/>
      <c r="T295" s="31" t="s">
        <v>60</v>
      </c>
      <c r="U295" s="33" t="s">
        <v>269</v>
      </c>
      <c r="V295" s="34" t="s">
        <v>269</v>
      </c>
      <c r="W295" s="35">
        <v>43677</v>
      </c>
      <c r="X295" s="36">
        <v>2019</v>
      </c>
      <c r="Y295" s="35" t="s">
        <v>94</v>
      </c>
      <c r="Z295" s="35" t="s">
        <v>94</v>
      </c>
      <c r="AA295" s="35" t="s">
        <v>94</v>
      </c>
      <c r="AB295" s="35" t="s">
        <v>94</v>
      </c>
      <c r="AC295" s="35" t="s">
        <v>94</v>
      </c>
      <c r="AD295" s="40"/>
      <c r="AE295" s="39" t="s">
        <v>514</v>
      </c>
      <c r="AF295" s="31" t="s">
        <v>891</v>
      </c>
      <c r="AG295" s="37">
        <v>20000000</v>
      </c>
      <c r="AH295" s="37">
        <v>25528272.170000002</v>
      </c>
      <c r="AI295" s="37">
        <v>31322976.370000001</v>
      </c>
      <c r="AJ295" s="16" t="s">
        <v>76</v>
      </c>
      <c r="AK295" s="38" t="s">
        <v>94</v>
      </c>
      <c r="AL295" s="37" t="s">
        <v>94</v>
      </c>
      <c r="AM295" s="37" t="s">
        <v>94</v>
      </c>
      <c r="AN295" s="10" t="s">
        <v>149</v>
      </c>
      <c r="AO295" s="8" t="s">
        <v>150</v>
      </c>
      <c r="AP295" s="15" t="s">
        <v>151</v>
      </c>
      <c r="AQ295" s="15" t="s">
        <v>151</v>
      </c>
      <c r="AR295" s="8" t="s">
        <v>3759</v>
      </c>
      <c r="AS295" s="10" t="s">
        <v>3811</v>
      </c>
      <c r="AT295" s="10" t="s">
        <v>3795</v>
      </c>
      <c r="AU295" s="98"/>
      <c r="AV295" s="20"/>
      <c r="AW295" s="10" t="s">
        <v>2942</v>
      </c>
      <c r="AX295" s="7" t="s">
        <v>2943</v>
      </c>
      <c r="AY295" s="10" t="s">
        <v>2944</v>
      </c>
      <c r="AZ295" s="10" t="s">
        <v>2945</v>
      </c>
      <c r="BA295" s="10" t="s">
        <v>2946</v>
      </c>
      <c r="BB295" s="18"/>
      <c r="BC295" s="41" t="s">
        <v>2947</v>
      </c>
    </row>
    <row r="296" spans="1:55" ht="69" customHeight="1" x14ac:dyDescent="0.2">
      <c r="A296" s="91" t="s">
        <v>4480</v>
      </c>
      <c r="B296" s="76" t="s">
        <v>2948</v>
      </c>
      <c r="C296" s="19" t="s">
        <v>2881</v>
      </c>
      <c r="D296" s="8" t="s">
        <v>49</v>
      </c>
      <c r="E296" s="31" t="s">
        <v>50</v>
      </c>
      <c r="F296" s="32" t="s">
        <v>2083</v>
      </c>
      <c r="G296" s="32" t="s">
        <v>2084</v>
      </c>
      <c r="H296" s="10" t="s">
        <v>4154</v>
      </c>
      <c r="I296" s="18" t="s">
        <v>140</v>
      </c>
      <c r="J296" s="19" t="s">
        <v>2949</v>
      </c>
      <c r="K296" s="10" t="s">
        <v>55</v>
      </c>
      <c r="L296" s="9" t="s">
        <v>2083</v>
      </c>
      <c r="M296" s="9" t="s">
        <v>2084</v>
      </c>
      <c r="N296" s="10" t="s">
        <v>4154</v>
      </c>
      <c r="O296" s="8" t="s">
        <v>140</v>
      </c>
      <c r="P296" s="31" t="s">
        <v>56</v>
      </c>
      <c r="Q296" s="18" t="s">
        <v>2950</v>
      </c>
      <c r="R296" s="18" t="s">
        <v>163</v>
      </c>
      <c r="S296" s="18"/>
      <c r="T296" s="31" t="s">
        <v>60</v>
      </c>
      <c r="U296" s="33">
        <v>8037</v>
      </c>
      <c r="V296" s="57">
        <v>1922</v>
      </c>
      <c r="W296" s="35">
        <v>43774</v>
      </c>
      <c r="X296" s="36">
        <v>2019</v>
      </c>
      <c r="Y296" s="13">
        <v>43831</v>
      </c>
      <c r="Z296" s="36">
        <v>2020</v>
      </c>
      <c r="AA296" s="13">
        <v>44927</v>
      </c>
      <c r="AB296" s="40">
        <v>2023</v>
      </c>
      <c r="AC296" s="40">
        <v>3</v>
      </c>
      <c r="AD296" s="40">
        <v>2023</v>
      </c>
      <c r="AE296" s="39" t="s">
        <v>2951</v>
      </c>
      <c r="AF296" s="31" t="s">
        <v>891</v>
      </c>
      <c r="AG296" s="37">
        <v>77000000</v>
      </c>
      <c r="AH296" s="37">
        <v>95706993.599999994</v>
      </c>
      <c r="AI296" s="16">
        <v>98529813.109999999</v>
      </c>
      <c r="AJ296" s="16" t="s">
        <v>63</v>
      </c>
      <c r="AK296" s="37">
        <v>77000000</v>
      </c>
      <c r="AL296" s="37">
        <v>95706993.599999994</v>
      </c>
      <c r="AM296" s="16">
        <v>98529813.109999999</v>
      </c>
      <c r="AN296" s="10" t="s">
        <v>64</v>
      </c>
      <c r="AO296" s="8" t="s">
        <v>3756</v>
      </c>
      <c r="AP296" s="43">
        <v>4000</v>
      </c>
      <c r="AQ296" s="43">
        <v>4000</v>
      </c>
      <c r="AR296" s="8" t="s">
        <v>3765</v>
      </c>
      <c r="AS296" s="10" t="s">
        <v>3781</v>
      </c>
      <c r="AT296" s="10" t="s">
        <v>3795</v>
      </c>
      <c r="AU296" s="98"/>
      <c r="AV296" s="20"/>
      <c r="AW296" s="10" t="s">
        <v>2952</v>
      </c>
      <c r="AX296" s="7" t="s">
        <v>883</v>
      </c>
      <c r="AY296" s="10" t="s">
        <v>2953</v>
      </c>
      <c r="AZ296" s="10" t="s">
        <v>2954</v>
      </c>
      <c r="BA296" s="10" t="s">
        <v>2955</v>
      </c>
      <c r="BB296" s="18" t="s">
        <v>2956</v>
      </c>
      <c r="BC296" s="18" t="s">
        <v>4094</v>
      </c>
    </row>
    <row r="297" spans="1:55" ht="70" customHeight="1" x14ac:dyDescent="0.2">
      <c r="A297" s="91" t="s">
        <v>4481</v>
      </c>
      <c r="B297" s="76" t="s">
        <v>2957</v>
      </c>
      <c r="C297" s="19" t="s">
        <v>2843</v>
      </c>
      <c r="D297" s="8" t="s">
        <v>49</v>
      </c>
      <c r="E297" s="31" t="s">
        <v>50</v>
      </c>
      <c r="F297" s="32" t="s">
        <v>2083</v>
      </c>
      <c r="G297" s="32" t="s">
        <v>2084</v>
      </c>
      <c r="H297" s="10" t="s">
        <v>4154</v>
      </c>
      <c r="I297" s="18" t="s">
        <v>140</v>
      </c>
      <c r="J297" s="19" t="s">
        <v>2800</v>
      </c>
      <c r="K297" s="10" t="s">
        <v>55</v>
      </c>
      <c r="L297" s="9" t="s">
        <v>2083</v>
      </c>
      <c r="M297" s="9" t="s">
        <v>2084</v>
      </c>
      <c r="N297" s="10" t="s">
        <v>4154</v>
      </c>
      <c r="O297" s="8" t="s">
        <v>140</v>
      </c>
      <c r="P297" s="31" t="s">
        <v>56</v>
      </c>
      <c r="Q297" s="18" t="s">
        <v>2801</v>
      </c>
      <c r="R297" s="10" t="s">
        <v>72</v>
      </c>
      <c r="S297" s="18"/>
      <c r="T297" s="31" t="s">
        <v>73</v>
      </c>
      <c r="U297" s="33">
        <v>24838</v>
      </c>
      <c r="V297" s="57">
        <v>1968</v>
      </c>
      <c r="W297" s="13" t="s">
        <v>94</v>
      </c>
      <c r="X297" s="36">
        <v>2019</v>
      </c>
      <c r="Y297" s="13">
        <v>43466</v>
      </c>
      <c r="Z297" s="36">
        <v>2019</v>
      </c>
      <c r="AA297" s="13">
        <v>45292</v>
      </c>
      <c r="AB297" s="36">
        <v>2024</v>
      </c>
      <c r="AC297" s="40">
        <v>5</v>
      </c>
      <c r="AD297" s="40">
        <v>2024</v>
      </c>
      <c r="AE297" s="39"/>
      <c r="AF297" s="31" t="s">
        <v>891</v>
      </c>
      <c r="AG297" s="38">
        <v>12576458.5</v>
      </c>
      <c r="AH297" s="37">
        <v>16073906.09</v>
      </c>
      <c r="AI297" s="37">
        <v>16073906.09</v>
      </c>
      <c r="AJ297" s="16" t="s">
        <v>63</v>
      </c>
      <c r="AK297" s="38">
        <v>12576458.5</v>
      </c>
      <c r="AL297" s="37">
        <v>16073906.09</v>
      </c>
      <c r="AM297" s="37">
        <v>16073906.09</v>
      </c>
      <c r="AN297" s="10" t="s">
        <v>64</v>
      </c>
      <c r="AO297" s="8" t="s">
        <v>3757</v>
      </c>
      <c r="AP297" s="15">
        <v>82</v>
      </c>
      <c r="AQ297" s="15">
        <v>82</v>
      </c>
      <c r="AR297" s="8" t="s">
        <v>3765</v>
      </c>
      <c r="AS297" s="10" t="s">
        <v>3781</v>
      </c>
      <c r="AT297" s="10" t="s">
        <v>3795</v>
      </c>
      <c r="AU297" s="98"/>
      <c r="AV297" s="20"/>
      <c r="AW297" s="10"/>
      <c r="AX297" s="7" t="s">
        <v>2958</v>
      </c>
      <c r="AY297" s="10" t="s">
        <v>2959</v>
      </c>
      <c r="AZ297" s="10" t="s">
        <v>2960</v>
      </c>
      <c r="BA297" s="10" t="s">
        <v>2961</v>
      </c>
      <c r="BB297" s="18" t="s">
        <v>2962</v>
      </c>
      <c r="BC297" s="18" t="s">
        <v>4095</v>
      </c>
    </row>
    <row r="298" spans="1:55" ht="69" customHeight="1" x14ac:dyDescent="0.2">
      <c r="A298" s="88" t="s">
        <v>4482</v>
      </c>
      <c r="B298" s="6" t="s">
        <v>2963</v>
      </c>
      <c r="C298" s="7" t="s">
        <v>2881</v>
      </c>
      <c r="D298" s="8" t="s">
        <v>49</v>
      </c>
      <c r="E298" s="31" t="s">
        <v>50</v>
      </c>
      <c r="F298" s="9" t="s">
        <v>2083</v>
      </c>
      <c r="G298" s="32" t="s">
        <v>2084</v>
      </c>
      <c r="H298" s="10" t="s">
        <v>4154</v>
      </c>
      <c r="I298" s="10" t="s">
        <v>140</v>
      </c>
      <c r="J298" s="7" t="s">
        <v>2964</v>
      </c>
      <c r="K298" s="10" t="s">
        <v>55</v>
      </c>
      <c r="L298" s="30" t="s">
        <v>2042</v>
      </c>
      <c r="M298" s="30" t="s">
        <v>537</v>
      </c>
      <c r="N298" s="30" t="s">
        <v>4185</v>
      </c>
      <c r="O298" s="30" t="s">
        <v>4185</v>
      </c>
      <c r="P298" s="8" t="s">
        <v>144</v>
      </c>
      <c r="Q298" s="10" t="s">
        <v>2801</v>
      </c>
      <c r="R298" s="10" t="s">
        <v>72</v>
      </c>
      <c r="S298" s="10"/>
      <c r="T298" s="8" t="s">
        <v>73</v>
      </c>
      <c r="U298" s="33">
        <v>24838</v>
      </c>
      <c r="V298" s="44">
        <v>1968</v>
      </c>
      <c r="W298" s="13">
        <v>43861</v>
      </c>
      <c r="X298" s="14">
        <v>2020</v>
      </c>
      <c r="Y298" s="13">
        <v>44197</v>
      </c>
      <c r="Z298" s="14">
        <v>2021</v>
      </c>
      <c r="AA298" s="13">
        <v>45292</v>
      </c>
      <c r="AB298" s="12">
        <v>2024</v>
      </c>
      <c r="AC298" s="40">
        <v>3</v>
      </c>
      <c r="AD298" s="15">
        <v>2024</v>
      </c>
      <c r="AE298" s="27" t="s">
        <v>2965</v>
      </c>
      <c r="AF298" s="8" t="s">
        <v>891</v>
      </c>
      <c r="AG298" s="16">
        <v>104914259.76000001</v>
      </c>
      <c r="AH298" s="16">
        <v>134090368.84999999</v>
      </c>
      <c r="AI298" s="16">
        <v>134090368.84999999</v>
      </c>
      <c r="AJ298" s="16" t="s">
        <v>63</v>
      </c>
      <c r="AK298" s="16">
        <v>104914259.76000001</v>
      </c>
      <c r="AL298" s="16">
        <v>134090368.84999999</v>
      </c>
      <c r="AM298" s="16">
        <v>134090368.84999999</v>
      </c>
      <c r="AN298" s="10" t="s">
        <v>64</v>
      </c>
      <c r="AO298" s="8" t="s">
        <v>3757</v>
      </c>
      <c r="AP298" s="43">
        <v>11690</v>
      </c>
      <c r="AQ298" s="43">
        <v>11690</v>
      </c>
      <c r="AR298" s="8" t="s">
        <v>3765</v>
      </c>
      <c r="AS298" s="10" t="s">
        <v>3780</v>
      </c>
      <c r="AT298" s="10" t="s">
        <v>3795</v>
      </c>
      <c r="AU298" s="96"/>
      <c r="AV298" s="17"/>
      <c r="AW298" s="10" t="s">
        <v>3963</v>
      </c>
      <c r="AX298" s="7" t="s">
        <v>2966</v>
      </c>
      <c r="AY298" s="10" t="s">
        <v>2967</v>
      </c>
      <c r="AZ298" s="10" t="s">
        <v>4138</v>
      </c>
      <c r="BA298" s="10" t="s">
        <v>2968</v>
      </c>
      <c r="BB298" s="18" t="s">
        <v>2969</v>
      </c>
      <c r="BC298" s="18" t="s">
        <v>4096</v>
      </c>
    </row>
    <row r="299" spans="1:55" ht="69" customHeight="1" x14ac:dyDescent="0.2">
      <c r="A299" s="91" t="s">
        <v>4483</v>
      </c>
      <c r="B299" s="76" t="s">
        <v>2970</v>
      </c>
      <c r="C299" s="19" t="s">
        <v>2971</v>
      </c>
      <c r="D299" s="31" t="s">
        <v>453</v>
      </c>
      <c r="E299" s="31" t="s">
        <v>280</v>
      </c>
      <c r="F299" s="32" t="s">
        <v>2083</v>
      </c>
      <c r="G299" s="32" t="s">
        <v>2084</v>
      </c>
      <c r="H299" s="10" t="s">
        <v>4154</v>
      </c>
      <c r="I299" s="18" t="s">
        <v>140</v>
      </c>
      <c r="J299" s="19" t="s">
        <v>2972</v>
      </c>
      <c r="K299" s="10" t="s">
        <v>55</v>
      </c>
      <c r="L299" s="9" t="s">
        <v>2973</v>
      </c>
      <c r="M299" s="9" t="s">
        <v>2974</v>
      </c>
      <c r="N299" s="10" t="s">
        <v>4592</v>
      </c>
      <c r="O299" s="8" t="s">
        <v>53</v>
      </c>
      <c r="P299" s="31" t="s">
        <v>144</v>
      </c>
      <c r="Q299" s="18" t="s">
        <v>2975</v>
      </c>
      <c r="R299" s="18" t="s">
        <v>1227</v>
      </c>
      <c r="S299" s="18"/>
      <c r="T299" s="31" t="s">
        <v>60</v>
      </c>
      <c r="U299" s="33" t="s">
        <v>269</v>
      </c>
      <c r="V299" s="34" t="s">
        <v>269</v>
      </c>
      <c r="W299" s="35">
        <v>44958</v>
      </c>
      <c r="X299" s="36">
        <v>2023</v>
      </c>
      <c r="Y299" s="35">
        <v>44984</v>
      </c>
      <c r="Z299" s="40">
        <v>2023</v>
      </c>
      <c r="AA299" s="35">
        <v>44984</v>
      </c>
      <c r="AB299" s="40">
        <v>2023</v>
      </c>
      <c r="AC299" s="40">
        <v>0</v>
      </c>
      <c r="AD299" s="40">
        <v>2023</v>
      </c>
      <c r="AE299" s="39"/>
      <c r="AF299" s="31" t="s">
        <v>891</v>
      </c>
      <c r="AG299" s="37">
        <v>100000</v>
      </c>
      <c r="AH299" s="37">
        <v>124294.8</v>
      </c>
      <c r="AI299" s="37">
        <v>127960.8</v>
      </c>
      <c r="AJ299" s="16" t="s">
        <v>76</v>
      </c>
      <c r="AK299" s="38">
        <v>100000</v>
      </c>
      <c r="AL299" s="37">
        <v>124294.8</v>
      </c>
      <c r="AM299" s="16">
        <v>127960.8</v>
      </c>
      <c r="AN299" s="10" t="s">
        <v>149</v>
      </c>
      <c r="AO299" s="8" t="s">
        <v>3758</v>
      </c>
      <c r="AP299" s="15" t="s">
        <v>151</v>
      </c>
      <c r="AQ299" s="15" t="s">
        <v>151</v>
      </c>
      <c r="AR299" s="8" t="s">
        <v>3773</v>
      </c>
      <c r="AS299" s="18" t="s">
        <v>3776</v>
      </c>
      <c r="AT299" s="10" t="s">
        <v>3795</v>
      </c>
      <c r="AU299" s="98" t="s">
        <v>576</v>
      </c>
      <c r="AV299" s="20"/>
      <c r="AW299" s="10"/>
      <c r="AX299" s="7" t="s">
        <v>303</v>
      </c>
      <c r="AY299" s="10" t="s">
        <v>2976</v>
      </c>
      <c r="AZ299" s="10" t="s">
        <v>2977</v>
      </c>
      <c r="BA299" s="10" t="s">
        <v>2978</v>
      </c>
      <c r="BB299" s="18"/>
      <c r="BC299" s="41" t="s">
        <v>2979</v>
      </c>
    </row>
    <row r="300" spans="1:55" ht="70" customHeight="1" x14ac:dyDescent="0.2">
      <c r="A300" s="91" t="s">
        <v>4484</v>
      </c>
      <c r="B300" s="76" t="s">
        <v>2980</v>
      </c>
      <c r="C300" s="19" t="s">
        <v>2799</v>
      </c>
      <c r="D300" s="8" t="s">
        <v>49</v>
      </c>
      <c r="E300" s="31" t="s">
        <v>50</v>
      </c>
      <c r="F300" s="32" t="s">
        <v>2083</v>
      </c>
      <c r="G300" s="32" t="s">
        <v>2084</v>
      </c>
      <c r="H300" s="10" t="s">
        <v>4154</v>
      </c>
      <c r="I300" s="18" t="s">
        <v>140</v>
      </c>
      <c r="J300" s="19" t="s">
        <v>2981</v>
      </c>
      <c r="K300" s="10" t="s">
        <v>55</v>
      </c>
      <c r="L300" s="9" t="s">
        <v>2083</v>
      </c>
      <c r="M300" s="9" t="s">
        <v>2084</v>
      </c>
      <c r="N300" s="10" t="s">
        <v>4154</v>
      </c>
      <c r="O300" s="8" t="s">
        <v>140</v>
      </c>
      <c r="P300" s="31" t="s">
        <v>56</v>
      </c>
      <c r="Q300" s="18" t="s">
        <v>2982</v>
      </c>
      <c r="R300" s="10" t="s">
        <v>72</v>
      </c>
      <c r="S300" s="18"/>
      <c r="T300" s="31" t="s">
        <v>73</v>
      </c>
      <c r="U300" s="33">
        <v>26328</v>
      </c>
      <c r="V300" s="34">
        <v>1972</v>
      </c>
      <c r="W300" s="35">
        <v>45198</v>
      </c>
      <c r="X300" s="36">
        <v>2023</v>
      </c>
      <c r="Y300" s="35" t="s">
        <v>94</v>
      </c>
      <c r="Z300" s="35" t="s">
        <v>94</v>
      </c>
      <c r="AA300" s="35" t="s">
        <v>94</v>
      </c>
      <c r="AB300" s="35" t="s">
        <v>94</v>
      </c>
      <c r="AC300" s="35" t="s">
        <v>94</v>
      </c>
      <c r="AD300" s="40"/>
      <c r="AE300" s="39"/>
      <c r="AF300" s="31" t="s">
        <v>891</v>
      </c>
      <c r="AG300" s="37">
        <v>130000</v>
      </c>
      <c r="AH300" s="37">
        <v>161583.24</v>
      </c>
      <c r="AI300" s="37">
        <v>166349.04</v>
      </c>
      <c r="AJ300" s="16" t="s">
        <v>76</v>
      </c>
      <c r="AK300" s="38" t="s">
        <v>94</v>
      </c>
      <c r="AL300" s="37" t="s">
        <v>94</v>
      </c>
      <c r="AM300" s="37" t="s">
        <v>94</v>
      </c>
      <c r="AN300" s="10" t="s">
        <v>64</v>
      </c>
      <c r="AO300" s="8" t="s">
        <v>3758</v>
      </c>
      <c r="AP300" s="15">
        <v>1</v>
      </c>
      <c r="AQ300" s="15" t="s">
        <v>94</v>
      </c>
      <c r="AR300" s="8" t="s">
        <v>3762</v>
      </c>
      <c r="AS300" s="10" t="s">
        <v>3781</v>
      </c>
      <c r="AT300" s="10" t="s">
        <v>3795</v>
      </c>
      <c r="AU300" s="98"/>
      <c r="AV300" s="20"/>
      <c r="AW300" s="10"/>
      <c r="AX300" s="7" t="s">
        <v>883</v>
      </c>
      <c r="AY300" s="10" t="s">
        <v>2983</v>
      </c>
      <c r="AZ300" s="10" t="s">
        <v>2984</v>
      </c>
      <c r="BA300" s="10" t="s">
        <v>2985</v>
      </c>
      <c r="BB300" s="18"/>
      <c r="BC300" s="18" t="s">
        <v>4097</v>
      </c>
    </row>
    <row r="301" spans="1:55" ht="70" customHeight="1" x14ac:dyDescent="0.2">
      <c r="A301" s="91" t="s">
        <v>4485</v>
      </c>
      <c r="B301" s="76" t="s">
        <v>2986</v>
      </c>
      <c r="C301" s="19" t="s">
        <v>2987</v>
      </c>
      <c r="D301" s="31" t="s">
        <v>279</v>
      </c>
      <c r="E301" s="31" t="s">
        <v>280</v>
      </c>
      <c r="F301" s="32" t="s">
        <v>2083</v>
      </c>
      <c r="G301" s="32" t="s">
        <v>2084</v>
      </c>
      <c r="H301" s="10" t="s">
        <v>4154</v>
      </c>
      <c r="I301" s="18" t="s">
        <v>140</v>
      </c>
      <c r="J301" s="19" t="s">
        <v>2988</v>
      </c>
      <c r="K301" s="10" t="s">
        <v>55</v>
      </c>
      <c r="L301" s="30" t="s">
        <v>2042</v>
      </c>
      <c r="M301" s="30" t="s">
        <v>537</v>
      </c>
      <c r="N301" s="30" t="s">
        <v>4185</v>
      </c>
      <c r="O301" s="30" t="s">
        <v>4185</v>
      </c>
      <c r="P301" s="31" t="s">
        <v>144</v>
      </c>
      <c r="Q301" s="18" t="s">
        <v>2989</v>
      </c>
      <c r="R301" s="18" t="s">
        <v>1227</v>
      </c>
      <c r="S301" s="18"/>
      <c r="T301" s="31" t="s">
        <v>73</v>
      </c>
      <c r="U301" s="33" t="s">
        <v>2990</v>
      </c>
      <c r="V301" s="34">
        <v>1688</v>
      </c>
      <c r="W301" s="35">
        <v>45238</v>
      </c>
      <c r="X301" s="36">
        <v>2023</v>
      </c>
      <c r="Y301" s="35" t="s">
        <v>94</v>
      </c>
      <c r="Z301" s="35" t="s">
        <v>94</v>
      </c>
      <c r="AA301" s="35" t="s">
        <v>94</v>
      </c>
      <c r="AB301" s="35" t="s">
        <v>94</v>
      </c>
      <c r="AC301" s="35" t="s">
        <v>94</v>
      </c>
      <c r="AD301" s="35"/>
      <c r="AE301" s="39"/>
      <c r="AF301" s="31" t="s">
        <v>891</v>
      </c>
      <c r="AG301" s="37">
        <v>40000000</v>
      </c>
      <c r="AH301" s="37">
        <v>49600000</v>
      </c>
      <c r="AI301" s="37">
        <v>51062921.810000002</v>
      </c>
      <c r="AJ301" s="16" t="s">
        <v>76</v>
      </c>
      <c r="AK301" s="38" t="s">
        <v>94</v>
      </c>
      <c r="AL301" s="38" t="s">
        <v>94</v>
      </c>
      <c r="AM301" s="38" t="s">
        <v>94</v>
      </c>
      <c r="AN301" s="10" t="s">
        <v>149</v>
      </c>
      <c r="AO301" s="8" t="s">
        <v>150</v>
      </c>
      <c r="AP301" s="15" t="s">
        <v>151</v>
      </c>
      <c r="AQ301" s="15" t="s">
        <v>151</v>
      </c>
      <c r="AR301" s="8" t="s">
        <v>3773</v>
      </c>
      <c r="AS301" s="31" t="s">
        <v>3821</v>
      </c>
      <c r="AT301" s="18" t="s">
        <v>2991</v>
      </c>
      <c r="AU301" s="98" t="s">
        <v>2992</v>
      </c>
      <c r="AV301" s="20" t="s">
        <v>3927</v>
      </c>
      <c r="AW301" s="10"/>
      <c r="AX301" s="7" t="s">
        <v>4062</v>
      </c>
      <c r="AY301" s="10" t="s">
        <v>2993</v>
      </c>
      <c r="AZ301" s="10" t="s">
        <v>2994</v>
      </c>
      <c r="BA301" s="10" t="s">
        <v>2995</v>
      </c>
      <c r="BB301" s="18"/>
      <c r="BC301" s="41" t="s">
        <v>2996</v>
      </c>
    </row>
    <row r="302" spans="1:55" ht="70" customHeight="1" x14ac:dyDescent="0.2">
      <c r="A302" s="91" t="s">
        <v>4486</v>
      </c>
      <c r="B302" s="76" t="s">
        <v>2997</v>
      </c>
      <c r="C302" s="19" t="s">
        <v>2998</v>
      </c>
      <c r="D302" s="8" t="s">
        <v>49</v>
      </c>
      <c r="E302" s="31" t="s">
        <v>50</v>
      </c>
      <c r="F302" s="32" t="s">
        <v>2083</v>
      </c>
      <c r="G302" s="32" t="s">
        <v>2084</v>
      </c>
      <c r="H302" s="10" t="s">
        <v>4154</v>
      </c>
      <c r="I302" s="18" t="s">
        <v>140</v>
      </c>
      <c r="J302" s="19" t="s">
        <v>2999</v>
      </c>
      <c r="K302" s="10" t="s">
        <v>55</v>
      </c>
      <c r="L302" s="9" t="s">
        <v>2083</v>
      </c>
      <c r="M302" s="9" t="s">
        <v>2084</v>
      </c>
      <c r="N302" s="10" t="s">
        <v>4154</v>
      </c>
      <c r="O302" s="8" t="s">
        <v>140</v>
      </c>
      <c r="P302" s="31" t="s">
        <v>56</v>
      </c>
      <c r="Q302" s="18" t="s">
        <v>3000</v>
      </c>
      <c r="R302" s="18" t="s">
        <v>177</v>
      </c>
      <c r="S302" s="18"/>
      <c r="T302" s="31" t="s">
        <v>60</v>
      </c>
      <c r="U302" s="33">
        <v>18264</v>
      </c>
      <c r="V302" s="34">
        <v>1950</v>
      </c>
      <c r="W302" s="35">
        <v>45638</v>
      </c>
      <c r="X302" s="36">
        <v>2024</v>
      </c>
      <c r="Y302" s="13">
        <v>45292</v>
      </c>
      <c r="Z302" s="36">
        <v>2024</v>
      </c>
      <c r="AA302" s="35" t="s">
        <v>94</v>
      </c>
      <c r="AB302" s="35" t="s">
        <v>94</v>
      </c>
      <c r="AC302" s="35" t="s">
        <v>94</v>
      </c>
      <c r="AD302" s="35"/>
      <c r="AE302" s="39" t="s">
        <v>119</v>
      </c>
      <c r="AF302" s="31" t="s">
        <v>891</v>
      </c>
      <c r="AG302" s="37">
        <v>75000000</v>
      </c>
      <c r="AH302" s="37">
        <v>95857109.290000007</v>
      </c>
      <c r="AI302" s="37">
        <v>95857109.290000007</v>
      </c>
      <c r="AJ302" s="16" t="s">
        <v>76</v>
      </c>
      <c r="AK302" s="38" t="s">
        <v>94</v>
      </c>
      <c r="AL302" s="37" t="s">
        <v>94</v>
      </c>
      <c r="AM302" s="37" t="s">
        <v>94</v>
      </c>
      <c r="AN302" s="10" t="s">
        <v>64</v>
      </c>
      <c r="AO302" s="8" t="s">
        <v>3756</v>
      </c>
      <c r="AP302" s="43">
        <v>4000</v>
      </c>
      <c r="AQ302" s="15" t="s">
        <v>94</v>
      </c>
      <c r="AR302" s="8" t="s">
        <v>3765</v>
      </c>
      <c r="AS302" s="10" t="s">
        <v>3781</v>
      </c>
      <c r="AT302" s="10" t="s">
        <v>3795</v>
      </c>
      <c r="AU302" s="98"/>
      <c r="AV302" s="20" t="s">
        <v>3001</v>
      </c>
      <c r="AW302" s="10" t="s">
        <v>2917</v>
      </c>
      <c r="AX302" s="7" t="s">
        <v>4063</v>
      </c>
      <c r="AY302" s="10" t="s">
        <v>3002</v>
      </c>
      <c r="AZ302" s="10" t="s">
        <v>3003</v>
      </c>
      <c r="BA302" s="10" t="s">
        <v>3004</v>
      </c>
      <c r="BB302" s="18"/>
      <c r="BC302" s="41" t="s">
        <v>3005</v>
      </c>
    </row>
    <row r="303" spans="1:55" ht="69" customHeight="1" x14ac:dyDescent="0.2">
      <c r="A303" s="91" t="s">
        <v>4487</v>
      </c>
      <c r="B303" s="76" t="s">
        <v>3006</v>
      </c>
      <c r="C303" s="19" t="s">
        <v>3007</v>
      </c>
      <c r="D303" s="8" t="s">
        <v>49</v>
      </c>
      <c r="E303" s="31" t="s">
        <v>50</v>
      </c>
      <c r="F303" s="32" t="s">
        <v>922</v>
      </c>
      <c r="G303" s="32" t="s">
        <v>923</v>
      </c>
      <c r="H303" s="18" t="s">
        <v>572</v>
      </c>
      <c r="I303" s="18" t="s">
        <v>140</v>
      </c>
      <c r="J303" s="19" t="s">
        <v>3008</v>
      </c>
      <c r="K303" s="10" t="s">
        <v>55</v>
      </c>
      <c r="L303" s="9" t="s">
        <v>922</v>
      </c>
      <c r="M303" s="9" t="s">
        <v>923</v>
      </c>
      <c r="N303" s="10" t="s">
        <v>572</v>
      </c>
      <c r="O303" s="8" t="s">
        <v>140</v>
      </c>
      <c r="P303" s="31" t="s">
        <v>56</v>
      </c>
      <c r="Q303" s="18" t="s">
        <v>3009</v>
      </c>
      <c r="R303" s="18" t="s">
        <v>58</v>
      </c>
      <c r="S303" s="18" t="s">
        <v>59</v>
      </c>
      <c r="T303" s="31" t="s">
        <v>60</v>
      </c>
      <c r="U303" s="33" t="s">
        <v>269</v>
      </c>
      <c r="V303" s="34" t="s">
        <v>269</v>
      </c>
      <c r="W303" s="35">
        <v>17027</v>
      </c>
      <c r="X303" s="36">
        <v>1946</v>
      </c>
      <c r="Y303" s="35">
        <v>17027</v>
      </c>
      <c r="Z303" s="40">
        <v>1946</v>
      </c>
      <c r="AA303" s="35">
        <v>28763</v>
      </c>
      <c r="AB303" s="40">
        <v>1978</v>
      </c>
      <c r="AC303" s="40">
        <v>32</v>
      </c>
      <c r="AD303" s="40">
        <v>1978</v>
      </c>
      <c r="AE303" s="39"/>
      <c r="AF303" s="31" t="s">
        <v>106</v>
      </c>
      <c r="AG303" s="38">
        <v>818172606.63999999</v>
      </c>
      <c r="AH303" s="37">
        <v>818172606.63999999</v>
      </c>
      <c r="AI303" s="16">
        <v>3936376484.73</v>
      </c>
      <c r="AJ303" s="16" t="s">
        <v>63</v>
      </c>
      <c r="AK303" s="38">
        <v>818172606.63999999</v>
      </c>
      <c r="AL303" s="37">
        <v>818172606.63999999</v>
      </c>
      <c r="AM303" s="16">
        <v>3936376484.73</v>
      </c>
      <c r="AN303" s="10" t="s">
        <v>64</v>
      </c>
      <c r="AO303" s="8" t="s">
        <v>3757</v>
      </c>
      <c r="AP303" s="15">
        <v>546</v>
      </c>
      <c r="AQ303" s="15">
        <v>546</v>
      </c>
      <c r="AR303" s="8" t="s">
        <v>3762</v>
      </c>
      <c r="AS303" s="18" t="s">
        <v>269</v>
      </c>
      <c r="AT303" s="10" t="s">
        <v>3795</v>
      </c>
      <c r="AU303" s="98"/>
      <c r="AV303" s="20" t="s">
        <v>1126</v>
      </c>
      <c r="AW303" s="10"/>
      <c r="AX303" s="31" t="s">
        <v>153</v>
      </c>
      <c r="AY303" s="10" t="s">
        <v>3010</v>
      </c>
      <c r="AZ303" s="10" t="s">
        <v>3011</v>
      </c>
      <c r="BA303" s="10" t="s">
        <v>3012</v>
      </c>
      <c r="BB303" s="18" t="s">
        <v>3013</v>
      </c>
      <c r="BC303" s="41" t="s">
        <v>3014</v>
      </c>
    </row>
    <row r="304" spans="1:55" ht="70" customHeight="1" x14ac:dyDescent="0.2">
      <c r="A304" s="88" t="s">
        <v>4488</v>
      </c>
      <c r="B304" s="6" t="s">
        <v>3015</v>
      </c>
      <c r="C304" s="19" t="s">
        <v>3007</v>
      </c>
      <c r="D304" s="8" t="s">
        <v>49</v>
      </c>
      <c r="E304" s="31" t="s">
        <v>50</v>
      </c>
      <c r="F304" s="9" t="s">
        <v>922</v>
      </c>
      <c r="G304" s="32" t="s">
        <v>923</v>
      </c>
      <c r="H304" s="10" t="s">
        <v>572</v>
      </c>
      <c r="I304" s="10" t="s">
        <v>140</v>
      </c>
      <c r="J304" s="7" t="s">
        <v>3016</v>
      </c>
      <c r="K304" s="10" t="s">
        <v>55</v>
      </c>
      <c r="L304" s="9" t="s">
        <v>922</v>
      </c>
      <c r="M304" s="9" t="s">
        <v>923</v>
      </c>
      <c r="N304" s="10" t="s">
        <v>572</v>
      </c>
      <c r="O304" s="8" t="s">
        <v>140</v>
      </c>
      <c r="P304" s="8" t="s">
        <v>56</v>
      </c>
      <c r="Q304" s="10" t="s">
        <v>3017</v>
      </c>
      <c r="R304" s="18" t="s">
        <v>58</v>
      </c>
      <c r="S304" s="18" t="s">
        <v>59</v>
      </c>
      <c r="T304" s="8" t="s">
        <v>60</v>
      </c>
      <c r="U304" s="11" t="s">
        <v>269</v>
      </c>
      <c r="V304" s="12" t="s">
        <v>269</v>
      </c>
      <c r="W304" s="13">
        <v>18372</v>
      </c>
      <c r="X304" s="14">
        <v>1950</v>
      </c>
      <c r="Y304" s="13">
        <v>18264</v>
      </c>
      <c r="Z304" s="15">
        <v>1950</v>
      </c>
      <c r="AA304" s="13">
        <v>21916</v>
      </c>
      <c r="AB304" s="36">
        <v>1960</v>
      </c>
      <c r="AC304" s="15">
        <v>10</v>
      </c>
      <c r="AD304" s="15">
        <v>1962</v>
      </c>
      <c r="AE304" s="27" t="s">
        <v>3018</v>
      </c>
      <c r="AF304" s="8" t="s">
        <v>106</v>
      </c>
      <c r="AG304" s="16">
        <v>88570000</v>
      </c>
      <c r="AH304" s="16">
        <v>88570000</v>
      </c>
      <c r="AI304" s="16">
        <v>1152839615.3499999</v>
      </c>
      <c r="AJ304" s="16" t="s">
        <v>76</v>
      </c>
      <c r="AK304" s="28">
        <v>70856000</v>
      </c>
      <c r="AL304" s="28">
        <v>70856000</v>
      </c>
      <c r="AM304" s="16">
        <v>735985025.96000004</v>
      </c>
      <c r="AN304" s="10" t="s">
        <v>149</v>
      </c>
      <c r="AO304" s="8" t="s">
        <v>3757</v>
      </c>
      <c r="AP304" s="15" t="s">
        <v>151</v>
      </c>
      <c r="AQ304" s="15" t="s">
        <v>151</v>
      </c>
      <c r="AR304" s="8" t="s">
        <v>3765</v>
      </c>
      <c r="AS304" s="10" t="s">
        <v>3776</v>
      </c>
      <c r="AT304" s="10" t="s">
        <v>3795</v>
      </c>
      <c r="AU304" s="96" t="s">
        <v>3019</v>
      </c>
      <c r="AV304" s="17" t="s">
        <v>1126</v>
      </c>
      <c r="AW304" s="10"/>
      <c r="AX304" s="7" t="s">
        <v>4064</v>
      </c>
      <c r="AY304" s="10" t="s">
        <v>3020</v>
      </c>
      <c r="AZ304" s="10" t="s">
        <v>3021</v>
      </c>
      <c r="BA304" s="10" t="s">
        <v>3022</v>
      </c>
      <c r="BB304" s="18" t="s">
        <v>3023</v>
      </c>
      <c r="BC304" s="41" t="s">
        <v>3024</v>
      </c>
    </row>
    <row r="305" spans="1:55" ht="70" customHeight="1" x14ac:dyDescent="0.2">
      <c r="A305" s="91" t="s">
        <v>4489</v>
      </c>
      <c r="B305" s="76" t="s">
        <v>3025</v>
      </c>
      <c r="C305" s="19" t="s">
        <v>3007</v>
      </c>
      <c r="D305" s="8" t="s">
        <v>49</v>
      </c>
      <c r="E305" s="31" t="s">
        <v>50</v>
      </c>
      <c r="F305" s="32" t="s">
        <v>922</v>
      </c>
      <c r="G305" s="32" t="s">
        <v>923</v>
      </c>
      <c r="H305" s="18" t="s">
        <v>572</v>
      </c>
      <c r="I305" s="18" t="s">
        <v>140</v>
      </c>
      <c r="J305" s="19" t="s">
        <v>3026</v>
      </c>
      <c r="K305" s="10" t="s">
        <v>55</v>
      </c>
      <c r="L305" s="9" t="s">
        <v>922</v>
      </c>
      <c r="M305" s="9" t="s">
        <v>923</v>
      </c>
      <c r="N305" s="10" t="s">
        <v>572</v>
      </c>
      <c r="O305" s="8" t="s">
        <v>140</v>
      </c>
      <c r="P305" s="31" t="s">
        <v>56</v>
      </c>
      <c r="Q305" s="18" t="s">
        <v>3027</v>
      </c>
      <c r="R305" s="18" t="s">
        <v>58</v>
      </c>
      <c r="S305" s="18" t="s">
        <v>59</v>
      </c>
      <c r="T305" s="31" t="s">
        <v>60</v>
      </c>
      <c r="U305" s="34" t="s">
        <v>3028</v>
      </c>
      <c r="V305" s="34">
        <v>1891</v>
      </c>
      <c r="W305" s="35">
        <v>24856</v>
      </c>
      <c r="X305" s="36">
        <v>1968</v>
      </c>
      <c r="Y305" s="35" t="s">
        <v>94</v>
      </c>
      <c r="Z305" s="35" t="s">
        <v>94</v>
      </c>
      <c r="AA305" s="35" t="s">
        <v>94</v>
      </c>
      <c r="AB305" s="35" t="s">
        <v>94</v>
      </c>
      <c r="AC305" s="35" t="s">
        <v>94</v>
      </c>
      <c r="AD305" s="40"/>
      <c r="AE305" s="39"/>
      <c r="AF305" s="31" t="s">
        <v>106</v>
      </c>
      <c r="AG305" s="37">
        <v>7500000</v>
      </c>
      <c r="AH305" s="37">
        <v>7500000</v>
      </c>
      <c r="AI305" s="37">
        <v>67605387.930000007</v>
      </c>
      <c r="AJ305" s="16" t="s">
        <v>76</v>
      </c>
      <c r="AK305" s="28" t="s">
        <v>94</v>
      </c>
      <c r="AL305" s="16" t="s">
        <v>94</v>
      </c>
      <c r="AM305" s="16" t="s">
        <v>94</v>
      </c>
      <c r="AN305" s="10" t="s">
        <v>149</v>
      </c>
      <c r="AO305" s="8" t="s">
        <v>3757</v>
      </c>
      <c r="AP305" s="15" t="s">
        <v>151</v>
      </c>
      <c r="AQ305" s="15" t="s">
        <v>151</v>
      </c>
      <c r="AR305" s="8" t="s">
        <v>3762</v>
      </c>
      <c r="AS305" s="10" t="s">
        <v>3776</v>
      </c>
      <c r="AT305" s="18" t="s">
        <v>3029</v>
      </c>
      <c r="AU305" s="98"/>
      <c r="AV305" s="20" t="s">
        <v>1126</v>
      </c>
      <c r="AW305" s="10"/>
      <c r="AX305" s="7"/>
      <c r="AY305" s="10" t="s">
        <v>3030</v>
      </c>
      <c r="AZ305" s="10" t="s">
        <v>3031</v>
      </c>
      <c r="BA305" s="10" t="s">
        <v>3032</v>
      </c>
      <c r="BB305" s="18"/>
      <c r="BC305" s="41" t="s">
        <v>3033</v>
      </c>
    </row>
    <row r="306" spans="1:55" ht="70" customHeight="1" x14ac:dyDescent="0.2">
      <c r="A306" s="91" t="s">
        <v>4490</v>
      </c>
      <c r="B306" s="76" t="s">
        <v>3034</v>
      </c>
      <c r="C306" s="19" t="s">
        <v>3035</v>
      </c>
      <c r="D306" s="31" t="s">
        <v>2939</v>
      </c>
      <c r="E306" s="31" t="s">
        <v>280</v>
      </c>
      <c r="F306" s="32" t="s">
        <v>922</v>
      </c>
      <c r="G306" s="32" t="s">
        <v>923</v>
      </c>
      <c r="H306" s="18" t="s">
        <v>572</v>
      </c>
      <c r="I306" s="18" t="s">
        <v>140</v>
      </c>
      <c r="J306" s="19" t="s">
        <v>3036</v>
      </c>
      <c r="K306" s="10" t="s">
        <v>55</v>
      </c>
      <c r="L306" s="9" t="s">
        <v>922</v>
      </c>
      <c r="M306" s="9" t="s">
        <v>923</v>
      </c>
      <c r="N306" s="10" t="s">
        <v>572</v>
      </c>
      <c r="O306" s="8" t="s">
        <v>140</v>
      </c>
      <c r="P306" s="31" t="s">
        <v>56</v>
      </c>
      <c r="Q306" s="18" t="s">
        <v>3037</v>
      </c>
      <c r="R306" s="18" t="s">
        <v>1227</v>
      </c>
      <c r="S306" s="18"/>
      <c r="T306" s="31" t="s">
        <v>60</v>
      </c>
      <c r="U306" s="33" t="s">
        <v>269</v>
      </c>
      <c r="V306" s="34" t="s">
        <v>269</v>
      </c>
      <c r="W306" s="13" t="s">
        <v>94</v>
      </c>
      <c r="X306" s="36">
        <v>1969</v>
      </c>
      <c r="Y306" s="13">
        <v>25204</v>
      </c>
      <c r="Z306" s="36">
        <v>1969</v>
      </c>
      <c r="AA306" s="13">
        <v>25204</v>
      </c>
      <c r="AB306" s="36">
        <v>1969</v>
      </c>
      <c r="AC306" s="40">
        <v>0</v>
      </c>
      <c r="AD306" s="15">
        <v>1969</v>
      </c>
      <c r="AE306" s="39"/>
      <c r="AF306" s="31" t="s">
        <v>106</v>
      </c>
      <c r="AG306" s="38">
        <v>215000</v>
      </c>
      <c r="AH306" s="37">
        <v>215000</v>
      </c>
      <c r="AI306" s="37">
        <v>1837687.6</v>
      </c>
      <c r="AJ306" s="16" t="s">
        <v>63</v>
      </c>
      <c r="AK306" s="38">
        <v>215000</v>
      </c>
      <c r="AL306" s="37">
        <v>215000</v>
      </c>
      <c r="AM306" s="16">
        <v>1837687.6</v>
      </c>
      <c r="AN306" s="10" t="s">
        <v>149</v>
      </c>
      <c r="AO306" s="8" t="s">
        <v>150</v>
      </c>
      <c r="AP306" s="15" t="s">
        <v>151</v>
      </c>
      <c r="AQ306" s="15" t="s">
        <v>151</v>
      </c>
      <c r="AR306" s="8" t="s">
        <v>3773</v>
      </c>
      <c r="AS306" s="10" t="s">
        <v>3776</v>
      </c>
      <c r="AT306" s="10" t="s">
        <v>3795</v>
      </c>
      <c r="AU306" s="98" t="s">
        <v>2992</v>
      </c>
      <c r="AV306" s="20" t="s">
        <v>1126</v>
      </c>
      <c r="AW306" s="10" t="s">
        <v>3034</v>
      </c>
      <c r="AX306" s="7"/>
      <c r="AY306" s="10" t="s">
        <v>3038</v>
      </c>
      <c r="AZ306" s="10" t="s">
        <v>3039</v>
      </c>
      <c r="BA306" s="10" t="s">
        <v>3040</v>
      </c>
      <c r="BB306" s="18" t="s">
        <v>896</v>
      </c>
      <c r="BC306" s="41" t="s">
        <v>3041</v>
      </c>
    </row>
    <row r="307" spans="1:55" ht="70" customHeight="1" x14ac:dyDescent="0.2">
      <c r="A307" s="91" t="s">
        <v>4491</v>
      </c>
      <c r="B307" s="76" t="s">
        <v>3042</v>
      </c>
      <c r="C307" s="19" t="s">
        <v>3007</v>
      </c>
      <c r="D307" s="8" t="s">
        <v>49</v>
      </c>
      <c r="E307" s="31" t="s">
        <v>50</v>
      </c>
      <c r="F307" s="32" t="s">
        <v>922</v>
      </c>
      <c r="G307" s="32" t="s">
        <v>923</v>
      </c>
      <c r="H307" s="18" t="s">
        <v>572</v>
      </c>
      <c r="I307" s="18" t="s">
        <v>140</v>
      </c>
      <c r="J307" s="19" t="s">
        <v>3043</v>
      </c>
      <c r="K307" s="10" t="s">
        <v>55</v>
      </c>
      <c r="L307" s="9" t="s">
        <v>4591</v>
      </c>
      <c r="M307" s="9" t="s">
        <v>3044</v>
      </c>
      <c r="N307" s="10" t="s">
        <v>4153</v>
      </c>
      <c r="O307" s="8" t="s">
        <v>103</v>
      </c>
      <c r="P307" s="31" t="s">
        <v>144</v>
      </c>
      <c r="Q307" s="18" t="s">
        <v>3045</v>
      </c>
      <c r="R307" s="10" t="s">
        <v>529</v>
      </c>
      <c r="S307" s="10"/>
      <c r="T307" s="31" t="s">
        <v>73</v>
      </c>
      <c r="U307" s="33">
        <v>14489</v>
      </c>
      <c r="V307" s="34">
        <v>1939</v>
      </c>
      <c r="W307" s="35">
        <v>26115</v>
      </c>
      <c r="X307" s="36">
        <v>1971</v>
      </c>
      <c r="Y307" s="13">
        <v>26299</v>
      </c>
      <c r="Z307" s="40">
        <v>1972</v>
      </c>
      <c r="AA307" s="13">
        <v>28126</v>
      </c>
      <c r="AB307" s="36">
        <v>1977</v>
      </c>
      <c r="AC307" s="40">
        <v>5</v>
      </c>
      <c r="AD307" s="40">
        <v>1978</v>
      </c>
      <c r="AE307" s="39"/>
      <c r="AF307" s="31" t="s">
        <v>106</v>
      </c>
      <c r="AG307" s="37">
        <v>67000000</v>
      </c>
      <c r="AH307" s="37">
        <v>67000000</v>
      </c>
      <c r="AI307" s="37">
        <v>518942296.30000001</v>
      </c>
      <c r="AJ307" s="16" t="s">
        <v>76</v>
      </c>
      <c r="AK307" s="38">
        <v>49000000</v>
      </c>
      <c r="AL307" s="37">
        <v>49000000</v>
      </c>
      <c r="AM307" s="16">
        <v>235747868.09999999</v>
      </c>
      <c r="AN307" s="10" t="s">
        <v>64</v>
      </c>
      <c r="AO307" s="8" t="s">
        <v>3756</v>
      </c>
      <c r="AP307" s="15" t="s">
        <v>94</v>
      </c>
      <c r="AQ307" s="15" t="s">
        <v>94</v>
      </c>
      <c r="AR307" s="8" t="s">
        <v>3765</v>
      </c>
      <c r="AS307" s="10" t="s">
        <v>3781</v>
      </c>
      <c r="AT307" s="18" t="s">
        <v>3046</v>
      </c>
      <c r="AU307" s="98"/>
      <c r="AV307" s="20"/>
      <c r="AW307" s="10"/>
      <c r="AX307" s="7" t="s">
        <v>3047</v>
      </c>
      <c r="AY307" s="10" t="s">
        <v>3048</v>
      </c>
      <c r="AZ307" s="10" t="s">
        <v>3049</v>
      </c>
      <c r="BA307" s="10" t="s">
        <v>3050</v>
      </c>
      <c r="BB307" s="18"/>
      <c r="BC307" s="41" t="s">
        <v>3051</v>
      </c>
    </row>
    <row r="308" spans="1:55" ht="69" customHeight="1" x14ac:dyDescent="0.2">
      <c r="A308" s="91" t="s">
        <v>4492</v>
      </c>
      <c r="B308" s="76" t="s">
        <v>3052</v>
      </c>
      <c r="C308" s="19" t="s">
        <v>3007</v>
      </c>
      <c r="D308" s="8" t="s">
        <v>49</v>
      </c>
      <c r="E308" s="31" t="s">
        <v>50</v>
      </c>
      <c r="F308" s="32" t="s">
        <v>922</v>
      </c>
      <c r="G308" s="32" t="s">
        <v>923</v>
      </c>
      <c r="H308" s="18" t="s">
        <v>572</v>
      </c>
      <c r="I308" s="18" t="s">
        <v>140</v>
      </c>
      <c r="J308" s="19" t="s">
        <v>3053</v>
      </c>
      <c r="K308" s="10" t="s">
        <v>55</v>
      </c>
      <c r="L308" s="9" t="s">
        <v>922</v>
      </c>
      <c r="M308" s="9" t="s">
        <v>923</v>
      </c>
      <c r="N308" s="10" t="s">
        <v>572</v>
      </c>
      <c r="O308" s="8" t="s">
        <v>140</v>
      </c>
      <c r="P308" s="31" t="s">
        <v>56</v>
      </c>
      <c r="Q308" s="18" t="s">
        <v>3054</v>
      </c>
      <c r="R308" s="18" t="s">
        <v>58</v>
      </c>
      <c r="S308" s="18" t="s">
        <v>59</v>
      </c>
      <c r="T308" s="31" t="s">
        <v>60</v>
      </c>
      <c r="U308" s="33" t="s">
        <v>269</v>
      </c>
      <c r="V308" s="34" t="s">
        <v>269</v>
      </c>
      <c r="W308" s="35">
        <v>26285</v>
      </c>
      <c r="X308" s="36">
        <v>1971</v>
      </c>
      <c r="Y308" s="13">
        <v>25934</v>
      </c>
      <c r="Z308" s="36">
        <v>1971</v>
      </c>
      <c r="AA308" s="13">
        <v>29952</v>
      </c>
      <c r="AB308" s="36">
        <v>1982</v>
      </c>
      <c r="AC308" s="40">
        <v>11</v>
      </c>
      <c r="AD308" s="40">
        <v>1982</v>
      </c>
      <c r="AE308" s="39" t="s">
        <v>3055</v>
      </c>
      <c r="AF308" s="31" t="s">
        <v>106</v>
      </c>
      <c r="AG308" s="38">
        <v>963000000</v>
      </c>
      <c r="AH308" s="37">
        <v>963000000</v>
      </c>
      <c r="AI308" s="37">
        <v>7458827333.3299999</v>
      </c>
      <c r="AJ308" s="16" t="s">
        <v>76</v>
      </c>
      <c r="AK308" s="38">
        <v>963000000</v>
      </c>
      <c r="AL308" s="37">
        <v>963000000</v>
      </c>
      <c r="AM308" s="16">
        <v>3130388673.5799999</v>
      </c>
      <c r="AN308" s="10" t="s">
        <v>149</v>
      </c>
      <c r="AO308" s="8" t="s">
        <v>3756</v>
      </c>
      <c r="AP308" s="15" t="s">
        <v>151</v>
      </c>
      <c r="AQ308" s="15" t="s">
        <v>151</v>
      </c>
      <c r="AR308" s="8" t="s">
        <v>3764</v>
      </c>
      <c r="AS308" s="10" t="s">
        <v>3776</v>
      </c>
      <c r="AT308" s="10" t="s">
        <v>3795</v>
      </c>
      <c r="AU308" s="98"/>
      <c r="AV308" s="20" t="s">
        <v>1126</v>
      </c>
      <c r="AW308" s="10"/>
      <c r="AX308" s="7" t="s">
        <v>3859</v>
      </c>
      <c r="AY308" s="10" t="s">
        <v>3057</v>
      </c>
      <c r="AZ308" s="10" t="s">
        <v>3058</v>
      </c>
      <c r="BA308" s="10" t="s">
        <v>3059</v>
      </c>
      <c r="BB308" s="18" t="s">
        <v>3060</v>
      </c>
      <c r="BC308" s="41" t="s">
        <v>3061</v>
      </c>
    </row>
    <row r="309" spans="1:55" ht="69" customHeight="1" x14ac:dyDescent="0.2">
      <c r="A309" s="91" t="s">
        <v>4493</v>
      </c>
      <c r="B309" s="76" t="s">
        <v>3062</v>
      </c>
      <c r="C309" s="19" t="s">
        <v>3007</v>
      </c>
      <c r="D309" s="8" t="s">
        <v>49</v>
      </c>
      <c r="E309" s="31" t="s">
        <v>50</v>
      </c>
      <c r="F309" s="32" t="s">
        <v>922</v>
      </c>
      <c r="G309" s="32" t="s">
        <v>923</v>
      </c>
      <c r="H309" s="18" t="s">
        <v>572</v>
      </c>
      <c r="I309" s="18" t="s">
        <v>140</v>
      </c>
      <c r="J309" s="19" t="s">
        <v>3063</v>
      </c>
      <c r="K309" s="10" t="s">
        <v>55</v>
      </c>
      <c r="L309" s="9" t="s">
        <v>922</v>
      </c>
      <c r="M309" s="9" t="s">
        <v>923</v>
      </c>
      <c r="N309" s="10" t="s">
        <v>572</v>
      </c>
      <c r="O309" s="8" t="s">
        <v>140</v>
      </c>
      <c r="P309" s="31" t="s">
        <v>56</v>
      </c>
      <c r="Q309" s="18" t="s">
        <v>3064</v>
      </c>
      <c r="R309" s="18" t="s">
        <v>584</v>
      </c>
      <c r="S309" s="18"/>
      <c r="T309" s="31" t="s">
        <v>73</v>
      </c>
      <c r="U309" s="33">
        <v>11689</v>
      </c>
      <c r="V309" s="34">
        <v>1932</v>
      </c>
      <c r="W309" s="35">
        <v>27379</v>
      </c>
      <c r="X309" s="36">
        <v>1974</v>
      </c>
      <c r="Y309" s="13">
        <v>27030</v>
      </c>
      <c r="Z309" s="36">
        <v>1974</v>
      </c>
      <c r="AA309" s="13">
        <v>27030</v>
      </c>
      <c r="AB309" s="36">
        <v>1974</v>
      </c>
      <c r="AC309" s="36">
        <v>0</v>
      </c>
      <c r="AD309" s="36">
        <v>1974</v>
      </c>
      <c r="AE309" s="39"/>
      <c r="AF309" s="31" t="s">
        <v>106</v>
      </c>
      <c r="AG309" s="37">
        <v>10000000</v>
      </c>
      <c r="AH309" s="37">
        <v>10000000</v>
      </c>
      <c r="AI309" s="37">
        <v>63628600.409999996</v>
      </c>
      <c r="AJ309" s="16" t="s">
        <v>76</v>
      </c>
      <c r="AK309" s="38">
        <v>10000000</v>
      </c>
      <c r="AL309" s="37">
        <v>10000000</v>
      </c>
      <c r="AM309" s="16">
        <v>63628600.409999996</v>
      </c>
      <c r="AN309" s="10" t="s">
        <v>64</v>
      </c>
      <c r="AO309" s="8" t="s">
        <v>3757</v>
      </c>
      <c r="AP309" s="43">
        <v>6000</v>
      </c>
      <c r="AQ309" s="15" t="s">
        <v>94</v>
      </c>
      <c r="AR309" s="8" t="s">
        <v>3769</v>
      </c>
      <c r="AS309" s="10" t="s">
        <v>3781</v>
      </c>
      <c r="AT309" s="10" t="s">
        <v>3795</v>
      </c>
      <c r="AU309" s="98" t="s">
        <v>586</v>
      </c>
      <c r="AV309" s="20" t="s">
        <v>3928</v>
      </c>
      <c r="AW309" s="10" t="s">
        <v>3065</v>
      </c>
      <c r="AX309" s="7" t="s">
        <v>3860</v>
      </c>
      <c r="AY309" s="10" t="s">
        <v>3066</v>
      </c>
      <c r="AZ309" s="10" t="s">
        <v>3067</v>
      </c>
      <c r="BA309" s="10" t="s">
        <v>3068</v>
      </c>
      <c r="BB309" s="18"/>
      <c r="BC309" s="41" t="s">
        <v>3069</v>
      </c>
    </row>
    <row r="310" spans="1:55" ht="69" customHeight="1" x14ac:dyDescent="0.2">
      <c r="A310" s="91" t="s">
        <v>4494</v>
      </c>
      <c r="B310" s="76" t="s">
        <v>3070</v>
      </c>
      <c r="C310" s="19" t="s">
        <v>3007</v>
      </c>
      <c r="D310" s="8" t="s">
        <v>49</v>
      </c>
      <c r="E310" s="31" t="s">
        <v>50</v>
      </c>
      <c r="F310" s="32" t="s">
        <v>922</v>
      </c>
      <c r="G310" s="32" t="s">
        <v>923</v>
      </c>
      <c r="H310" s="18" t="s">
        <v>572</v>
      </c>
      <c r="I310" s="18" t="s">
        <v>140</v>
      </c>
      <c r="J310" s="19" t="s">
        <v>3071</v>
      </c>
      <c r="K310" s="10" t="s">
        <v>55</v>
      </c>
      <c r="L310" s="9" t="s">
        <v>3072</v>
      </c>
      <c r="M310" s="9" t="s">
        <v>3073</v>
      </c>
      <c r="N310" s="10" t="s">
        <v>4153</v>
      </c>
      <c r="O310" s="8" t="s">
        <v>53</v>
      </c>
      <c r="P310" s="31" t="s">
        <v>144</v>
      </c>
      <c r="Q310" s="18" t="s">
        <v>3074</v>
      </c>
      <c r="R310" s="18" t="s">
        <v>584</v>
      </c>
      <c r="S310" s="18" t="s">
        <v>146</v>
      </c>
      <c r="T310" s="31" t="s">
        <v>60</v>
      </c>
      <c r="U310" s="33">
        <v>16984</v>
      </c>
      <c r="V310" s="34">
        <v>1946</v>
      </c>
      <c r="W310" s="13" t="s">
        <v>94</v>
      </c>
      <c r="X310" s="36">
        <v>1975</v>
      </c>
      <c r="Y310" s="13">
        <v>27395</v>
      </c>
      <c r="Z310" s="36">
        <v>1975</v>
      </c>
      <c r="AA310" s="13">
        <v>28491</v>
      </c>
      <c r="AB310" s="36">
        <v>1978</v>
      </c>
      <c r="AC310" s="36">
        <v>3</v>
      </c>
      <c r="AD310" s="36">
        <v>1978</v>
      </c>
      <c r="AE310" s="39" t="s">
        <v>3075</v>
      </c>
      <c r="AF310" s="31" t="s">
        <v>106</v>
      </c>
      <c r="AG310" s="37">
        <v>6000000</v>
      </c>
      <c r="AH310" s="37">
        <v>6000000</v>
      </c>
      <c r="AI310" s="16">
        <v>28867085.890000001</v>
      </c>
      <c r="AJ310" s="16" t="s">
        <v>76</v>
      </c>
      <c r="AK310" s="38">
        <v>6000000</v>
      </c>
      <c r="AL310" s="37">
        <v>6000000</v>
      </c>
      <c r="AM310" s="16">
        <v>28867085.890000001</v>
      </c>
      <c r="AN310" s="10" t="s">
        <v>149</v>
      </c>
      <c r="AO310" s="8" t="s">
        <v>150</v>
      </c>
      <c r="AP310" s="15" t="s">
        <v>151</v>
      </c>
      <c r="AQ310" s="15" t="s">
        <v>151</v>
      </c>
      <c r="AR310" s="8" t="s">
        <v>3762</v>
      </c>
      <c r="AS310" s="18" t="s">
        <v>292</v>
      </c>
      <c r="AT310" s="10" t="s">
        <v>3795</v>
      </c>
      <c r="AU310" s="98"/>
      <c r="AV310" s="20" t="s">
        <v>3076</v>
      </c>
      <c r="AW310" s="10" t="s">
        <v>3964</v>
      </c>
      <c r="AX310" s="7"/>
      <c r="AY310" s="10" t="s">
        <v>3078</v>
      </c>
      <c r="AZ310" s="10" t="s">
        <v>3079</v>
      </c>
      <c r="BA310" s="10" t="s">
        <v>3080</v>
      </c>
      <c r="BB310" s="18" t="s">
        <v>3060</v>
      </c>
      <c r="BC310" s="41" t="s">
        <v>3081</v>
      </c>
    </row>
    <row r="311" spans="1:55" ht="70" customHeight="1" x14ac:dyDescent="0.2">
      <c r="A311" s="91" t="s">
        <v>4495</v>
      </c>
      <c r="B311" s="76" t="s">
        <v>3082</v>
      </c>
      <c r="C311" s="19" t="s">
        <v>3083</v>
      </c>
      <c r="D311" s="8" t="s">
        <v>49</v>
      </c>
      <c r="E311" s="31" t="s">
        <v>50</v>
      </c>
      <c r="F311" s="32" t="s">
        <v>922</v>
      </c>
      <c r="G311" s="32" t="s">
        <v>923</v>
      </c>
      <c r="H311" s="18" t="s">
        <v>572</v>
      </c>
      <c r="I311" s="18" t="s">
        <v>140</v>
      </c>
      <c r="J311" s="19" t="s">
        <v>3084</v>
      </c>
      <c r="K311" s="10" t="s">
        <v>55</v>
      </c>
      <c r="L311" s="9" t="s">
        <v>922</v>
      </c>
      <c r="M311" s="9" t="s">
        <v>923</v>
      </c>
      <c r="N311" s="10" t="s">
        <v>572</v>
      </c>
      <c r="O311" s="8" t="s">
        <v>140</v>
      </c>
      <c r="P311" s="31" t="s">
        <v>56</v>
      </c>
      <c r="Q311" s="18" t="s">
        <v>3085</v>
      </c>
      <c r="R311" s="10" t="s">
        <v>72</v>
      </c>
      <c r="S311" s="18"/>
      <c r="T311" s="31" t="s">
        <v>73</v>
      </c>
      <c r="U311" s="33">
        <v>25692</v>
      </c>
      <c r="V311" s="34">
        <v>1970</v>
      </c>
      <c r="W311" s="35">
        <v>28859</v>
      </c>
      <c r="X311" s="36">
        <v>1979</v>
      </c>
      <c r="Y311" s="13">
        <v>28856</v>
      </c>
      <c r="Z311" s="36">
        <v>1979</v>
      </c>
      <c r="AA311" s="13">
        <v>28856</v>
      </c>
      <c r="AB311" s="36">
        <v>1979</v>
      </c>
      <c r="AC311" s="36">
        <v>0</v>
      </c>
      <c r="AD311" s="36">
        <v>1979</v>
      </c>
      <c r="AE311" s="39"/>
      <c r="AF311" s="31" t="s">
        <v>106</v>
      </c>
      <c r="AG311" s="37">
        <v>675000</v>
      </c>
      <c r="AH311" s="37">
        <v>675000</v>
      </c>
      <c r="AI311" s="37">
        <v>2916529.96</v>
      </c>
      <c r="AJ311" s="16" t="s">
        <v>76</v>
      </c>
      <c r="AK311" s="38">
        <v>675000</v>
      </c>
      <c r="AL311" s="37">
        <v>675000</v>
      </c>
      <c r="AM311" s="37">
        <v>2916529.96</v>
      </c>
      <c r="AN311" s="10" t="s">
        <v>64</v>
      </c>
      <c r="AO311" s="8" t="s">
        <v>3757</v>
      </c>
      <c r="AP311" s="15">
        <v>13</v>
      </c>
      <c r="AQ311" s="15">
        <v>13</v>
      </c>
      <c r="AR311" s="8" t="s">
        <v>3769</v>
      </c>
      <c r="AS311" s="10" t="s">
        <v>3781</v>
      </c>
      <c r="AT311" s="10" t="s">
        <v>3795</v>
      </c>
      <c r="AU311" s="98"/>
      <c r="AV311" s="20" t="s">
        <v>3086</v>
      </c>
      <c r="AW311" s="10"/>
      <c r="AX311" s="7" t="s">
        <v>577</v>
      </c>
      <c r="AY311" s="10" t="s">
        <v>3087</v>
      </c>
      <c r="AZ311" s="10" t="s">
        <v>3088</v>
      </c>
      <c r="BA311" s="10" t="s">
        <v>3089</v>
      </c>
      <c r="BB311" s="18"/>
      <c r="BC311" s="41" t="s">
        <v>3090</v>
      </c>
    </row>
    <row r="312" spans="1:55" ht="69" customHeight="1" x14ac:dyDescent="0.2">
      <c r="A312" s="91" t="s">
        <v>4496</v>
      </c>
      <c r="B312" s="76" t="s">
        <v>3091</v>
      </c>
      <c r="C312" s="19" t="s">
        <v>3007</v>
      </c>
      <c r="D312" s="8" t="s">
        <v>49</v>
      </c>
      <c r="E312" s="31" t="s">
        <v>50</v>
      </c>
      <c r="F312" s="32" t="s">
        <v>922</v>
      </c>
      <c r="G312" s="32" t="s">
        <v>923</v>
      </c>
      <c r="H312" s="18" t="s">
        <v>572</v>
      </c>
      <c r="I312" s="18" t="s">
        <v>140</v>
      </c>
      <c r="J312" s="19" t="s">
        <v>3092</v>
      </c>
      <c r="K312" s="10" t="s">
        <v>55</v>
      </c>
      <c r="L312" s="9" t="s">
        <v>922</v>
      </c>
      <c r="M312" s="9" t="s">
        <v>923</v>
      </c>
      <c r="N312" s="10" t="s">
        <v>572</v>
      </c>
      <c r="O312" s="8" t="s">
        <v>140</v>
      </c>
      <c r="P312" s="31" t="s">
        <v>56</v>
      </c>
      <c r="Q312" s="18" t="s">
        <v>3093</v>
      </c>
      <c r="R312" s="18" t="s">
        <v>58</v>
      </c>
      <c r="S312" s="18" t="s">
        <v>59</v>
      </c>
      <c r="T312" s="31" t="s">
        <v>60</v>
      </c>
      <c r="U312" s="33" t="s">
        <v>269</v>
      </c>
      <c r="V312" s="34" t="s">
        <v>269</v>
      </c>
      <c r="W312" s="13" t="s">
        <v>94</v>
      </c>
      <c r="X312" s="36">
        <v>1980</v>
      </c>
      <c r="Y312" s="13">
        <v>29221</v>
      </c>
      <c r="Z312" s="36">
        <v>1980</v>
      </c>
      <c r="AA312" s="35" t="s">
        <v>94</v>
      </c>
      <c r="AB312" s="35" t="s">
        <v>94</v>
      </c>
      <c r="AC312" s="35" t="s">
        <v>94</v>
      </c>
      <c r="AD312" s="40"/>
      <c r="AE312" s="39"/>
      <c r="AF312" s="31" t="s">
        <v>106</v>
      </c>
      <c r="AG312" s="37">
        <v>81000000</v>
      </c>
      <c r="AH312" s="37">
        <v>81000000</v>
      </c>
      <c r="AI312" s="37">
        <v>308359332.51999998</v>
      </c>
      <c r="AJ312" s="16" t="s">
        <v>76</v>
      </c>
      <c r="AK312" s="38" t="s">
        <v>94</v>
      </c>
      <c r="AL312" s="37" t="s">
        <v>94</v>
      </c>
      <c r="AM312" s="37" t="s">
        <v>94</v>
      </c>
      <c r="AN312" s="54" t="s">
        <v>3755</v>
      </c>
      <c r="AO312" s="8" t="s">
        <v>3756</v>
      </c>
      <c r="AP312" s="15" t="s">
        <v>94</v>
      </c>
      <c r="AQ312" s="15" t="s">
        <v>94</v>
      </c>
      <c r="AR312" s="8" t="s">
        <v>3764</v>
      </c>
      <c r="AS312" s="18" t="s">
        <v>269</v>
      </c>
      <c r="AT312" s="10" t="s">
        <v>3795</v>
      </c>
      <c r="AU312" s="98"/>
      <c r="AV312" s="20" t="s">
        <v>1126</v>
      </c>
      <c r="AW312" s="10"/>
      <c r="AX312" s="7"/>
      <c r="AY312" s="10" t="s">
        <v>3094</v>
      </c>
      <c r="AZ312" s="10" t="s">
        <v>3095</v>
      </c>
      <c r="BA312" s="10" t="s">
        <v>3096</v>
      </c>
      <c r="BB312" s="18"/>
      <c r="BC312" s="41" t="s">
        <v>3097</v>
      </c>
    </row>
    <row r="313" spans="1:55" ht="70" customHeight="1" x14ac:dyDescent="0.2">
      <c r="A313" s="88" t="s">
        <v>4497</v>
      </c>
      <c r="B313" s="6" t="s">
        <v>3098</v>
      </c>
      <c r="C313" s="19" t="s">
        <v>3007</v>
      </c>
      <c r="D313" s="8" t="s">
        <v>49</v>
      </c>
      <c r="E313" s="31" t="s">
        <v>50</v>
      </c>
      <c r="F313" s="9" t="s">
        <v>922</v>
      </c>
      <c r="G313" s="32" t="s">
        <v>923</v>
      </c>
      <c r="H313" s="10" t="s">
        <v>572</v>
      </c>
      <c r="I313" s="10" t="s">
        <v>140</v>
      </c>
      <c r="J313" s="7" t="s">
        <v>3099</v>
      </c>
      <c r="K313" s="10" t="s">
        <v>55</v>
      </c>
      <c r="L313" s="9" t="s">
        <v>922</v>
      </c>
      <c r="M313" s="9" t="s">
        <v>923</v>
      </c>
      <c r="N313" s="10" t="s">
        <v>572</v>
      </c>
      <c r="O313" s="8" t="s">
        <v>140</v>
      </c>
      <c r="P313" s="8" t="s">
        <v>56</v>
      </c>
      <c r="Q313" s="10" t="s">
        <v>3100</v>
      </c>
      <c r="R313" s="10" t="s">
        <v>58</v>
      </c>
      <c r="S313" s="18" t="s">
        <v>59</v>
      </c>
      <c r="T313" s="8" t="s">
        <v>60</v>
      </c>
      <c r="U313" s="12" t="s">
        <v>3101</v>
      </c>
      <c r="V313" s="12">
        <v>1868</v>
      </c>
      <c r="W313" s="13" t="s">
        <v>94</v>
      </c>
      <c r="X313" s="14">
        <v>1980</v>
      </c>
      <c r="Y313" s="28" t="s">
        <v>384</v>
      </c>
      <c r="Z313" s="28" t="s">
        <v>384</v>
      </c>
      <c r="AA313" s="28" t="s">
        <v>384</v>
      </c>
      <c r="AB313" s="28" t="s">
        <v>384</v>
      </c>
      <c r="AC313" s="35" t="s">
        <v>94</v>
      </c>
      <c r="AD313" s="15"/>
      <c r="AE313" s="27"/>
      <c r="AF313" s="8" t="s">
        <v>106</v>
      </c>
      <c r="AG313" s="16">
        <v>105000000</v>
      </c>
      <c r="AH313" s="16">
        <v>105000000</v>
      </c>
      <c r="AI313" s="16">
        <v>399725060.68000001</v>
      </c>
      <c r="AJ313" s="16" t="s">
        <v>76</v>
      </c>
      <c r="AK313" s="28" t="s">
        <v>384</v>
      </c>
      <c r="AL313" s="28" t="s">
        <v>384</v>
      </c>
      <c r="AM313" s="28" t="s">
        <v>384</v>
      </c>
      <c r="AN313" s="10" t="s">
        <v>149</v>
      </c>
      <c r="AO313" s="8" t="s">
        <v>3756</v>
      </c>
      <c r="AP313" s="15" t="s">
        <v>151</v>
      </c>
      <c r="AQ313" s="15" t="s">
        <v>151</v>
      </c>
      <c r="AR313" s="8" t="s">
        <v>3762</v>
      </c>
      <c r="AS313" s="10" t="s">
        <v>269</v>
      </c>
      <c r="AT313" s="10" t="s">
        <v>3102</v>
      </c>
      <c r="AU313" s="96"/>
      <c r="AV313" s="17" t="s">
        <v>1126</v>
      </c>
      <c r="AW313" s="10"/>
      <c r="AX313" s="10" t="s">
        <v>3056</v>
      </c>
      <c r="AY313" s="10" t="s">
        <v>3103</v>
      </c>
      <c r="AZ313" s="10" t="s">
        <v>3104</v>
      </c>
      <c r="BA313" s="10" t="s">
        <v>3105</v>
      </c>
      <c r="BB313" s="18" t="s">
        <v>3106</v>
      </c>
      <c r="BC313" s="41" t="s">
        <v>3107</v>
      </c>
    </row>
    <row r="314" spans="1:55" ht="70" customHeight="1" x14ac:dyDescent="0.2">
      <c r="A314" s="91" t="s">
        <v>4498</v>
      </c>
      <c r="B314" s="76" t="s">
        <v>3108</v>
      </c>
      <c r="C314" s="19" t="s">
        <v>3007</v>
      </c>
      <c r="D314" s="8" t="s">
        <v>49</v>
      </c>
      <c r="E314" s="31" t="s">
        <v>50</v>
      </c>
      <c r="F314" s="32" t="s">
        <v>922</v>
      </c>
      <c r="G314" s="32" t="s">
        <v>923</v>
      </c>
      <c r="H314" s="18" t="s">
        <v>572</v>
      </c>
      <c r="I314" s="18" t="s">
        <v>140</v>
      </c>
      <c r="J314" s="19" t="s">
        <v>3071</v>
      </c>
      <c r="K314" s="10" t="s">
        <v>55</v>
      </c>
      <c r="L314" s="9" t="s">
        <v>3072</v>
      </c>
      <c r="M314" s="9" t="s">
        <v>3073</v>
      </c>
      <c r="N314" s="10" t="s">
        <v>4153</v>
      </c>
      <c r="O314" s="8" t="s">
        <v>53</v>
      </c>
      <c r="P314" s="31" t="s">
        <v>144</v>
      </c>
      <c r="Q314" s="18" t="s">
        <v>3074</v>
      </c>
      <c r="R314" s="18" t="s">
        <v>584</v>
      </c>
      <c r="S314" s="18" t="s">
        <v>146</v>
      </c>
      <c r="T314" s="31" t="s">
        <v>60</v>
      </c>
      <c r="U314" s="33">
        <v>16984</v>
      </c>
      <c r="V314" s="34">
        <v>1946</v>
      </c>
      <c r="W314" s="13" t="s">
        <v>94</v>
      </c>
      <c r="X314" s="36">
        <v>1982</v>
      </c>
      <c r="Y314" s="13">
        <v>29952</v>
      </c>
      <c r="Z314" s="36">
        <v>1982</v>
      </c>
      <c r="AA314" s="36" t="s">
        <v>94</v>
      </c>
      <c r="AB314" s="36" t="s">
        <v>94</v>
      </c>
      <c r="AC314" s="36" t="s">
        <v>94</v>
      </c>
      <c r="AD314" s="40"/>
      <c r="AE314" s="39" t="s">
        <v>3109</v>
      </c>
      <c r="AF314" s="31" t="s">
        <v>106</v>
      </c>
      <c r="AG314" s="37">
        <v>110000000</v>
      </c>
      <c r="AH314" s="37">
        <v>110000000</v>
      </c>
      <c r="AI314" s="37">
        <v>357572953.37</v>
      </c>
      <c r="AJ314" s="16" t="s">
        <v>76</v>
      </c>
      <c r="AK314" s="38" t="s">
        <v>94</v>
      </c>
      <c r="AL314" s="37" t="s">
        <v>94</v>
      </c>
      <c r="AM314" s="37" t="s">
        <v>94</v>
      </c>
      <c r="AN314" s="10" t="s">
        <v>149</v>
      </c>
      <c r="AO314" s="8" t="s">
        <v>150</v>
      </c>
      <c r="AP314" s="15" t="s">
        <v>151</v>
      </c>
      <c r="AQ314" s="15" t="s">
        <v>151</v>
      </c>
      <c r="AR314" s="8" t="s">
        <v>3765</v>
      </c>
      <c r="AS314" s="10" t="s">
        <v>3811</v>
      </c>
      <c r="AT314" s="10" t="s">
        <v>3795</v>
      </c>
      <c r="AU314" s="98"/>
      <c r="AV314" s="20" t="s">
        <v>3076</v>
      </c>
      <c r="AW314" s="10" t="s">
        <v>3965</v>
      </c>
      <c r="AX314" s="7" t="s">
        <v>3861</v>
      </c>
      <c r="AY314" s="10" t="s">
        <v>3110</v>
      </c>
      <c r="AZ314" s="10" t="s">
        <v>3111</v>
      </c>
      <c r="BA314" s="10" t="s">
        <v>3112</v>
      </c>
      <c r="BB314" s="18"/>
      <c r="BC314" s="41" t="s">
        <v>3113</v>
      </c>
    </row>
    <row r="315" spans="1:55" ht="70" customHeight="1" x14ac:dyDescent="0.2">
      <c r="A315" s="91" t="s">
        <v>4499</v>
      </c>
      <c r="B315" s="76" t="s">
        <v>3114</v>
      </c>
      <c r="C315" s="19" t="s">
        <v>3115</v>
      </c>
      <c r="D315" s="31" t="s">
        <v>279</v>
      </c>
      <c r="E315" s="31" t="s">
        <v>280</v>
      </c>
      <c r="F315" s="32" t="s">
        <v>922</v>
      </c>
      <c r="G315" s="32" t="s">
        <v>923</v>
      </c>
      <c r="H315" s="18" t="s">
        <v>572</v>
      </c>
      <c r="I315" s="18" t="s">
        <v>140</v>
      </c>
      <c r="J315" s="19" t="s">
        <v>3116</v>
      </c>
      <c r="K315" s="10" t="s">
        <v>55</v>
      </c>
      <c r="L315" s="9" t="s">
        <v>922</v>
      </c>
      <c r="M315" s="9" t="s">
        <v>923</v>
      </c>
      <c r="N315" s="10" t="s">
        <v>572</v>
      </c>
      <c r="O315" s="8" t="s">
        <v>140</v>
      </c>
      <c r="P315" s="31" t="s">
        <v>56</v>
      </c>
      <c r="Q315" s="18" t="s">
        <v>3117</v>
      </c>
      <c r="R315" s="18" t="s">
        <v>584</v>
      </c>
      <c r="S315" s="10"/>
      <c r="T315" s="31" t="s">
        <v>73</v>
      </c>
      <c r="U315" s="33">
        <v>22647</v>
      </c>
      <c r="V315" s="34">
        <v>1962</v>
      </c>
      <c r="W315" s="35">
        <v>30809</v>
      </c>
      <c r="X315" s="36">
        <v>1984</v>
      </c>
      <c r="Y315" s="13">
        <v>32143</v>
      </c>
      <c r="Z315" s="36">
        <v>1988</v>
      </c>
      <c r="AA315" s="13">
        <v>35065</v>
      </c>
      <c r="AB315" s="36">
        <v>1996</v>
      </c>
      <c r="AC315" s="36">
        <v>8</v>
      </c>
      <c r="AD315" s="36">
        <v>1996</v>
      </c>
      <c r="AE315" s="39" t="s">
        <v>3118</v>
      </c>
      <c r="AF315" s="31" t="s">
        <v>106</v>
      </c>
      <c r="AG315" s="38">
        <v>271000000</v>
      </c>
      <c r="AH315" s="38">
        <v>271000000</v>
      </c>
      <c r="AI315" s="38">
        <v>541808279.15999997</v>
      </c>
      <c r="AJ315" s="16" t="s">
        <v>63</v>
      </c>
      <c r="AK315" s="38">
        <v>271000000</v>
      </c>
      <c r="AL315" s="38">
        <v>271000000</v>
      </c>
      <c r="AM315" s="38">
        <v>541808279.15999997</v>
      </c>
      <c r="AN315" s="54" t="s">
        <v>3755</v>
      </c>
      <c r="AO315" s="8" t="s">
        <v>3757</v>
      </c>
      <c r="AP315" s="43">
        <v>52000</v>
      </c>
      <c r="AQ315" s="43">
        <v>52000</v>
      </c>
      <c r="AR315" s="8" t="s">
        <v>3769</v>
      </c>
      <c r="AS315" s="10" t="s">
        <v>3816</v>
      </c>
      <c r="AT315" s="10" t="s">
        <v>3795</v>
      </c>
      <c r="AU315" s="98"/>
      <c r="AV315" s="20"/>
      <c r="AW315" s="10" t="s">
        <v>3119</v>
      </c>
      <c r="AX315" s="7" t="s">
        <v>3862</v>
      </c>
      <c r="AY315" s="10" t="s">
        <v>3120</v>
      </c>
      <c r="AZ315" s="10" t="s">
        <v>3121</v>
      </c>
      <c r="BA315" s="10" t="s">
        <v>3122</v>
      </c>
      <c r="BB315" s="18" t="s">
        <v>3123</v>
      </c>
      <c r="BC315" s="18" t="s">
        <v>4098</v>
      </c>
    </row>
    <row r="316" spans="1:55" ht="70" customHeight="1" x14ac:dyDescent="0.2">
      <c r="A316" s="91" t="s">
        <v>4500</v>
      </c>
      <c r="B316" s="76" t="s">
        <v>3124</v>
      </c>
      <c r="C316" s="19" t="s">
        <v>3007</v>
      </c>
      <c r="D316" s="8" t="s">
        <v>49</v>
      </c>
      <c r="E316" s="31" t="s">
        <v>50</v>
      </c>
      <c r="F316" s="32" t="s">
        <v>922</v>
      </c>
      <c r="G316" s="32" t="s">
        <v>923</v>
      </c>
      <c r="H316" s="18" t="s">
        <v>572</v>
      </c>
      <c r="I316" s="18" t="s">
        <v>140</v>
      </c>
      <c r="J316" s="19" t="s">
        <v>3125</v>
      </c>
      <c r="K316" s="10" t="s">
        <v>55</v>
      </c>
      <c r="L316" s="9" t="s">
        <v>922</v>
      </c>
      <c r="M316" s="9" t="s">
        <v>923</v>
      </c>
      <c r="N316" s="10" t="s">
        <v>572</v>
      </c>
      <c r="O316" s="8" t="s">
        <v>140</v>
      </c>
      <c r="P316" s="31" t="s">
        <v>56</v>
      </c>
      <c r="Q316" s="18" t="s">
        <v>3126</v>
      </c>
      <c r="R316" s="10" t="s">
        <v>58</v>
      </c>
      <c r="S316" s="18"/>
      <c r="T316" s="31" t="s">
        <v>60</v>
      </c>
      <c r="U316" s="33" t="s">
        <v>269</v>
      </c>
      <c r="V316" s="34" t="s">
        <v>269</v>
      </c>
      <c r="W316" s="13" t="s">
        <v>94</v>
      </c>
      <c r="X316" s="36">
        <v>1985</v>
      </c>
      <c r="Y316" s="13">
        <v>31048</v>
      </c>
      <c r="Z316" s="36">
        <v>1985</v>
      </c>
      <c r="AA316" s="13">
        <v>31048</v>
      </c>
      <c r="AB316" s="36">
        <v>1985</v>
      </c>
      <c r="AC316" s="36">
        <v>0</v>
      </c>
      <c r="AD316" s="36">
        <v>1985</v>
      </c>
      <c r="AE316" s="39"/>
      <c r="AF316" s="31" t="s">
        <v>106</v>
      </c>
      <c r="AG316" s="37">
        <v>12300000</v>
      </c>
      <c r="AH316" s="37">
        <v>12300000</v>
      </c>
      <c r="AI316" s="37">
        <v>35858500.93</v>
      </c>
      <c r="AJ316" s="16" t="s">
        <v>76</v>
      </c>
      <c r="AK316" s="38">
        <v>12300000</v>
      </c>
      <c r="AL316" s="37">
        <v>12300000</v>
      </c>
      <c r="AM316" s="16">
        <v>35858500.93</v>
      </c>
      <c r="AN316" s="10" t="s">
        <v>149</v>
      </c>
      <c r="AO316" s="8" t="s">
        <v>3756</v>
      </c>
      <c r="AP316" s="15" t="s">
        <v>151</v>
      </c>
      <c r="AQ316" s="15" t="s">
        <v>151</v>
      </c>
      <c r="AR316" s="8" t="s">
        <v>3764</v>
      </c>
      <c r="AS316" s="18" t="s">
        <v>269</v>
      </c>
      <c r="AT316" s="10" t="s">
        <v>3795</v>
      </c>
      <c r="AU316" s="98"/>
      <c r="AV316" s="20" t="s">
        <v>1126</v>
      </c>
      <c r="AW316" s="10"/>
      <c r="AX316" s="18" t="s">
        <v>3127</v>
      </c>
      <c r="AY316" s="10"/>
      <c r="AZ316" s="10"/>
      <c r="BA316" s="10" t="s">
        <v>3128</v>
      </c>
      <c r="BB316" s="18"/>
      <c r="BC316" s="41" t="s">
        <v>3129</v>
      </c>
    </row>
    <row r="317" spans="1:55" ht="69" customHeight="1" x14ac:dyDescent="0.2">
      <c r="A317" s="91" t="s">
        <v>4501</v>
      </c>
      <c r="B317" s="76" t="s">
        <v>3130</v>
      </c>
      <c r="C317" s="19" t="s">
        <v>3007</v>
      </c>
      <c r="D317" s="8" t="s">
        <v>49</v>
      </c>
      <c r="E317" s="31" t="s">
        <v>50</v>
      </c>
      <c r="F317" s="32" t="s">
        <v>922</v>
      </c>
      <c r="G317" s="32" t="s">
        <v>923</v>
      </c>
      <c r="H317" s="18" t="s">
        <v>572</v>
      </c>
      <c r="I317" s="18" t="s">
        <v>140</v>
      </c>
      <c r="J317" s="19" t="s">
        <v>3131</v>
      </c>
      <c r="K317" s="10" t="s">
        <v>55</v>
      </c>
      <c r="L317" s="9" t="s">
        <v>922</v>
      </c>
      <c r="M317" s="9" t="s">
        <v>923</v>
      </c>
      <c r="N317" s="10" t="s">
        <v>572</v>
      </c>
      <c r="O317" s="8" t="s">
        <v>140</v>
      </c>
      <c r="P317" s="31" t="s">
        <v>56</v>
      </c>
      <c r="Q317" s="18" t="s">
        <v>3126</v>
      </c>
      <c r="R317" s="10" t="s">
        <v>58</v>
      </c>
      <c r="S317" s="18"/>
      <c r="T317" s="31" t="s">
        <v>60</v>
      </c>
      <c r="U317" s="33" t="s">
        <v>269</v>
      </c>
      <c r="V317" s="34" t="s">
        <v>269</v>
      </c>
      <c r="W317" s="13" t="s">
        <v>94</v>
      </c>
      <c r="X317" s="36">
        <v>1985</v>
      </c>
      <c r="Y317" s="13">
        <v>31048</v>
      </c>
      <c r="Z317" s="36">
        <v>1985</v>
      </c>
      <c r="AA317" s="13">
        <v>31048</v>
      </c>
      <c r="AB317" s="36">
        <v>1985</v>
      </c>
      <c r="AC317" s="36">
        <v>0</v>
      </c>
      <c r="AD317" s="36">
        <v>1985</v>
      </c>
      <c r="AE317" s="39"/>
      <c r="AF317" s="31" t="s">
        <v>106</v>
      </c>
      <c r="AG317" s="37">
        <v>31000000</v>
      </c>
      <c r="AH317" s="37">
        <v>31000000</v>
      </c>
      <c r="AI317" s="37">
        <v>90375083.640000001</v>
      </c>
      <c r="AJ317" s="16" t="s">
        <v>76</v>
      </c>
      <c r="AK317" s="38">
        <v>31000000</v>
      </c>
      <c r="AL317" s="37">
        <v>31000000</v>
      </c>
      <c r="AM317" s="16">
        <v>90375083.640000001</v>
      </c>
      <c r="AN317" s="10" t="s">
        <v>149</v>
      </c>
      <c r="AO317" s="8" t="s">
        <v>3756</v>
      </c>
      <c r="AP317" s="15" t="s">
        <v>151</v>
      </c>
      <c r="AQ317" s="15" t="s">
        <v>151</v>
      </c>
      <c r="AR317" s="8" t="s">
        <v>3764</v>
      </c>
      <c r="AS317" s="18" t="s">
        <v>269</v>
      </c>
      <c r="AT317" s="10" t="s">
        <v>3795</v>
      </c>
      <c r="AU317" s="98"/>
      <c r="AV317" s="20" t="s">
        <v>1126</v>
      </c>
      <c r="AW317" s="10"/>
      <c r="AX317" s="18" t="s">
        <v>3127</v>
      </c>
      <c r="AY317" s="10"/>
      <c r="AZ317" s="10"/>
      <c r="BA317" s="10" t="s">
        <v>3132</v>
      </c>
      <c r="BB317" s="18"/>
      <c r="BC317" s="41" t="s">
        <v>3133</v>
      </c>
    </row>
    <row r="318" spans="1:55" ht="70" customHeight="1" x14ac:dyDescent="0.2">
      <c r="A318" s="91" t="s">
        <v>4502</v>
      </c>
      <c r="B318" s="76" t="s">
        <v>3134</v>
      </c>
      <c r="C318" s="19" t="s">
        <v>3007</v>
      </c>
      <c r="D318" s="8" t="s">
        <v>49</v>
      </c>
      <c r="E318" s="31" t="s">
        <v>50</v>
      </c>
      <c r="F318" s="32" t="s">
        <v>922</v>
      </c>
      <c r="G318" s="32" t="s">
        <v>923</v>
      </c>
      <c r="H318" s="18" t="s">
        <v>572</v>
      </c>
      <c r="I318" s="18" t="s">
        <v>140</v>
      </c>
      <c r="J318" s="19" t="s">
        <v>3071</v>
      </c>
      <c r="K318" s="10" t="s">
        <v>55</v>
      </c>
      <c r="L318" s="9" t="s">
        <v>3072</v>
      </c>
      <c r="M318" s="9" t="s">
        <v>3073</v>
      </c>
      <c r="N318" s="10" t="s">
        <v>4153</v>
      </c>
      <c r="O318" s="8" t="s">
        <v>53</v>
      </c>
      <c r="P318" s="31" t="s">
        <v>144</v>
      </c>
      <c r="Q318" s="18" t="s">
        <v>3074</v>
      </c>
      <c r="R318" s="18" t="s">
        <v>584</v>
      </c>
      <c r="S318" s="18" t="s">
        <v>146</v>
      </c>
      <c r="T318" s="31" t="s">
        <v>60</v>
      </c>
      <c r="U318" s="33">
        <v>16984</v>
      </c>
      <c r="V318" s="34">
        <v>1946</v>
      </c>
      <c r="W318" s="13" t="s">
        <v>94</v>
      </c>
      <c r="X318" s="36">
        <v>1986</v>
      </c>
      <c r="Y318" s="13">
        <v>31778</v>
      </c>
      <c r="Z318" s="36">
        <v>1987</v>
      </c>
      <c r="AA318" s="36" t="s">
        <v>94</v>
      </c>
      <c r="AB318" s="36" t="s">
        <v>94</v>
      </c>
      <c r="AC318" s="36" t="s">
        <v>94</v>
      </c>
      <c r="AD318" s="36"/>
      <c r="AE318" s="39" t="s">
        <v>3135</v>
      </c>
      <c r="AF318" s="31" t="s">
        <v>106</v>
      </c>
      <c r="AG318" s="37">
        <v>75000000</v>
      </c>
      <c r="AH318" s="37">
        <v>75000000</v>
      </c>
      <c r="AI318" s="37">
        <v>214659443.43000001</v>
      </c>
      <c r="AJ318" s="16" t="s">
        <v>76</v>
      </c>
      <c r="AK318" s="38" t="s">
        <v>94</v>
      </c>
      <c r="AL318" s="37" t="s">
        <v>94</v>
      </c>
      <c r="AM318" s="37" t="s">
        <v>94</v>
      </c>
      <c r="AN318" s="54" t="s">
        <v>3755</v>
      </c>
      <c r="AO318" s="8" t="s">
        <v>3756</v>
      </c>
      <c r="AP318" s="15" t="s">
        <v>94</v>
      </c>
      <c r="AQ318" s="15" t="s">
        <v>94</v>
      </c>
      <c r="AR318" s="8" t="s">
        <v>3759</v>
      </c>
      <c r="AS318" s="18" t="s">
        <v>292</v>
      </c>
      <c r="AT318" s="10" t="s">
        <v>3795</v>
      </c>
      <c r="AU318" s="98"/>
      <c r="AV318" s="20" t="s">
        <v>3076</v>
      </c>
      <c r="AW318" s="10" t="s">
        <v>3136</v>
      </c>
      <c r="AX318" s="7" t="s">
        <v>3861</v>
      </c>
      <c r="AY318" s="10" t="s">
        <v>3110</v>
      </c>
      <c r="AZ318" s="10" t="s">
        <v>3111</v>
      </c>
      <c r="BA318" s="10" t="s">
        <v>3137</v>
      </c>
      <c r="BB318" s="18"/>
      <c r="BC318" s="41" t="s">
        <v>3138</v>
      </c>
    </row>
    <row r="319" spans="1:55" ht="70" customHeight="1" x14ac:dyDescent="0.2">
      <c r="A319" s="91" t="s">
        <v>4503</v>
      </c>
      <c r="B319" s="76" t="s">
        <v>3139</v>
      </c>
      <c r="C319" s="19" t="s">
        <v>3007</v>
      </c>
      <c r="D319" s="8" t="s">
        <v>49</v>
      </c>
      <c r="E319" s="31" t="s">
        <v>50</v>
      </c>
      <c r="F319" s="32" t="s">
        <v>922</v>
      </c>
      <c r="G319" s="32" t="s">
        <v>923</v>
      </c>
      <c r="H319" s="18" t="s">
        <v>572</v>
      </c>
      <c r="I319" s="18" t="s">
        <v>140</v>
      </c>
      <c r="J319" s="19" t="s">
        <v>3140</v>
      </c>
      <c r="K319" s="10" t="s">
        <v>55</v>
      </c>
      <c r="L319" s="9" t="s">
        <v>922</v>
      </c>
      <c r="M319" s="9" t="s">
        <v>923</v>
      </c>
      <c r="N319" s="10" t="s">
        <v>572</v>
      </c>
      <c r="O319" s="8" t="s">
        <v>140</v>
      </c>
      <c r="P319" s="31" t="s">
        <v>56</v>
      </c>
      <c r="Q319" s="18" t="s">
        <v>3126</v>
      </c>
      <c r="R319" s="10" t="s">
        <v>58</v>
      </c>
      <c r="S319" s="18"/>
      <c r="T319" s="31" t="s">
        <v>60</v>
      </c>
      <c r="U319" s="33" t="s">
        <v>269</v>
      </c>
      <c r="V319" s="34" t="s">
        <v>269</v>
      </c>
      <c r="W319" s="13" t="s">
        <v>94</v>
      </c>
      <c r="X319" s="36">
        <v>1986</v>
      </c>
      <c r="Y319" s="13">
        <v>31413</v>
      </c>
      <c r="Z319" s="36">
        <v>1986</v>
      </c>
      <c r="AA319" s="13">
        <v>31413</v>
      </c>
      <c r="AB319" s="36">
        <v>1986</v>
      </c>
      <c r="AC319" s="36">
        <v>0</v>
      </c>
      <c r="AD319" s="40">
        <v>1986</v>
      </c>
      <c r="AE319" s="39"/>
      <c r="AF319" s="31" t="s">
        <v>106</v>
      </c>
      <c r="AG319" s="37">
        <v>32000000</v>
      </c>
      <c r="AH319" s="37">
        <v>32000000</v>
      </c>
      <c r="AI319" s="37">
        <v>91588029.200000003</v>
      </c>
      <c r="AJ319" s="16" t="s">
        <v>76</v>
      </c>
      <c r="AK319" s="38">
        <v>32000000</v>
      </c>
      <c r="AL319" s="37">
        <v>32000000</v>
      </c>
      <c r="AM319" s="16">
        <v>91588029.200000003</v>
      </c>
      <c r="AN319" s="10" t="s">
        <v>149</v>
      </c>
      <c r="AO319" s="8" t="s">
        <v>3756</v>
      </c>
      <c r="AP319" s="15" t="s">
        <v>94</v>
      </c>
      <c r="AQ319" s="15" t="s">
        <v>94</v>
      </c>
      <c r="AR319" s="8" t="s">
        <v>3764</v>
      </c>
      <c r="AS319" s="18" t="s">
        <v>269</v>
      </c>
      <c r="AT319" s="10" t="s">
        <v>3795</v>
      </c>
      <c r="AU319" s="98"/>
      <c r="AV319" s="20" t="s">
        <v>1126</v>
      </c>
      <c r="AW319" s="10"/>
      <c r="AX319" s="18" t="s">
        <v>3127</v>
      </c>
      <c r="AY319" s="10"/>
      <c r="AZ319" s="10"/>
      <c r="BA319" s="10" t="s">
        <v>3141</v>
      </c>
      <c r="BB319" s="18"/>
      <c r="BC319" s="41" t="s">
        <v>3142</v>
      </c>
    </row>
    <row r="320" spans="1:55" ht="70" customHeight="1" x14ac:dyDescent="0.2">
      <c r="A320" s="91" t="s">
        <v>4504</v>
      </c>
      <c r="B320" s="76" t="s">
        <v>3143</v>
      </c>
      <c r="C320" s="19" t="s">
        <v>3007</v>
      </c>
      <c r="D320" s="8" t="s">
        <v>49</v>
      </c>
      <c r="E320" s="31" t="s">
        <v>50</v>
      </c>
      <c r="F320" s="32" t="s">
        <v>922</v>
      </c>
      <c r="G320" s="32" t="s">
        <v>923</v>
      </c>
      <c r="H320" s="18" t="s">
        <v>572</v>
      </c>
      <c r="I320" s="18" t="s">
        <v>140</v>
      </c>
      <c r="J320" s="19" t="s">
        <v>3144</v>
      </c>
      <c r="K320" s="10" t="s">
        <v>55</v>
      </c>
      <c r="L320" s="30" t="s">
        <v>2042</v>
      </c>
      <c r="M320" s="30" t="s">
        <v>537</v>
      </c>
      <c r="N320" s="30" t="s">
        <v>4185</v>
      </c>
      <c r="O320" s="30" t="s">
        <v>4185</v>
      </c>
      <c r="P320" s="31" t="s">
        <v>144</v>
      </c>
      <c r="Q320" s="18" t="s">
        <v>3145</v>
      </c>
      <c r="R320" s="18" t="s">
        <v>177</v>
      </c>
      <c r="S320" s="18" t="s">
        <v>72</v>
      </c>
      <c r="T320" s="31" t="s">
        <v>60</v>
      </c>
      <c r="U320" s="33">
        <v>14763</v>
      </c>
      <c r="V320" s="34">
        <v>1940</v>
      </c>
      <c r="W320" s="35">
        <v>32365</v>
      </c>
      <c r="X320" s="36">
        <v>1988</v>
      </c>
      <c r="Y320" s="13">
        <v>32874</v>
      </c>
      <c r="Z320" s="40">
        <v>1990</v>
      </c>
      <c r="AA320" s="13">
        <v>36161</v>
      </c>
      <c r="AB320" s="36">
        <v>1999</v>
      </c>
      <c r="AC320" s="36">
        <v>9</v>
      </c>
      <c r="AD320" s="36">
        <v>1990</v>
      </c>
      <c r="AE320" s="39" t="s">
        <v>3146</v>
      </c>
      <c r="AF320" s="31" t="s">
        <v>106</v>
      </c>
      <c r="AG320" s="37">
        <v>1600000000</v>
      </c>
      <c r="AH320" s="37">
        <v>1600000000</v>
      </c>
      <c r="AI320" s="37">
        <v>3840110175.98</v>
      </c>
      <c r="AJ320" s="16" t="s">
        <v>63</v>
      </c>
      <c r="AK320" s="37">
        <v>1600000000</v>
      </c>
      <c r="AL320" s="37">
        <v>1600000000</v>
      </c>
      <c r="AM320" s="37">
        <v>3840110175.98</v>
      </c>
      <c r="AN320" s="10" t="s">
        <v>64</v>
      </c>
      <c r="AO320" s="8" t="s">
        <v>3756</v>
      </c>
      <c r="AP320" s="43">
        <v>82219</v>
      </c>
      <c r="AQ320" s="43">
        <v>82219</v>
      </c>
      <c r="AR320" s="8" t="s">
        <v>3765</v>
      </c>
      <c r="AS320" s="10" t="s">
        <v>3781</v>
      </c>
      <c r="AT320" s="10" t="s">
        <v>3795</v>
      </c>
      <c r="AU320" s="98"/>
      <c r="AV320" s="20" t="s">
        <v>3929</v>
      </c>
      <c r="AW320" s="10"/>
      <c r="AX320" s="7" t="s">
        <v>4065</v>
      </c>
      <c r="AY320" s="10" t="s">
        <v>3147</v>
      </c>
      <c r="AZ320" s="10" t="s">
        <v>3148</v>
      </c>
      <c r="BA320" s="10" t="s">
        <v>3149</v>
      </c>
      <c r="BB320" s="18" t="s">
        <v>3150</v>
      </c>
      <c r="BC320" s="41" t="s">
        <v>3151</v>
      </c>
    </row>
    <row r="321" spans="1:55" ht="70" customHeight="1" x14ac:dyDescent="0.2">
      <c r="A321" s="91" t="s">
        <v>4505</v>
      </c>
      <c r="B321" s="76" t="s">
        <v>3152</v>
      </c>
      <c r="C321" s="19" t="s">
        <v>3007</v>
      </c>
      <c r="D321" s="8" t="s">
        <v>49</v>
      </c>
      <c r="E321" s="31" t="s">
        <v>50</v>
      </c>
      <c r="F321" s="32" t="s">
        <v>922</v>
      </c>
      <c r="G321" s="32" t="s">
        <v>923</v>
      </c>
      <c r="H321" s="18" t="s">
        <v>572</v>
      </c>
      <c r="I321" s="18" t="s">
        <v>140</v>
      </c>
      <c r="J321" s="19" t="s">
        <v>3153</v>
      </c>
      <c r="K321" s="10" t="s">
        <v>55</v>
      </c>
      <c r="L321" s="9" t="s">
        <v>922</v>
      </c>
      <c r="M321" s="9" t="s">
        <v>923</v>
      </c>
      <c r="N321" s="10" t="s">
        <v>572</v>
      </c>
      <c r="O321" s="8" t="s">
        <v>140</v>
      </c>
      <c r="P321" s="31" t="s">
        <v>56</v>
      </c>
      <c r="Q321" s="18" t="s">
        <v>3154</v>
      </c>
      <c r="R321" s="10" t="s">
        <v>72</v>
      </c>
      <c r="S321" s="10"/>
      <c r="T321" s="31" t="s">
        <v>73</v>
      </c>
      <c r="U321" s="33">
        <v>15342</v>
      </c>
      <c r="V321" s="34">
        <v>1942</v>
      </c>
      <c r="W321" s="35">
        <v>32365</v>
      </c>
      <c r="X321" s="36">
        <v>1988</v>
      </c>
      <c r="Y321" s="35" t="s">
        <v>94</v>
      </c>
      <c r="Z321" s="35" t="s">
        <v>94</v>
      </c>
      <c r="AA321" s="35" t="s">
        <v>94</v>
      </c>
      <c r="AB321" s="35" t="s">
        <v>94</v>
      </c>
      <c r="AC321" s="35" t="s">
        <v>94</v>
      </c>
      <c r="AD321" s="40"/>
      <c r="AE321" s="39"/>
      <c r="AF321" s="31" t="s">
        <v>106</v>
      </c>
      <c r="AG321" s="37">
        <v>11800000</v>
      </c>
      <c r="AH321" s="37">
        <v>11800000</v>
      </c>
      <c r="AI321" s="37">
        <v>31289350.800000001</v>
      </c>
      <c r="AJ321" s="16" t="s">
        <v>76</v>
      </c>
      <c r="AK321" s="38" t="s">
        <v>94</v>
      </c>
      <c r="AL321" s="37" t="s">
        <v>94</v>
      </c>
      <c r="AM321" s="37" t="s">
        <v>94</v>
      </c>
      <c r="AN321" s="54" t="s">
        <v>3755</v>
      </c>
      <c r="AO321" s="8" t="s">
        <v>3756</v>
      </c>
      <c r="AP321" s="15">
        <v>450</v>
      </c>
      <c r="AQ321" s="15" t="s">
        <v>94</v>
      </c>
      <c r="AR321" s="8" t="s">
        <v>3765</v>
      </c>
      <c r="AS321" s="10" t="s">
        <v>3816</v>
      </c>
      <c r="AT321" s="10" t="s">
        <v>3795</v>
      </c>
      <c r="AU321" s="98"/>
      <c r="AV321" s="20" t="s">
        <v>1126</v>
      </c>
      <c r="AW321" s="10"/>
      <c r="AX321" s="7" t="s">
        <v>3863</v>
      </c>
      <c r="AY321" s="10" t="s">
        <v>3155</v>
      </c>
      <c r="AZ321" s="10" t="s">
        <v>3156</v>
      </c>
      <c r="BA321" s="10" t="s">
        <v>3157</v>
      </c>
      <c r="BB321" s="18" t="s">
        <v>3158</v>
      </c>
      <c r="BC321" s="41" t="s">
        <v>3159</v>
      </c>
    </row>
    <row r="322" spans="1:55" ht="70" customHeight="1" x14ac:dyDescent="0.2">
      <c r="A322" s="88" t="s">
        <v>4506</v>
      </c>
      <c r="B322" s="6" t="s">
        <v>3160</v>
      </c>
      <c r="C322" s="7" t="s">
        <v>3161</v>
      </c>
      <c r="D322" s="8" t="s">
        <v>279</v>
      </c>
      <c r="E322" s="31" t="s">
        <v>280</v>
      </c>
      <c r="F322" s="9" t="s">
        <v>922</v>
      </c>
      <c r="G322" s="32" t="s">
        <v>923</v>
      </c>
      <c r="H322" s="10" t="s">
        <v>572</v>
      </c>
      <c r="I322" s="10" t="s">
        <v>140</v>
      </c>
      <c r="J322" s="7" t="s">
        <v>1445</v>
      </c>
      <c r="K322" s="10" t="s">
        <v>49</v>
      </c>
      <c r="L322" s="9" t="s">
        <v>746</v>
      </c>
      <c r="M322" s="9" t="s">
        <v>747</v>
      </c>
      <c r="N322" s="10" t="s">
        <v>748</v>
      </c>
      <c r="O322" s="8" t="s">
        <v>103</v>
      </c>
      <c r="P322" s="8" t="s">
        <v>144</v>
      </c>
      <c r="Q322" s="10" t="s">
        <v>3162</v>
      </c>
      <c r="R322" s="10" t="s">
        <v>584</v>
      </c>
      <c r="S322" s="10" t="s">
        <v>146</v>
      </c>
      <c r="T322" s="8" t="s">
        <v>73</v>
      </c>
      <c r="U322" s="11">
        <v>31018</v>
      </c>
      <c r="V322" s="12">
        <v>1984</v>
      </c>
      <c r="W322" s="13">
        <v>32540</v>
      </c>
      <c r="X322" s="14">
        <v>1989</v>
      </c>
      <c r="Y322" s="13">
        <v>32509</v>
      </c>
      <c r="Z322" s="15">
        <v>1989</v>
      </c>
      <c r="AA322" s="13">
        <v>32509</v>
      </c>
      <c r="AB322" s="36">
        <v>1989</v>
      </c>
      <c r="AC322" s="14">
        <v>0</v>
      </c>
      <c r="AD322" s="14">
        <v>1989</v>
      </c>
      <c r="AE322" s="27"/>
      <c r="AF322" s="8" t="s">
        <v>106</v>
      </c>
      <c r="AG322" s="16">
        <v>470000000</v>
      </c>
      <c r="AH322" s="16">
        <v>470000000</v>
      </c>
      <c r="AI322" s="16">
        <v>1188982500</v>
      </c>
      <c r="AJ322" s="16" t="s">
        <v>76</v>
      </c>
      <c r="AK322" s="28">
        <v>470000000</v>
      </c>
      <c r="AL322" s="16">
        <v>470000000</v>
      </c>
      <c r="AM322" s="16">
        <v>1188982500</v>
      </c>
      <c r="AN322" s="10" t="s">
        <v>149</v>
      </c>
      <c r="AO322" s="8" t="s">
        <v>150</v>
      </c>
      <c r="AP322" s="15" t="s">
        <v>151</v>
      </c>
      <c r="AQ322" s="15" t="s">
        <v>151</v>
      </c>
      <c r="AR322" s="8" t="s">
        <v>3769</v>
      </c>
      <c r="AS322" s="10" t="s">
        <v>3799</v>
      </c>
      <c r="AT322" s="10" t="s">
        <v>3795</v>
      </c>
      <c r="AU322" s="96"/>
      <c r="AV322" s="17" t="s">
        <v>3163</v>
      </c>
      <c r="AW322" s="10"/>
      <c r="AX322" s="7" t="s">
        <v>3864</v>
      </c>
      <c r="AY322" s="10" t="s">
        <v>3164</v>
      </c>
      <c r="AZ322" s="10" t="s">
        <v>3165</v>
      </c>
      <c r="BA322" s="10" t="s">
        <v>3166</v>
      </c>
      <c r="BB322" s="18"/>
      <c r="BC322" s="41" t="s">
        <v>3167</v>
      </c>
    </row>
    <row r="323" spans="1:55" ht="70" customHeight="1" x14ac:dyDescent="0.2">
      <c r="A323" s="91" t="s">
        <v>4507</v>
      </c>
      <c r="B323" s="76" t="s">
        <v>3168</v>
      </c>
      <c r="C323" s="19" t="s">
        <v>3007</v>
      </c>
      <c r="D323" s="8" t="s">
        <v>49</v>
      </c>
      <c r="E323" s="31" t="s">
        <v>50</v>
      </c>
      <c r="F323" s="32" t="s">
        <v>922</v>
      </c>
      <c r="G323" s="32" t="s">
        <v>923</v>
      </c>
      <c r="H323" s="18" t="s">
        <v>572</v>
      </c>
      <c r="I323" s="18" t="s">
        <v>140</v>
      </c>
      <c r="J323" s="19" t="s">
        <v>3169</v>
      </c>
      <c r="K323" s="10" t="s">
        <v>55</v>
      </c>
      <c r="L323" s="30" t="s">
        <v>2042</v>
      </c>
      <c r="M323" s="30" t="s">
        <v>537</v>
      </c>
      <c r="N323" s="30" t="s">
        <v>4185</v>
      </c>
      <c r="O323" s="30" t="s">
        <v>4185</v>
      </c>
      <c r="P323" s="31" t="s">
        <v>56</v>
      </c>
      <c r="Q323" s="18" t="s">
        <v>3170</v>
      </c>
      <c r="R323" s="10" t="s">
        <v>584</v>
      </c>
      <c r="S323" s="10"/>
      <c r="T323" s="31" t="s">
        <v>73</v>
      </c>
      <c r="U323" s="33">
        <v>14611</v>
      </c>
      <c r="V323" s="34">
        <v>1940</v>
      </c>
      <c r="W323" s="35">
        <v>33161</v>
      </c>
      <c r="X323" s="36">
        <v>1990</v>
      </c>
      <c r="Y323" s="13">
        <v>32874</v>
      </c>
      <c r="Z323" s="40">
        <v>1990</v>
      </c>
      <c r="AA323" s="13">
        <v>45292</v>
      </c>
      <c r="AB323" s="40">
        <v>2024</v>
      </c>
      <c r="AC323" s="40">
        <v>34</v>
      </c>
      <c r="AD323" s="40">
        <v>2024</v>
      </c>
      <c r="AE323" s="39" t="s">
        <v>3171</v>
      </c>
      <c r="AF323" s="31" t="s">
        <v>106</v>
      </c>
      <c r="AG323" s="38">
        <v>2736832080</v>
      </c>
      <c r="AH323" s="37">
        <v>2736832080</v>
      </c>
      <c r="AI323" s="37">
        <v>2736832080</v>
      </c>
      <c r="AJ323" s="16" t="s">
        <v>63</v>
      </c>
      <c r="AK323" s="38">
        <v>2736832080</v>
      </c>
      <c r="AL323" s="37">
        <v>2736832080</v>
      </c>
      <c r="AM323" s="37">
        <v>2736832080</v>
      </c>
      <c r="AN323" s="10" t="s">
        <v>64</v>
      </c>
      <c r="AO323" s="8" t="s">
        <v>3756</v>
      </c>
      <c r="AP323" s="43">
        <v>42580</v>
      </c>
      <c r="AQ323" s="43">
        <v>42580</v>
      </c>
      <c r="AR323" s="8" t="s">
        <v>3765</v>
      </c>
      <c r="AS323" s="10" t="s">
        <v>3818</v>
      </c>
      <c r="AT323" s="10" t="s">
        <v>3795</v>
      </c>
      <c r="AU323" s="98"/>
      <c r="AV323" s="20"/>
      <c r="AW323" s="10" t="s">
        <v>3172</v>
      </c>
      <c r="AX323" s="7"/>
      <c r="AY323" s="10" t="s">
        <v>3173</v>
      </c>
      <c r="AZ323" s="10" t="s">
        <v>4139</v>
      </c>
      <c r="BA323" s="10" t="s">
        <v>3174</v>
      </c>
      <c r="BB323" s="18" t="s">
        <v>3175</v>
      </c>
      <c r="BC323" s="41" t="s">
        <v>3176</v>
      </c>
    </row>
    <row r="324" spans="1:55" ht="70" customHeight="1" x14ac:dyDescent="0.2">
      <c r="A324" s="91" t="s">
        <v>4508</v>
      </c>
      <c r="B324" s="76" t="s">
        <v>3177</v>
      </c>
      <c r="C324" s="19" t="s">
        <v>3178</v>
      </c>
      <c r="D324" s="8" t="s">
        <v>49</v>
      </c>
      <c r="E324" s="31" t="s">
        <v>50</v>
      </c>
      <c r="F324" s="32" t="s">
        <v>922</v>
      </c>
      <c r="G324" s="32" t="s">
        <v>923</v>
      </c>
      <c r="H324" s="18" t="s">
        <v>572</v>
      </c>
      <c r="I324" s="18" t="s">
        <v>140</v>
      </c>
      <c r="J324" s="19" t="s">
        <v>3179</v>
      </c>
      <c r="K324" s="10" t="s">
        <v>55</v>
      </c>
      <c r="L324" s="9" t="s">
        <v>922</v>
      </c>
      <c r="M324" s="9" t="s">
        <v>923</v>
      </c>
      <c r="N324" s="10" t="s">
        <v>572</v>
      </c>
      <c r="O324" s="8" t="s">
        <v>140</v>
      </c>
      <c r="P324" s="31" t="s">
        <v>56</v>
      </c>
      <c r="Q324" s="18" t="s">
        <v>3180</v>
      </c>
      <c r="R324" s="18" t="s">
        <v>177</v>
      </c>
      <c r="S324" s="18"/>
      <c r="T324" s="31" t="s">
        <v>73</v>
      </c>
      <c r="U324" s="33">
        <v>8402</v>
      </c>
      <c r="V324" s="34">
        <v>1923</v>
      </c>
      <c r="W324" s="35">
        <v>34433</v>
      </c>
      <c r="X324" s="36">
        <v>1994</v>
      </c>
      <c r="Y324" s="35" t="s">
        <v>94</v>
      </c>
      <c r="Z324" s="35" t="s">
        <v>94</v>
      </c>
      <c r="AA324" s="35" t="s">
        <v>94</v>
      </c>
      <c r="AB324" s="35" t="s">
        <v>94</v>
      </c>
      <c r="AC324" s="35" t="s">
        <v>94</v>
      </c>
      <c r="AD324" s="40"/>
      <c r="AE324" s="39"/>
      <c r="AF324" s="31" t="s">
        <v>106</v>
      </c>
      <c r="AG324" s="37">
        <v>2100000</v>
      </c>
      <c r="AH324" s="37">
        <v>2100000</v>
      </c>
      <c r="AI324" s="37">
        <v>4444985.83</v>
      </c>
      <c r="AJ324" s="16" t="s">
        <v>76</v>
      </c>
      <c r="AK324" s="38" t="s">
        <v>94</v>
      </c>
      <c r="AL324" s="37" t="s">
        <v>94</v>
      </c>
      <c r="AM324" s="37" t="s">
        <v>94</v>
      </c>
      <c r="AN324" s="10" t="s">
        <v>64</v>
      </c>
      <c r="AO324" s="8" t="s">
        <v>3756</v>
      </c>
      <c r="AP324" s="15" t="s">
        <v>94</v>
      </c>
      <c r="AQ324" s="15" t="s">
        <v>94</v>
      </c>
      <c r="AR324" s="8" t="s">
        <v>3765</v>
      </c>
      <c r="AS324" s="18" t="s">
        <v>3783</v>
      </c>
      <c r="AT324" s="10" t="s">
        <v>3795</v>
      </c>
      <c r="AU324" s="98" t="s">
        <v>3181</v>
      </c>
      <c r="AV324" s="20" t="s">
        <v>1126</v>
      </c>
      <c r="AW324" s="10"/>
      <c r="AX324" s="7" t="s">
        <v>4066</v>
      </c>
      <c r="AY324" s="10" t="s">
        <v>3182</v>
      </c>
      <c r="AZ324" s="10" t="s">
        <v>3183</v>
      </c>
      <c r="BA324" s="10" t="s">
        <v>3184</v>
      </c>
      <c r="BB324" s="18"/>
      <c r="BC324" s="41" t="s">
        <v>3185</v>
      </c>
    </row>
    <row r="325" spans="1:55" ht="69" customHeight="1" x14ac:dyDescent="0.2">
      <c r="A325" s="91" t="s">
        <v>4509</v>
      </c>
      <c r="B325" s="76" t="s">
        <v>3186</v>
      </c>
      <c r="C325" s="19" t="s">
        <v>3187</v>
      </c>
      <c r="D325" s="8" t="s">
        <v>49</v>
      </c>
      <c r="E325" s="31" t="s">
        <v>50</v>
      </c>
      <c r="F325" s="32" t="s">
        <v>922</v>
      </c>
      <c r="G325" s="32" t="s">
        <v>923</v>
      </c>
      <c r="H325" s="18" t="s">
        <v>572</v>
      </c>
      <c r="I325" s="18" t="s">
        <v>140</v>
      </c>
      <c r="J325" s="19" t="s">
        <v>3188</v>
      </c>
      <c r="K325" s="10" t="s">
        <v>55</v>
      </c>
      <c r="L325" s="9" t="s">
        <v>922</v>
      </c>
      <c r="M325" s="9" t="s">
        <v>923</v>
      </c>
      <c r="N325" s="10" t="s">
        <v>572</v>
      </c>
      <c r="O325" s="8" t="s">
        <v>140</v>
      </c>
      <c r="P325" s="31" t="s">
        <v>56</v>
      </c>
      <c r="Q325" s="18" t="s">
        <v>3189</v>
      </c>
      <c r="R325" s="10" t="s">
        <v>72</v>
      </c>
      <c r="S325" s="18"/>
      <c r="T325" s="31" t="s">
        <v>73</v>
      </c>
      <c r="U325" s="33">
        <v>31180</v>
      </c>
      <c r="V325" s="34">
        <v>1985</v>
      </c>
      <c r="W325" s="13" t="s">
        <v>94</v>
      </c>
      <c r="X325" s="36">
        <v>1996</v>
      </c>
      <c r="Y325" s="13">
        <v>35065</v>
      </c>
      <c r="Z325" s="36">
        <v>1996</v>
      </c>
      <c r="AA325" s="13">
        <v>35065</v>
      </c>
      <c r="AB325" s="36">
        <v>1996</v>
      </c>
      <c r="AC325" s="14">
        <v>0</v>
      </c>
      <c r="AD325" s="36">
        <v>1996</v>
      </c>
      <c r="AE325" s="39"/>
      <c r="AF325" s="31" t="s">
        <v>106</v>
      </c>
      <c r="AG325" s="37">
        <v>1500000</v>
      </c>
      <c r="AH325" s="37">
        <v>1500000</v>
      </c>
      <c r="AI325" s="37">
        <v>2998938.81</v>
      </c>
      <c r="AJ325" s="16" t="s">
        <v>76</v>
      </c>
      <c r="AK325" s="38">
        <v>1500000</v>
      </c>
      <c r="AL325" s="37">
        <v>1500000</v>
      </c>
      <c r="AM325" s="16">
        <v>2998938.81</v>
      </c>
      <c r="AN325" s="10" t="s">
        <v>64</v>
      </c>
      <c r="AO325" s="8" t="s">
        <v>3757</v>
      </c>
      <c r="AP325" s="15">
        <v>3</v>
      </c>
      <c r="AQ325" s="15">
        <v>3</v>
      </c>
      <c r="AR325" s="8" t="s">
        <v>3762</v>
      </c>
      <c r="AS325" s="10" t="s">
        <v>3781</v>
      </c>
      <c r="AT325" s="10" t="s">
        <v>3795</v>
      </c>
      <c r="AU325" s="98"/>
      <c r="AV325" s="20" t="s">
        <v>3190</v>
      </c>
      <c r="AW325" s="10"/>
      <c r="AX325" s="31" t="s">
        <v>153</v>
      </c>
      <c r="AY325" s="10" t="s">
        <v>3191</v>
      </c>
      <c r="AZ325" s="10" t="s">
        <v>3192</v>
      </c>
      <c r="BA325" s="10" t="s">
        <v>3193</v>
      </c>
      <c r="BB325" s="18"/>
      <c r="BC325" s="41" t="s">
        <v>3194</v>
      </c>
    </row>
    <row r="326" spans="1:55" ht="70" customHeight="1" x14ac:dyDescent="0.2">
      <c r="A326" s="91" t="s">
        <v>4510</v>
      </c>
      <c r="B326" s="76" t="s">
        <v>3195</v>
      </c>
      <c r="C326" s="19" t="s">
        <v>3007</v>
      </c>
      <c r="D326" s="8" t="s">
        <v>49</v>
      </c>
      <c r="E326" s="31" t="s">
        <v>50</v>
      </c>
      <c r="F326" s="32" t="s">
        <v>922</v>
      </c>
      <c r="G326" s="32" t="s">
        <v>923</v>
      </c>
      <c r="H326" s="18" t="s">
        <v>572</v>
      </c>
      <c r="I326" s="18" t="s">
        <v>140</v>
      </c>
      <c r="J326" s="19" t="s">
        <v>3196</v>
      </c>
      <c r="K326" s="10" t="s">
        <v>55</v>
      </c>
      <c r="L326" s="9" t="s">
        <v>4577</v>
      </c>
      <c r="M326" s="9" t="s">
        <v>365</v>
      </c>
      <c r="N326" s="10" t="s">
        <v>4156</v>
      </c>
      <c r="O326" s="8" t="s">
        <v>53</v>
      </c>
      <c r="P326" s="31" t="s">
        <v>144</v>
      </c>
      <c r="Q326" s="18" t="s">
        <v>3197</v>
      </c>
      <c r="R326" s="10" t="s">
        <v>529</v>
      </c>
      <c r="S326" s="18"/>
      <c r="T326" s="31" t="s">
        <v>73</v>
      </c>
      <c r="U326" s="33">
        <v>32327</v>
      </c>
      <c r="V326" s="34">
        <v>1988</v>
      </c>
      <c r="W326" s="13" t="s">
        <v>94</v>
      </c>
      <c r="X326" s="36">
        <v>1996</v>
      </c>
      <c r="Y326" s="13">
        <v>35065</v>
      </c>
      <c r="Z326" s="36">
        <v>1996</v>
      </c>
      <c r="AA326" s="13">
        <v>35065</v>
      </c>
      <c r="AB326" s="36">
        <v>1996</v>
      </c>
      <c r="AC326" s="36">
        <v>0</v>
      </c>
      <c r="AD326" s="36">
        <v>1996</v>
      </c>
      <c r="AE326" s="39"/>
      <c r="AF326" s="31" t="s">
        <v>106</v>
      </c>
      <c r="AG326" s="37">
        <v>61800000</v>
      </c>
      <c r="AH326" s="37">
        <v>61800000</v>
      </c>
      <c r="AI326" s="37">
        <v>123556279.16</v>
      </c>
      <c r="AJ326" s="16" t="s">
        <v>76</v>
      </c>
      <c r="AK326" s="28">
        <v>61800000</v>
      </c>
      <c r="AL326" s="16">
        <v>61800000</v>
      </c>
      <c r="AM326" s="16">
        <v>123556279.16</v>
      </c>
      <c r="AN326" s="10" t="s">
        <v>64</v>
      </c>
      <c r="AO326" s="8" t="s">
        <v>3758</v>
      </c>
      <c r="AP326" s="15" t="s">
        <v>3198</v>
      </c>
      <c r="AQ326" s="15" t="s">
        <v>3198</v>
      </c>
      <c r="AR326" s="8" t="s">
        <v>3764</v>
      </c>
      <c r="AS326" s="8" t="s">
        <v>3778</v>
      </c>
      <c r="AT326" s="18" t="s">
        <v>3199</v>
      </c>
      <c r="AU326" s="98"/>
      <c r="AV326" s="20" t="s">
        <v>3200</v>
      </c>
      <c r="AW326" s="10" t="s">
        <v>3199</v>
      </c>
      <c r="AX326" s="31" t="s">
        <v>153</v>
      </c>
      <c r="AY326" s="10" t="s">
        <v>3201</v>
      </c>
      <c r="AZ326" s="10" t="s">
        <v>3202</v>
      </c>
      <c r="BA326" s="10" t="s">
        <v>3203</v>
      </c>
      <c r="BB326" s="18"/>
      <c r="BC326" s="41" t="s">
        <v>3204</v>
      </c>
    </row>
    <row r="327" spans="1:55" ht="70" customHeight="1" x14ac:dyDescent="0.2">
      <c r="A327" s="91" t="s">
        <v>4511</v>
      </c>
      <c r="B327" s="76" t="s">
        <v>3205</v>
      </c>
      <c r="C327" s="19" t="s">
        <v>3007</v>
      </c>
      <c r="D327" s="8" t="s">
        <v>49</v>
      </c>
      <c r="E327" s="31" t="s">
        <v>50</v>
      </c>
      <c r="F327" s="32" t="s">
        <v>922</v>
      </c>
      <c r="G327" s="32" t="s">
        <v>923</v>
      </c>
      <c r="H327" s="18" t="s">
        <v>572</v>
      </c>
      <c r="I327" s="18" t="s">
        <v>140</v>
      </c>
      <c r="J327" s="19" t="s">
        <v>3206</v>
      </c>
      <c r="K327" s="10" t="s">
        <v>55</v>
      </c>
      <c r="L327" s="9" t="s">
        <v>922</v>
      </c>
      <c r="M327" s="9" t="s">
        <v>923</v>
      </c>
      <c r="N327" s="10" t="s">
        <v>572</v>
      </c>
      <c r="O327" s="8" t="s">
        <v>140</v>
      </c>
      <c r="P327" s="31" t="s">
        <v>56</v>
      </c>
      <c r="Q327" s="18" t="s">
        <v>3207</v>
      </c>
      <c r="R327" s="18" t="s">
        <v>584</v>
      </c>
      <c r="S327" s="18"/>
      <c r="T327" s="31" t="s">
        <v>60</v>
      </c>
      <c r="U327" s="33">
        <v>16438</v>
      </c>
      <c r="V327" s="34">
        <v>1945</v>
      </c>
      <c r="W327" s="35">
        <v>35490</v>
      </c>
      <c r="X327" s="36">
        <v>1997</v>
      </c>
      <c r="Y327" s="13">
        <v>35431</v>
      </c>
      <c r="Z327" s="36">
        <v>1997</v>
      </c>
      <c r="AA327" s="13">
        <v>35431</v>
      </c>
      <c r="AB327" s="36">
        <v>1997</v>
      </c>
      <c r="AC327" s="36">
        <v>0</v>
      </c>
      <c r="AD327" s="36">
        <v>1997</v>
      </c>
      <c r="AE327" s="39"/>
      <c r="AF327" s="31" t="s">
        <v>106</v>
      </c>
      <c r="AG327" s="37">
        <v>4800000</v>
      </c>
      <c r="AH327" s="37">
        <v>4800000</v>
      </c>
      <c r="AI327" s="37">
        <v>9381353.2699999996</v>
      </c>
      <c r="AJ327" s="16" t="s">
        <v>76</v>
      </c>
      <c r="AK327" s="38">
        <v>4800000</v>
      </c>
      <c r="AL327" s="37">
        <v>4800000</v>
      </c>
      <c r="AM327" s="16">
        <v>9381353.2699999996</v>
      </c>
      <c r="AN327" s="10" t="s">
        <v>64</v>
      </c>
      <c r="AO327" s="8" t="s">
        <v>3757</v>
      </c>
      <c r="AP327" s="15">
        <v>12</v>
      </c>
      <c r="AQ327" s="15">
        <v>12</v>
      </c>
      <c r="AR327" s="8" t="s">
        <v>3769</v>
      </c>
      <c r="AS327" s="68" t="s">
        <v>269</v>
      </c>
      <c r="AT327" s="10" t="s">
        <v>3795</v>
      </c>
      <c r="AU327" s="98"/>
      <c r="AV327" s="20" t="s">
        <v>3930</v>
      </c>
      <c r="AW327" s="10"/>
      <c r="AX327" s="7" t="s">
        <v>577</v>
      </c>
      <c r="AY327" s="10" t="s">
        <v>3208</v>
      </c>
      <c r="AZ327" s="10" t="s">
        <v>4140</v>
      </c>
      <c r="BA327" s="10" t="s">
        <v>3209</v>
      </c>
      <c r="BB327" s="18" t="s">
        <v>3210</v>
      </c>
      <c r="BC327" s="41" t="s">
        <v>3211</v>
      </c>
    </row>
    <row r="328" spans="1:55" ht="70" customHeight="1" x14ac:dyDescent="0.2">
      <c r="A328" s="91" t="s">
        <v>4512</v>
      </c>
      <c r="B328" s="76" t="s">
        <v>3212</v>
      </c>
      <c r="C328" s="19" t="s">
        <v>3007</v>
      </c>
      <c r="D328" s="8" t="s">
        <v>49</v>
      </c>
      <c r="E328" s="31" t="s">
        <v>50</v>
      </c>
      <c r="F328" s="32" t="s">
        <v>922</v>
      </c>
      <c r="G328" s="32" t="s">
        <v>923</v>
      </c>
      <c r="H328" s="18" t="s">
        <v>572</v>
      </c>
      <c r="I328" s="18" t="s">
        <v>140</v>
      </c>
      <c r="J328" s="19" t="s">
        <v>2482</v>
      </c>
      <c r="K328" s="10" t="s">
        <v>49</v>
      </c>
      <c r="L328" s="9" t="s">
        <v>2483</v>
      </c>
      <c r="M328" s="9" t="s">
        <v>2484</v>
      </c>
      <c r="N328" s="10" t="s">
        <v>380</v>
      </c>
      <c r="O328" s="8" t="s">
        <v>381</v>
      </c>
      <c r="P328" s="31" t="s">
        <v>144</v>
      </c>
      <c r="Q328" s="18" t="s">
        <v>3213</v>
      </c>
      <c r="R328" s="10" t="s">
        <v>177</v>
      </c>
      <c r="S328" s="18"/>
      <c r="T328" s="31" t="s">
        <v>73</v>
      </c>
      <c r="U328" s="33">
        <v>34431</v>
      </c>
      <c r="V328" s="34">
        <v>1994</v>
      </c>
      <c r="W328" s="35">
        <v>35879</v>
      </c>
      <c r="X328" s="36">
        <v>1998</v>
      </c>
      <c r="Y328" s="35" t="s">
        <v>94</v>
      </c>
      <c r="Z328" s="35" t="s">
        <v>94</v>
      </c>
      <c r="AA328" s="35" t="s">
        <v>94</v>
      </c>
      <c r="AB328" s="35" t="s">
        <v>94</v>
      </c>
      <c r="AC328" s="35" t="s">
        <v>94</v>
      </c>
      <c r="AD328" s="35"/>
      <c r="AE328" s="39"/>
      <c r="AF328" s="31" t="s">
        <v>106</v>
      </c>
      <c r="AG328" s="37">
        <v>2000000</v>
      </c>
      <c r="AH328" s="37">
        <v>2000000</v>
      </c>
      <c r="AI328" s="37">
        <v>3848944.79</v>
      </c>
      <c r="AJ328" s="16" t="s">
        <v>76</v>
      </c>
      <c r="AK328" s="38" t="s">
        <v>94</v>
      </c>
      <c r="AL328" s="37" t="s">
        <v>94</v>
      </c>
      <c r="AM328" s="37" t="s">
        <v>94</v>
      </c>
      <c r="AN328" s="10" t="s">
        <v>149</v>
      </c>
      <c r="AO328" s="8" t="s">
        <v>150</v>
      </c>
      <c r="AP328" s="15" t="s">
        <v>151</v>
      </c>
      <c r="AQ328" s="15" t="s">
        <v>151</v>
      </c>
      <c r="AR328" s="8" t="s">
        <v>3765</v>
      </c>
      <c r="AS328" s="18" t="s">
        <v>292</v>
      </c>
      <c r="AT328" s="10" t="s">
        <v>3795</v>
      </c>
      <c r="AU328" s="98"/>
      <c r="AV328" s="20" t="s">
        <v>3931</v>
      </c>
      <c r="AW328" s="10" t="s">
        <v>3214</v>
      </c>
      <c r="AX328" s="7"/>
      <c r="AY328" s="10" t="s">
        <v>3215</v>
      </c>
      <c r="AZ328" s="10" t="s">
        <v>4141</v>
      </c>
      <c r="BA328" s="10" t="s">
        <v>3216</v>
      </c>
      <c r="BB328" s="18" t="s">
        <v>3217</v>
      </c>
      <c r="BC328" s="41" t="s">
        <v>3218</v>
      </c>
    </row>
    <row r="329" spans="1:55" ht="70" customHeight="1" x14ac:dyDescent="0.2">
      <c r="A329" s="91" t="s">
        <v>4513</v>
      </c>
      <c r="B329" s="76" t="s">
        <v>3219</v>
      </c>
      <c r="C329" s="19" t="s">
        <v>3007</v>
      </c>
      <c r="D329" s="8" t="s">
        <v>49</v>
      </c>
      <c r="E329" s="31" t="s">
        <v>50</v>
      </c>
      <c r="F329" s="32" t="s">
        <v>922</v>
      </c>
      <c r="G329" s="32" t="s">
        <v>923</v>
      </c>
      <c r="H329" s="18" t="s">
        <v>572</v>
      </c>
      <c r="I329" s="18" t="s">
        <v>140</v>
      </c>
      <c r="J329" s="19" t="s">
        <v>3220</v>
      </c>
      <c r="K329" s="10" t="s">
        <v>49</v>
      </c>
      <c r="L329" s="30" t="s">
        <v>2042</v>
      </c>
      <c r="M329" s="30" t="s">
        <v>537</v>
      </c>
      <c r="N329" s="30" t="s">
        <v>4185</v>
      </c>
      <c r="O329" s="30" t="s">
        <v>4185</v>
      </c>
      <c r="P329" s="31" t="s">
        <v>144</v>
      </c>
      <c r="Q329" s="18" t="s">
        <v>3221</v>
      </c>
      <c r="R329" s="18" t="s">
        <v>1227</v>
      </c>
      <c r="S329" s="18"/>
      <c r="T329" s="31" t="s">
        <v>73</v>
      </c>
      <c r="U329" s="33" t="s">
        <v>3222</v>
      </c>
      <c r="V329" s="34">
        <v>1619</v>
      </c>
      <c r="W329" s="35">
        <v>35879</v>
      </c>
      <c r="X329" s="36">
        <v>1998</v>
      </c>
      <c r="Y329" s="35" t="s">
        <v>94</v>
      </c>
      <c r="Z329" s="35" t="s">
        <v>94</v>
      </c>
      <c r="AA329" s="35" t="s">
        <v>94</v>
      </c>
      <c r="AB329" s="35" t="s">
        <v>94</v>
      </c>
      <c r="AC329" s="35" t="s">
        <v>94</v>
      </c>
      <c r="AD329" s="35"/>
      <c r="AE329" s="39"/>
      <c r="AF329" s="31" t="s">
        <v>106</v>
      </c>
      <c r="AG329" s="37">
        <v>120000000</v>
      </c>
      <c r="AH329" s="37">
        <v>120000000</v>
      </c>
      <c r="AI329" s="37">
        <v>230936687.12</v>
      </c>
      <c r="AJ329" s="16" t="s">
        <v>76</v>
      </c>
      <c r="AK329" s="38" t="s">
        <v>94</v>
      </c>
      <c r="AL329" s="37" t="s">
        <v>94</v>
      </c>
      <c r="AM329" s="37" t="s">
        <v>94</v>
      </c>
      <c r="AN329" s="10" t="s">
        <v>149</v>
      </c>
      <c r="AO329" s="8" t="s">
        <v>150</v>
      </c>
      <c r="AP329" s="15" t="s">
        <v>151</v>
      </c>
      <c r="AQ329" s="15" t="s">
        <v>151</v>
      </c>
      <c r="AR329" s="8" t="s">
        <v>3765</v>
      </c>
      <c r="AS329" s="18" t="s">
        <v>166</v>
      </c>
      <c r="AT329" s="10" t="s">
        <v>3795</v>
      </c>
      <c r="AU329" s="98" t="s">
        <v>3181</v>
      </c>
      <c r="AV329" s="20" t="s">
        <v>3932</v>
      </c>
      <c r="AW329" s="10" t="s">
        <v>3214</v>
      </c>
      <c r="AX329" s="7" t="s">
        <v>577</v>
      </c>
      <c r="AY329" s="10" t="s">
        <v>3223</v>
      </c>
      <c r="AZ329" s="10" t="s">
        <v>3224</v>
      </c>
      <c r="BA329" s="10" t="s">
        <v>3225</v>
      </c>
      <c r="BB329" s="18"/>
      <c r="BC329" s="41" t="s">
        <v>3226</v>
      </c>
    </row>
    <row r="330" spans="1:55" ht="70" customHeight="1" x14ac:dyDescent="0.2">
      <c r="A330" s="91" t="s">
        <v>4514</v>
      </c>
      <c r="B330" s="76" t="s">
        <v>3227</v>
      </c>
      <c r="C330" s="19" t="s">
        <v>3228</v>
      </c>
      <c r="D330" s="8" t="s">
        <v>49</v>
      </c>
      <c r="E330" s="31" t="s">
        <v>50</v>
      </c>
      <c r="F330" s="32" t="s">
        <v>922</v>
      </c>
      <c r="G330" s="32" t="s">
        <v>923</v>
      </c>
      <c r="H330" s="18" t="s">
        <v>572</v>
      </c>
      <c r="I330" s="18" t="s">
        <v>140</v>
      </c>
      <c r="J330" s="19" t="s">
        <v>3229</v>
      </c>
      <c r="K330" s="10" t="s">
        <v>55</v>
      </c>
      <c r="L330" s="9" t="s">
        <v>922</v>
      </c>
      <c r="M330" s="9" t="s">
        <v>923</v>
      </c>
      <c r="N330" s="10" t="s">
        <v>572</v>
      </c>
      <c r="O330" s="8" t="s">
        <v>140</v>
      </c>
      <c r="P330" s="31" t="s">
        <v>56</v>
      </c>
      <c r="Q330" s="18" t="s">
        <v>3230</v>
      </c>
      <c r="R330" s="10" t="s">
        <v>72</v>
      </c>
      <c r="S330" s="18"/>
      <c r="T330" s="31" t="s">
        <v>73</v>
      </c>
      <c r="U330" s="33">
        <v>33469</v>
      </c>
      <c r="V330" s="34">
        <v>1991</v>
      </c>
      <c r="W330" s="35">
        <v>35887</v>
      </c>
      <c r="X330" s="36">
        <v>1998</v>
      </c>
      <c r="Y330" s="13">
        <v>35796</v>
      </c>
      <c r="Z330" s="36">
        <v>1998</v>
      </c>
      <c r="AA330" s="13">
        <v>35796</v>
      </c>
      <c r="AB330" s="36">
        <v>1998</v>
      </c>
      <c r="AC330" s="36">
        <v>0</v>
      </c>
      <c r="AD330" s="34">
        <v>1998</v>
      </c>
      <c r="AE330" s="39"/>
      <c r="AF330" s="31" t="s">
        <v>106</v>
      </c>
      <c r="AG330" s="37">
        <v>1100000</v>
      </c>
      <c r="AH330" s="37">
        <v>1100000</v>
      </c>
      <c r="AI330" s="37">
        <v>2116919.63</v>
      </c>
      <c r="AJ330" s="16" t="s">
        <v>76</v>
      </c>
      <c r="AK330" s="38">
        <v>1100000</v>
      </c>
      <c r="AL330" s="37">
        <v>1100000</v>
      </c>
      <c r="AM330" s="16">
        <v>2116919.63</v>
      </c>
      <c r="AN330" s="10" t="s">
        <v>64</v>
      </c>
      <c r="AO330" s="8" t="s">
        <v>3756</v>
      </c>
      <c r="AP330" s="15">
        <v>80</v>
      </c>
      <c r="AQ330" s="15">
        <v>80</v>
      </c>
      <c r="AR330" s="8" t="s">
        <v>3764</v>
      </c>
      <c r="AS330" s="10" t="s">
        <v>3781</v>
      </c>
      <c r="AT330" s="10" t="s">
        <v>3795</v>
      </c>
      <c r="AU330" s="98"/>
      <c r="AV330" s="20" t="s">
        <v>3231</v>
      </c>
      <c r="AW330" s="10"/>
      <c r="AX330" s="7" t="s">
        <v>577</v>
      </c>
      <c r="AY330" s="10" t="s">
        <v>3232</v>
      </c>
      <c r="AZ330" s="10" t="s">
        <v>3233</v>
      </c>
      <c r="BA330" s="10" t="s">
        <v>3234</v>
      </c>
      <c r="BB330" s="18"/>
      <c r="BC330" s="41" t="s">
        <v>3235</v>
      </c>
    </row>
    <row r="331" spans="1:55" ht="70" customHeight="1" x14ac:dyDescent="0.2">
      <c r="A331" s="91" t="s">
        <v>4515</v>
      </c>
      <c r="B331" s="76" t="s">
        <v>3236</v>
      </c>
      <c r="C331" s="19" t="s">
        <v>3237</v>
      </c>
      <c r="D331" s="31" t="s">
        <v>453</v>
      </c>
      <c r="E331" s="31" t="s">
        <v>280</v>
      </c>
      <c r="F331" s="32" t="s">
        <v>922</v>
      </c>
      <c r="G331" s="32" t="s">
        <v>923</v>
      </c>
      <c r="H331" s="18" t="s">
        <v>572</v>
      </c>
      <c r="I331" s="18" t="s">
        <v>140</v>
      </c>
      <c r="J331" s="19" t="s">
        <v>3238</v>
      </c>
      <c r="K331" s="10" t="s">
        <v>55</v>
      </c>
      <c r="L331" s="9" t="s">
        <v>922</v>
      </c>
      <c r="M331" s="9" t="s">
        <v>923</v>
      </c>
      <c r="N331" s="10" t="s">
        <v>572</v>
      </c>
      <c r="O331" s="8" t="s">
        <v>140</v>
      </c>
      <c r="P331" s="31" t="s">
        <v>56</v>
      </c>
      <c r="Q331" s="18" t="s">
        <v>3239</v>
      </c>
      <c r="R331" s="18" t="s">
        <v>240</v>
      </c>
      <c r="S331" s="18"/>
      <c r="T331" s="31" t="s">
        <v>60</v>
      </c>
      <c r="U331" s="33">
        <v>28856</v>
      </c>
      <c r="V331" s="34">
        <v>1979</v>
      </c>
      <c r="W331" s="13" t="s">
        <v>94</v>
      </c>
      <c r="X331" s="34">
        <v>1998</v>
      </c>
      <c r="Y331" s="13">
        <v>35796</v>
      </c>
      <c r="Z331" s="34">
        <v>1998</v>
      </c>
      <c r="AA331" s="13">
        <v>35796</v>
      </c>
      <c r="AB331" s="34">
        <v>1998</v>
      </c>
      <c r="AC331" s="34">
        <v>0</v>
      </c>
      <c r="AD331" s="34">
        <v>1998</v>
      </c>
      <c r="AE331" s="39"/>
      <c r="AF331" s="31" t="s">
        <v>106</v>
      </c>
      <c r="AG331" s="37">
        <v>450000</v>
      </c>
      <c r="AH331" s="37">
        <v>450000</v>
      </c>
      <c r="AI331" s="16">
        <v>866012.58</v>
      </c>
      <c r="AJ331" s="16" t="s">
        <v>76</v>
      </c>
      <c r="AK331" s="38">
        <v>450000</v>
      </c>
      <c r="AL331" s="37">
        <v>450000</v>
      </c>
      <c r="AM331" s="16">
        <v>866012.58</v>
      </c>
      <c r="AN331" s="10" t="s">
        <v>64</v>
      </c>
      <c r="AO331" s="8" t="s">
        <v>3756</v>
      </c>
      <c r="AP331" s="15">
        <v>1</v>
      </c>
      <c r="AQ331" s="15">
        <v>1</v>
      </c>
      <c r="AR331" s="8" t="s">
        <v>3769</v>
      </c>
      <c r="AS331" s="10" t="s">
        <v>3781</v>
      </c>
      <c r="AT331" s="10" t="s">
        <v>3795</v>
      </c>
      <c r="AU331" s="98"/>
      <c r="AV331" s="20" t="s">
        <v>3240</v>
      </c>
      <c r="AW331" s="10"/>
      <c r="AX331" s="7" t="s">
        <v>577</v>
      </c>
      <c r="AY331" s="10" t="s">
        <v>3241</v>
      </c>
      <c r="AZ331" s="10" t="s">
        <v>3242</v>
      </c>
      <c r="BA331" s="10" t="s">
        <v>3243</v>
      </c>
      <c r="BB331" s="18"/>
      <c r="BC331" s="41" t="s">
        <v>3244</v>
      </c>
    </row>
    <row r="332" spans="1:55" ht="70" customHeight="1" x14ac:dyDescent="0.2">
      <c r="A332" s="91" t="s">
        <v>4516</v>
      </c>
      <c r="B332" s="76" t="s">
        <v>3245</v>
      </c>
      <c r="C332" s="19" t="s">
        <v>3246</v>
      </c>
      <c r="D332" s="8" t="s">
        <v>49</v>
      </c>
      <c r="E332" s="31" t="s">
        <v>50</v>
      </c>
      <c r="F332" s="32" t="s">
        <v>922</v>
      </c>
      <c r="G332" s="32" t="s">
        <v>923</v>
      </c>
      <c r="H332" s="18" t="s">
        <v>572</v>
      </c>
      <c r="I332" s="18" t="s">
        <v>140</v>
      </c>
      <c r="J332" s="19" t="s">
        <v>3247</v>
      </c>
      <c r="K332" s="10" t="s">
        <v>55</v>
      </c>
      <c r="L332" s="9" t="s">
        <v>922</v>
      </c>
      <c r="M332" s="9" t="s">
        <v>923</v>
      </c>
      <c r="N332" s="10" t="s">
        <v>572</v>
      </c>
      <c r="O332" s="8" t="s">
        <v>140</v>
      </c>
      <c r="P332" s="31" t="s">
        <v>56</v>
      </c>
      <c r="Q332" s="18" t="s">
        <v>3248</v>
      </c>
      <c r="R332" s="18" t="s">
        <v>177</v>
      </c>
      <c r="S332" s="18"/>
      <c r="T332" s="31" t="s">
        <v>60</v>
      </c>
      <c r="U332" s="33">
        <v>29587</v>
      </c>
      <c r="V332" s="34">
        <v>1981</v>
      </c>
      <c r="W332" s="13">
        <v>36264</v>
      </c>
      <c r="X332" s="36">
        <v>1999</v>
      </c>
      <c r="Y332" s="13">
        <v>36526</v>
      </c>
      <c r="Z332" s="36">
        <v>2000</v>
      </c>
      <c r="AA332" s="13">
        <v>40544</v>
      </c>
      <c r="AB332" s="36">
        <v>2011</v>
      </c>
      <c r="AC332" s="40">
        <v>11</v>
      </c>
      <c r="AD332" s="40">
        <v>2011</v>
      </c>
      <c r="AE332" s="27"/>
      <c r="AF332" s="31" t="s">
        <v>106</v>
      </c>
      <c r="AG332" s="38">
        <v>1060000000</v>
      </c>
      <c r="AH332" s="38">
        <v>1060000000</v>
      </c>
      <c r="AI332" s="16">
        <v>1478222637.1500001</v>
      </c>
      <c r="AJ332" s="16" t="s">
        <v>63</v>
      </c>
      <c r="AK332" s="38">
        <v>1060000000</v>
      </c>
      <c r="AL332" s="38">
        <v>1060000000</v>
      </c>
      <c r="AM332" s="16">
        <v>1478224496.4200001</v>
      </c>
      <c r="AN332" s="10" t="s">
        <v>64</v>
      </c>
      <c r="AO332" s="8" t="s">
        <v>3756</v>
      </c>
      <c r="AP332" s="43">
        <v>22721</v>
      </c>
      <c r="AQ332" s="43">
        <v>15749</v>
      </c>
      <c r="AR332" s="8" t="s">
        <v>3764</v>
      </c>
      <c r="AS332" s="18" t="s">
        <v>3797</v>
      </c>
      <c r="AT332" s="10" t="s">
        <v>3795</v>
      </c>
      <c r="AU332" s="98"/>
      <c r="AV332" s="20" t="s">
        <v>1126</v>
      </c>
      <c r="AW332" s="10"/>
      <c r="AX332" s="7" t="s">
        <v>4067</v>
      </c>
      <c r="AY332" s="10" t="s">
        <v>3249</v>
      </c>
      <c r="AZ332" s="10" t="s">
        <v>3250</v>
      </c>
      <c r="BA332" s="10" t="s">
        <v>3251</v>
      </c>
      <c r="BB332" s="18" t="s">
        <v>3252</v>
      </c>
      <c r="BC332" s="41" t="s">
        <v>3253</v>
      </c>
    </row>
    <row r="333" spans="1:55" ht="70" customHeight="1" x14ac:dyDescent="0.2">
      <c r="A333" s="91" t="s">
        <v>4517</v>
      </c>
      <c r="B333" s="76" t="s">
        <v>3254</v>
      </c>
      <c r="C333" s="19" t="s">
        <v>3246</v>
      </c>
      <c r="D333" s="8" t="s">
        <v>49</v>
      </c>
      <c r="E333" s="31" t="s">
        <v>50</v>
      </c>
      <c r="F333" s="32" t="s">
        <v>922</v>
      </c>
      <c r="G333" s="32" t="s">
        <v>923</v>
      </c>
      <c r="H333" s="18" t="s">
        <v>572</v>
      </c>
      <c r="I333" s="18" t="s">
        <v>140</v>
      </c>
      <c r="J333" s="19" t="s">
        <v>3247</v>
      </c>
      <c r="K333" s="10" t="s">
        <v>55</v>
      </c>
      <c r="L333" s="9" t="s">
        <v>922</v>
      </c>
      <c r="M333" s="9" t="s">
        <v>923</v>
      </c>
      <c r="N333" s="10" t="s">
        <v>572</v>
      </c>
      <c r="O333" s="8" t="s">
        <v>140</v>
      </c>
      <c r="P333" s="31" t="s">
        <v>56</v>
      </c>
      <c r="Q333" s="18" t="s">
        <v>3248</v>
      </c>
      <c r="R333" s="18" t="s">
        <v>177</v>
      </c>
      <c r="S333" s="18"/>
      <c r="T333" s="31" t="s">
        <v>60</v>
      </c>
      <c r="U333" s="33">
        <v>29587</v>
      </c>
      <c r="V333" s="34">
        <v>1981</v>
      </c>
      <c r="W333" s="13">
        <v>40227</v>
      </c>
      <c r="X333" s="14">
        <v>2010</v>
      </c>
      <c r="Y333" s="13">
        <v>41275</v>
      </c>
      <c r="Z333" s="36">
        <v>2013</v>
      </c>
      <c r="AA333" s="13">
        <v>41275</v>
      </c>
      <c r="AB333" s="36">
        <v>2013</v>
      </c>
      <c r="AC333" s="34">
        <v>0</v>
      </c>
      <c r="AD333" s="36">
        <v>2013</v>
      </c>
      <c r="AE333" s="27"/>
      <c r="AF333" s="31" t="s">
        <v>106</v>
      </c>
      <c r="AG333" s="16">
        <v>1250000000</v>
      </c>
      <c r="AH333" s="16">
        <v>1250000000</v>
      </c>
      <c r="AI333" s="16">
        <v>1789180546.6400001</v>
      </c>
      <c r="AJ333" s="16" t="s">
        <v>76</v>
      </c>
      <c r="AK333" s="16">
        <v>1250000000</v>
      </c>
      <c r="AL333" s="16">
        <v>1250000000</v>
      </c>
      <c r="AM333" s="16">
        <v>1683191533.2</v>
      </c>
      <c r="AN333" s="10" t="s">
        <v>64</v>
      </c>
      <c r="AO333" s="8" t="s">
        <v>3756</v>
      </c>
      <c r="AP333" s="15" t="s">
        <v>94</v>
      </c>
      <c r="AQ333" s="15" t="s">
        <v>94</v>
      </c>
      <c r="AR333" s="8" t="s">
        <v>3764</v>
      </c>
      <c r="AS333" s="18" t="s">
        <v>269</v>
      </c>
      <c r="AT333" s="10" t="s">
        <v>3795</v>
      </c>
      <c r="AU333" s="98"/>
      <c r="AV333" s="20" t="s">
        <v>1126</v>
      </c>
      <c r="AW333" s="10"/>
      <c r="AX333" s="7" t="s">
        <v>4068</v>
      </c>
      <c r="AY333" s="10" t="s">
        <v>3255</v>
      </c>
      <c r="AZ333" s="10" t="s">
        <v>3256</v>
      </c>
      <c r="BA333" s="10" t="s">
        <v>3257</v>
      </c>
      <c r="BB333" s="18" t="s">
        <v>3258</v>
      </c>
      <c r="BC333" s="18" t="s">
        <v>4099</v>
      </c>
    </row>
    <row r="334" spans="1:55" ht="70" customHeight="1" x14ac:dyDescent="0.2">
      <c r="A334" s="88" t="s">
        <v>4518</v>
      </c>
      <c r="B334" s="6" t="s">
        <v>3259</v>
      </c>
      <c r="C334" s="19" t="s">
        <v>3007</v>
      </c>
      <c r="D334" s="8" t="s">
        <v>49</v>
      </c>
      <c r="E334" s="31" t="s">
        <v>50</v>
      </c>
      <c r="F334" s="9" t="s">
        <v>922</v>
      </c>
      <c r="G334" s="32" t="s">
        <v>923</v>
      </c>
      <c r="H334" s="10" t="s">
        <v>572</v>
      </c>
      <c r="I334" s="10" t="s">
        <v>140</v>
      </c>
      <c r="J334" s="7" t="s">
        <v>1360</v>
      </c>
      <c r="K334" s="10" t="s">
        <v>49</v>
      </c>
      <c r="L334" s="9" t="s">
        <v>1361</v>
      </c>
      <c r="M334" s="9" t="s">
        <v>1362</v>
      </c>
      <c r="N334" s="10" t="s">
        <v>4592</v>
      </c>
      <c r="O334" s="8" t="s">
        <v>53</v>
      </c>
      <c r="P334" s="8" t="s">
        <v>144</v>
      </c>
      <c r="Q334" s="10" t="s">
        <v>3260</v>
      </c>
      <c r="R334" s="10" t="s">
        <v>72</v>
      </c>
      <c r="S334" s="10"/>
      <c r="T334" s="8" t="s">
        <v>73</v>
      </c>
      <c r="U334" s="11">
        <v>19902</v>
      </c>
      <c r="V334" s="12">
        <v>1954</v>
      </c>
      <c r="W334" s="13">
        <v>36229</v>
      </c>
      <c r="X334" s="14">
        <v>1999</v>
      </c>
      <c r="Y334" s="13" t="s">
        <v>94</v>
      </c>
      <c r="Z334" s="13" t="s">
        <v>94</v>
      </c>
      <c r="AA334" s="13" t="s">
        <v>94</v>
      </c>
      <c r="AB334" s="35" t="s">
        <v>94</v>
      </c>
      <c r="AC334" s="35" t="s">
        <v>94</v>
      </c>
      <c r="AD334" s="13"/>
      <c r="AE334" s="27"/>
      <c r="AF334" s="8" t="s">
        <v>106</v>
      </c>
      <c r="AG334" s="16">
        <v>25000000</v>
      </c>
      <c r="AH334" s="16">
        <v>25000000</v>
      </c>
      <c r="AI334" s="16">
        <v>47072178.869999997</v>
      </c>
      <c r="AJ334" s="16" t="s">
        <v>76</v>
      </c>
      <c r="AK334" s="28" t="s">
        <v>94</v>
      </c>
      <c r="AL334" s="16" t="s">
        <v>94</v>
      </c>
      <c r="AM334" s="16" t="s">
        <v>94</v>
      </c>
      <c r="AN334" s="10" t="s">
        <v>149</v>
      </c>
      <c r="AO334" s="8" t="s">
        <v>150</v>
      </c>
      <c r="AP334" s="15" t="s">
        <v>151</v>
      </c>
      <c r="AQ334" s="15" t="s">
        <v>151</v>
      </c>
      <c r="AR334" s="8" t="s">
        <v>3765</v>
      </c>
      <c r="AS334" s="10" t="s">
        <v>166</v>
      </c>
      <c r="AT334" s="10" t="s">
        <v>3795</v>
      </c>
      <c r="AU334" s="96"/>
      <c r="AV334" s="17" t="s">
        <v>3261</v>
      </c>
      <c r="AW334" s="10" t="s">
        <v>3262</v>
      </c>
      <c r="AX334" s="7"/>
      <c r="AY334" s="10" t="s">
        <v>3263</v>
      </c>
      <c r="AZ334" s="10" t="s">
        <v>4141</v>
      </c>
      <c r="BA334" s="10" t="s">
        <v>3264</v>
      </c>
      <c r="BB334" s="18" t="s">
        <v>3265</v>
      </c>
      <c r="BC334" s="41" t="s">
        <v>3266</v>
      </c>
    </row>
    <row r="335" spans="1:55" ht="70" customHeight="1" x14ac:dyDescent="0.2">
      <c r="A335" s="91" t="s">
        <v>4519</v>
      </c>
      <c r="B335" s="76" t="s">
        <v>3267</v>
      </c>
      <c r="C335" s="19" t="s">
        <v>3007</v>
      </c>
      <c r="D335" s="8" t="s">
        <v>49</v>
      </c>
      <c r="E335" s="31" t="s">
        <v>50</v>
      </c>
      <c r="F335" s="32" t="s">
        <v>922</v>
      </c>
      <c r="G335" s="32" t="s">
        <v>923</v>
      </c>
      <c r="H335" s="18" t="s">
        <v>572</v>
      </c>
      <c r="I335" s="18" t="s">
        <v>140</v>
      </c>
      <c r="J335" s="19" t="s">
        <v>3268</v>
      </c>
      <c r="K335" s="10" t="s">
        <v>55</v>
      </c>
      <c r="L335" s="9" t="s">
        <v>919</v>
      </c>
      <c r="M335" s="9" t="s">
        <v>920</v>
      </c>
      <c r="N335" s="10" t="s">
        <v>4153</v>
      </c>
      <c r="O335" s="8" t="s">
        <v>53</v>
      </c>
      <c r="P335" s="31" t="s">
        <v>144</v>
      </c>
      <c r="Q335" s="18" t="s">
        <v>924</v>
      </c>
      <c r="R335" s="10" t="s">
        <v>529</v>
      </c>
      <c r="S335" s="18"/>
      <c r="T335" s="31" t="s">
        <v>73</v>
      </c>
      <c r="U335" s="33">
        <v>36287</v>
      </c>
      <c r="V335" s="34">
        <v>1999</v>
      </c>
      <c r="W335" s="35">
        <v>36397</v>
      </c>
      <c r="X335" s="36">
        <v>1999</v>
      </c>
      <c r="Y335" s="13">
        <v>36161</v>
      </c>
      <c r="Z335" s="36">
        <v>1999</v>
      </c>
      <c r="AA335" s="13">
        <v>36161</v>
      </c>
      <c r="AB335" s="36">
        <v>1999</v>
      </c>
      <c r="AC335" s="36">
        <v>0</v>
      </c>
      <c r="AD335" s="36">
        <v>1999</v>
      </c>
      <c r="AE335" s="39"/>
      <c r="AF335" s="31" t="s">
        <v>106</v>
      </c>
      <c r="AG335" s="37">
        <v>4500000</v>
      </c>
      <c r="AH335" s="37">
        <v>4500000</v>
      </c>
      <c r="AI335" s="37">
        <v>8472992.1999999993</v>
      </c>
      <c r="AJ335" s="16" t="s">
        <v>76</v>
      </c>
      <c r="AK335" s="38">
        <v>4500000</v>
      </c>
      <c r="AL335" s="37">
        <v>4500000</v>
      </c>
      <c r="AM335" s="16">
        <v>8472992.1999999993</v>
      </c>
      <c r="AN335" s="10" t="s">
        <v>64</v>
      </c>
      <c r="AO335" s="8" t="s">
        <v>3757</v>
      </c>
      <c r="AP335" s="15">
        <v>30</v>
      </c>
      <c r="AQ335" s="15">
        <v>30</v>
      </c>
      <c r="AR335" s="8" t="s">
        <v>3759</v>
      </c>
      <c r="AS335" s="10" t="s">
        <v>3781</v>
      </c>
      <c r="AT335" s="10" t="s">
        <v>3795</v>
      </c>
      <c r="AU335" s="98"/>
      <c r="AV335" s="20" t="s">
        <v>925</v>
      </c>
      <c r="AW335" s="10"/>
      <c r="AX335" s="7" t="s">
        <v>4012</v>
      </c>
      <c r="AY335" s="10" t="s">
        <v>926</v>
      </c>
      <c r="AZ335" s="10" t="s">
        <v>3269</v>
      </c>
      <c r="BA335" s="10" t="s">
        <v>928</v>
      </c>
      <c r="BB335" s="18"/>
      <c r="BC335" s="41" t="s">
        <v>3270</v>
      </c>
    </row>
    <row r="336" spans="1:55" ht="70" customHeight="1" x14ac:dyDescent="0.2">
      <c r="A336" s="91" t="s">
        <v>4520</v>
      </c>
      <c r="B336" s="76" t="s">
        <v>3271</v>
      </c>
      <c r="C336" s="19" t="s">
        <v>3007</v>
      </c>
      <c r="D336" s="8" t="s">
        <v>49</v>
      </c>
      <c r="E336" s="31" t="s">
        <v>50</v>
      </c>
      <c r="F336" s="32" t="s">
        <v>922</v>
      </c>
      <c r="G336" s="32" t="s">
        <v>923</v>
      </c>
      <c r="H336" s="18" t="s">
        <v>572</v>
      </c>
      <c r="I336" s="18" t="s">
        <v>140</v>
      </c>
      <c r="J336" s="19" t="s">
        <v>918</v>
      </c>
      <c r="K336" s="10" t="s">
        <v>49</v>
      </c>
      <c r="L336" s="9" t="s">
        <v>919</v>
      </c>
      <c r="M336" s="9" t="s">
        <v>920</v>
      </c>
      <c r="N336" s="10" t="s">
        <v>4153</v>
      </c>
      <c r="O336" s="8" t="s">
        <v>53</v>
      </c>
      <c r="P336" s="31" t="s">
        <v>144</v>
      </c>
      <c r="Q336" s="18" t="s">
        <v>924</v>
      </c>
      <c r="R336" s="10" t="s">
        <v>529</v>
      </c>
      <c r="S336" s="18"/>
      <c r="T336" s="31" t="s">
        <v>73</v>
      </c>
      <c r="U336" s="33">
        <v>36287</v>
      </c>
      <c r="V336" s="34">
        <v>1999</v>
      </c>
      <c r="W336" s="35">
        <v>36510</v>
      </c>
      <c r="X336" s="36">
        <v>1999</v>
      </c>
      <c r="Y336" s="13">
        <v>36161</v>
      </c>
      <c r="Z336" s="36">
        <v>1999</v>
      </c>
      <c r="AA336" s="13">
        <v>36161</v>
      </c>
      <c r="AB336" s="36">
        <v>1999</v>
      </c>
      <c r="AC336" s="36">
        <v>0</v>
      </c>
      <c r="AD336" s="36">
        <v>1999</v>
      </c>
      <c r="AE336" s="39"/>
      <c r="AF336" s="31" t="s">
        <v>106</v>
      </c>
      <c r="AG336" s="37">
        <v>28000000</v>
      </c>
      <c r="AH336" s="37">
        <v>28000000</v>
      </c>
      <c r="AI336" s="37">
        <v>52720840.340000004</v>
      </c>
      <c r="AJ336" s="16" t="s">
        <v>76</v>
      </c>
      <c r="AK336" s="38">
        <v>28000000</v>
      </c>
      <c r="AL336" s="37">
        <v>28000000</v>
      </c>
      <c r="AM336" s="16">
        <v>52720840.340000004</v>
      </c>
      <c r="AN336" s="10" t="s">
        <v>149</v>
      </c>
      <c r="AO336" s="8" t="s">
        <v>150</v>
      </c>
      <c r="AP336" s="15" t="s">
        <v>151</v>
      </c>
      <c r="AQ336" s="15" t="s">
        <v>151</v>
      </c>
      <c r="AR336" s="8" t="s">
        <v>3759</v>
      </c>
      <c r="AS336" s="10" t="s">
        <v>3803</v>
      </c>
      <c r="AT336" s="10" t="s">
        <v>3795</v>
      </c>
      <c r="AU336" s="98"/>
      <c r="AV336" s="20" t="s">
        <v>3272</v>
      </c>
      <c r="AW336" s="10"/>
      <c r="AX336" s="7" t="s">
        <v>4012</v>
      </c>
      <c r="AY336" s="10" t="s">
        <v>926</v>
      </c>
      <c r="AZ336" s="10" t="s">
        <v>3269</v>
      </c>
      <c r="BA336" s="10" t="s">
        <v>928</v>
      </c>
      <c r="BB336" s="18"/>
      <c r="BC336" s="41" t="s">
        <v>3273</v>
      </c>
    </row>
    <row r="337" spans="1:55" ht="70" customHeight="1" x14ac:dyDescent="0.2">
      <c r="A337" s="91" t="s">
        <v>4521</v>
      </c>
      <c r="B337" s="76" t="s">
        <v>3274</v>
      </c>
      <c r="C337" s="19" t="s">
        <v>3007</v>
      </c>
      <c r="D337" s="8" t="s">
        <v>49</v>
      </c>
      <c r="E337" s="31" t="s">
        <v>50</v>
      </c>
      <c r="F337" s="32" t="s">
        <v>922</v>
      </c>
      <c r="G337" s="32" t="s">
        <v>923</v>
      </c>
      <c r="H337" s="18" t="s">
        <v>572</v>
      </c>
      <c r="I337" s="18" t="s">
        <v>140</v>
      </c>
      <c r="J337" s="19" t="s">
        <v>3077</v>
      </c>
      <c r="K337" s="10" t="s">
        <v>55</v>
      </c>
      <c r="L337" s="9" t="s">
        <v>3072</v>
      </c>
      <c r="M337" s="9" t="s">
        <v>3073</v>
      </c>
      <c r="N337" s="10" t="s">
        <v>4153</v>
      </c>
      <c r="O337" s="8" t="s">
        <v>53</v>
      </c>
      <c r="P337" s="31" t="s">
        <v>144</v>
      </c>
      <c r="Q337" s="18" t="s">
        <v>3074</v>
      </c>
      <c r="R337" s="18" t="s">
        <v>584</v>
      </c>
      <c r="S337" s="18" t="s">
        <v>146</v>
      </c>
      <c r="T337" s="31" t="s">
        <v>60</v>
      </c>
      <c r="U337" s="33">
        <v>16984</v>
      </c>
      <c r="V337" s="34">
        <v>1946</v>
      </c>
      <c r="W337" s="35">
        <v>36955</v>
      </c>
      <c r="X337" s="36">
        <v>2001</v>
      </c>
      <c r="Y337" s="28" t="s">
        <v>384</v>
      </c>
      <c r="Z337" s="28" t="s">
        <v>384</v>
      </c>
      <c r="AA337" s="28" t="s">
        <v>384</v>
      </c>
      <c r="AB337" s="28" t="s">
        <v>384</v>
      </c>
      <c r="AC337" s="35" t="s">
        <v>94</v>
      </c>
      <c r="AD337" s="35"/>
      <c r="AE337" s="39" t="s">
        <v>3275</v>
      </c>
      <c r="AF337" s="31" t="s">
        <v>106</v>
      </c>
      <c r="AG337" s="37">
        <v>563315500</v>
      </c>
      <c r="AH337" s="37">
        <v>563315500</v>
      </c>
      <c r="AI337" s="37">
        <v>997774567.36000001</v>
      </c>
      <c r="AJ337" s="16" t="s">
        <v>76</v>
      </c>
      <c r="AK337" s="28" t="s">
        <v>384</v>
      </c>
      <c r="AL337" s="28" t="s">
        <v>384</v>
      </c>
      <c r="AM337" s="28" t="s">
        <v>384</v>
      </c>
      <c r="AN337" s="54" t="s">
        <v>3755</v>
      </c>
      <c r="AO337" s="8" t="s">
        <v>3756</v>
      </c>
      <c r="AP337" s="15" t="s">
        <v>94</v>
      </c>
      <c r="AQ337" s="15" t="s">
        <v>94</v>
      </c>
      <c r="AR337" s="8" t="s">
        <v>3762</v>
      </c>
      <c r="AS337" s="18" t="s">
        <v>292</v>
      </c>
      <c r="AT337" s="18" t="s">
        <v>3276</v>
      </c>
      <c r="AU337" s="98"/>
      <c r="AV337" s="20" t="s">
        <v>3076</v>
      </c>
      <c r="AW337" s="10"/>
      <c r="AX337" s="7" t="s">
        <v>3861</v>
      </c>
      <c r="AY337" s="10" t="s">
        <v>3110</v>
      </c>
      <c r="AZ337" s="10" t="s">
        <v>3111</v>
      </c>
      <c r="BA337" s="10" t="s">
        <v>3277</v>
      </c>
      <c r="BB337" s="18"/>
      <c r="BC337" s="41" t="s">
        <v>3278</v>
      </c>
    </row>
    <row r="338" spans="1:55" ht="69" customHeight="1" x14ac:dyDescent="0.2">
      <c r="A338" s="91" t="s">
        <v>4522</v>
      </c>
      <c r="B338" s="76" t="s">
        <v>3279</v>
      </c>
      <c r="C338" s="19" t="s">
        <v>3007</v>
      </c>
      <c r="D338" s="8" t="s">
        <v>49</v>
      </c>
      <c r="E338" s="31" t="s">
        <v>50</v>
      </c>
      <c r="F338" s="32" t="s">
        <v>922</v>
      </c>
      <c r="G338" s="32" t="s">
        <v>923</v>
      </c>
      <c r="H338" s="18" t="s">
        <v>572</v>
      </c>
      <c r="I338" s="18" t="s">
        <v>140</v>
      </c>
      <c r="J338" s="19" t="s">
        <v>3280</v>
      </c>
      <c r="K338" s="10" t="s">
        <v>55</v>
      </c>
      <c r="L338" s="9" t="s">
        <v>922</v>
      </c>
      <c r="M338" s="9" t="s">
        <v>923</v>
      </c>
      <c r="N338" s="10" t="s">
        <v>572</v>
      </c>
      <c r="O338" s="8" t="s">
        <v>140</v>
      </c>
      <c r="P338" s="31" t="s">
        <v>56</v>
      </c>
      <c r="Q338" s="18" t="s">
        <v>3281</v>
      </c>
      <c r="R338" s="10" t="s">
        <v>529</v>
      </c>
      <c r="S338" s="10"/>
      <c r="T338" s="31" t="s">
        <v>73</v>
      </c>
      <c r="U338" s="33">
        <v>37145</v>
      </c>
      <c r="V338" s="34">
        <v>2001</v>
      </c>
      <c r="W338" s="35">
        <v>37156</v>
      </c>
      <c r="X338" s="36">
        <v>2001</v>
      </c>
      <c r="Y338" s="13">
        <v>37257</v>
      </c>
      <c r="Z338" s="36">
        <v>2002</v>
      </c>
      <c r="AA338" s="13">
        <v>37622</v>
      </c>
      <c r="AB338" s="36">
        <v>2003</v>
      </c>
      <c r="AC338" s="40">
        <v>1</v>
      </c>
      <c r="AD338" s="36">
        <v>2002</v>
      </c>
      <c r="AE338" s="39" t="s">
        <v>3282</v>
      </c>
      <c r="AF338" s="31" t="s">
        <v>106</v>
      </c>
      <c r="AG338" s="38">
        <v>7049415536.6400003</v>
      </c>
      <c r="AH338" s="38">
        <v>7049415536.6400003</v>
      </c>
      <c r="AI338" s="16">
        <v>12291962814.190001</v>
      </c>
      <c r="AJ338" s="16" t="s">
        <v>63</v>
      </c>
      <c r="AK338" s="38">
        <v>7049415536.6400003</v>
      </c>
      <c r="AL338" s="38">
        <v>7049415536.6400003</v>
      </c>
      <c r="AM338" s="16">
        <v>12291962814.190001</v>
      </c>
      <c r="AN338" s="10" t="s">
        <v>64</v>
      </c>
      <c r="AO338" s="8" t="s">
        <v>3757</v>
      </c>
      <c r="AP338" s="43">
        <v>5740</v>
      </c>
      <c r="AQ338" s="43">
        <v>5740</v>
      </c>
      <c r="AR338" s="8" t="s">
        <v>3765</v>
      </c>
      <c r="AS338" s="69" t="s">
        <v>3819</v>
      </c>
      <c r="AT338" s="10" t="s">
        <v>3795</v>
      </c>
      <c r="AU338" s="98"/>
      <c r="AV338" s="20"/>
      <c r="AW338" s="10"/>
      <c r="AX338" s="18" t="s">
        <v>3865</v>
      </c>
      <c r="AY338" s="10"/>
      <c r="AZ338" s="10"/>
      <c r="BA338" s="10" t="s">
        <v>3283</v>
      </c>
      <c r="BB338" s="18" t="s">
        <v>4151</v>
      </c>
      <c r="BC338" s="41" t="s">
        <v>3284</v>
      </c>
    </row>
    <row r="339" spans="1:55" ht="70" customHeight="1" x14ac:dyDescent="0.2">
      <c r="A339" s="91" t="s">
        <v>4523</v>
      </c>
      <c r="B339" s="76" t="s">
        <v>3285</v>
      </c>
      <c r="C339" s="19" t="s">
        <v>3286</v>
      </c>
      <c r="D339" s="8" t="s">
        <v>49</v>
      </c>
      <c r="E339" s="31" t="s">
        <v>50</v>
      </c>
      <c r="F339" s="32" t="s">
        <v>922</v>
      </c>
      <c r="G339" s="32" t="s">
        <v>923</v>
      </c>
      <c r="H339" s="18" t="s">
        <v>572</v>
      </c>
      <c r="I339" s="18" t="s">
        <v>140</v>
      </c>
      <c r="J339" s="19" t="s">
        <v>3287</v>
      </c>
      <c r="K339" s="18" t="s">
        <v>2939</v>
      </c>
      <c r="L339" s="9" t="s">
        <v>922</v>
      </c>
      <c r="M339" s="9" t="s">
        <v>923</v>
      </c>
      <c r="N339" s="10" t="s">
        <v>572</v>
      </c>
      <c r="O339" s="8" t="s">
        <v>140</v>
      </c>
      <c r="P339" s="31" t="s">
        <v>56</v>
      </c>
      <c r="Q339" s="18" t="s">
        <v>3288</v>
      </c>
      <c r="R339" s="18" t="s">
        <v>177</v>
      </c>
      <c r="S339" s="18"/>
      <c r="T339" s="31" t="s">
        <v>60</v>
      </c>
      <c r="U339" s="33" t="s">
        <v>269</v>
      </c>
      <c r="V339" s="34" t="s">
        <v>269</v>
      </c>
      <c r="W339" s="35">
        <v>37302</v>
      </c>
      <c r="X339" s="36">
        <v>2002</v>
      </c>
      <c r="Y339" s="35" t="s">
        <v>94</v>
      </c>
      <c r="Z339" s="35" t="s">
        <v>94</v>
      </c>
      <c r="AA339" s="35" t="s">
        <v>94</v>
      </c>
      <c r="AB339" s="35" t="s">
        <v>94</v>
      </c>
      <c r="AC339" s="35" t="s">
        <v>94</v>
      </c>
      <c r="AD339" s="40"/>
      <c r="AE339" s="39"/>
      <c r="AF339" s="31" t="s">
        <v>106</v>
      </c>
      <c r="AG339" s="37">
        <v>503000000</v>
      </c>
      <c r="AH339" s="37">
        <v>503000000</v>
      </c>
      <c r="AI339" s="37">
        <v>877073746.52999997</v>
      </c>
      <c r="AJ339" s="16" t="s">
        <v>76</v>
      </c>
      <c r="AK339" s="38" t="s">
        <v>94</v>
      </c>
      <c r="AL339" s="37" t="s">
        <v>94</v>
      </c>
      <c r="AM339" s="37" t="s">
        <v>94</v>
      </c>
      <c r="AN339" s="10" t="s">
        <v>149</v>
      </c>
      <c r="AO339" s="8" t="s">
        <v>150</v>
      </c>
      <c r="AP339" s="15" t="s">
        <v>151</v>
      </c>
      <c r="AQ339" s="15" t="s">
        <v>151</v>
      </c>
      <c r="AR339" s="8" t="s">
        <v>3764</v>
      </c>
      <c r="AS339" s="10" t="s">
        <v>3776</v>
      </c>
      <c r="AT339" s="10" t="s">
        <v>3795</v>
      </c>
      <c r="AU339" s="98" t="s">
        <v>3181</v>
      </c>
      <c r="AV339" s="20" t="s">
        <v>1126</v>
      </c>
      <c r="AW339" s="10"/>
      <c r="AX339" s="7" t="s">
        <v>3289</v>
      </c>
      <c r="AY339" s="10" t="s">
        <v>3290</v>
      </c>
      <c r="AZ339" s="10" t="s">
        <v>3291</v>
      </c>
      <c r="BA339" s="10" t="s">
        <v>3292</v>
      </c>
      <c r="BB339" s="18"/>
      <c r="BC339" s="41" t="s">
        <v>3293</v>
      </c>
    </row>
    <row r="340" spans="1:55" ht="70" customHeight="1" x14ac:dyDescent="0.2">
      <c r="A340" s="91" t="s">
        <v>4524</v>
      </c>
      <c r="B340" s="76" t="s">
        <v>3294</v>
      </c>
      <c r="C340" s="19" t="s">
        <v>3295</v>
      </c>
      <c r="D340" s="8" t="s">
        <v>49</v>
      </c>
      <c r="E340" s="31" t="s">
        <v>50</v>
      </c>
      <c r="F340" s="32" t="s">
        <v>922</v>
      </c>
      <c r="G340" s="32" t="s">
        <v>923</v>
      </c>
      <c r="H340" s="18" t="s">
        <v>572</v>
      </c>
      <c r="I340" s="18" t="s">
        <v>140</v>
      </c>
      <c r="J340" s="19" t="s">
        <v>3296</v>
      </c>
      <c r="K340" s="10" t="s">
        <v>49</v>
      </c>
      <c r="L340" s="9" t="s">
        <v>1661</v>
      </c>
      <c r="M340" s="9" t="s">
        <v>1662</v>
      </c>
      <c r="N340" s="10" t="s">
        <v>4153</v>
      </c>
      <c r="O340" s="8" t="s">
        <v>140</v>
      </c>
      <c r="P340" s="31" t="s">
        <v>144</v>
      </c>
      <c r="Q340" s="18" t="s">
        <v>3297</v>
      </c>
      <c r="R340" s="10" t="s">
        <v>72</v>
      </c>
      <c r="S340" s="18"/>
      <c r="T340" s="31" t="s">
        <v>73</v>
      </c>
      <c r="U340" s="33">
        <v>36931</v>
      </c>
      <c r="V340" s="34">
        <v>2001</v>
      </c>
      <c r="W340" s="35">
        <v>37356</v>
      </c>
      <c r="X340" s="36">
        <v>2002</v>
      </c>
      <c r="Y340" s="13">
        <v>37257</v>
      </c>
      <c r="Z340" s="36">
        <v>2002</v>
      </c>
      <c r="AA340" s="13">
        <v>37257</v>
      </c>
      <c r="AB340" s="36">
        <v>2002</v>
      </c>
      <c r="AC340" s="36">
        <v>0</v>
      </c>
      <c r="AD340" s="36">
        <v>2002</v>
      </c>
      <c r="AE340" s="39"/>
      <c r="AF340" s="31" t="s">
        <v>106</v>
      </c>
      <c r="AG340" s="37">
        <v>11470000</v>
      </c>
      <c r="AH340" s="37">
        <v>11470000</v>
      </c>
      <c r="AI340" s="37">
        <v>20000071.32</v>
      </c>
      <c r="AJ340" s="16" t="s">
        <v>76</v>
      </c>
      <c r="AK340" s="38">
        <v>11470000</v>
      </c>
      <c r="AL340" s="37">
        <v>11470000</v>
      </c>
      <c r="AM340" s="16">
        <v>20000071.32</v>
      </c>
      <c r="AN340" s="54" t="s">
        <v>3755</v>
      </c>
      <c r="AO340" s="8" t="s">
        <v>150</v>
      </c>
      <c r="AP340" s="15" t="s">
        <v>151</v>
      </c>
      <c r="AQ340" s="15" t="s">
        <v>151</v>
      </c>
      <c r="AR340" s="8" t="s">
        <v>3765</v>
      </c>
      <c r="AS340" s="10" t="s">
        <v>3776</v>
      </c>
      <c r="AT340" s="10" t="s">
        <v>3795</v>
      </c>
      <c r="AU340" s="98"/>
      <c r="AV340" s="20" t="s">
        <v>3933</v>
      </c>
      <c r="AW340" s="10" t="s">
        <v>3298</v>
      </c>
      <c r="AX340" s="7"/>
      <c r="AY340" s="10" t="s">
        <v>3299</v>
      </c>
      <c r="AZ340" s="10" t="s">
        <v>3300</v>
      </c>
      <c r="BA340" s="10" t="s">
        <v>3301</v>
      </c>
      <c r="BB340" s="18"/>
      <c r="BC340" s="41" t="s">
        <v>3302</v>
      </c>
    </row>
    <row r="341" spans="1:55" ht="70" customHeight="1" x14ac:dyDescent="0.2">
      <c r="A341" s="91" t="s">
        <v>4525</v>
      </c>
      <c r="B341" s="76" t="s">
        <v>3303</v>
      </c>
      <c r="C341" s="19" t="s">
        <v>3295</v>
      </c>
      <c r="D341" s="8" t="s">
        <v>49</v>
      </c>
      <c r="E341" s="31" t="s">
        <v>50</v>
      </c>
      <c r="F341" s="32" t="s">
        <v>922</v>
      </c>
      <c r="G341" s="32" t="s">
        <v>923</v>
      </c>
      <c r="H341" s="18" t="s">
        <v>572</v>
      </c>
      <c r="I341" s="18" t="s">
        <v>140</v>
      </c>
      <c r="J341" s="19" t="s">
        <v>3304</v>
      </c>
      <c r="K341" s="10" t="s">
        <v>55</v>
      </c>
      <c r="L341" s="9" t="s">
        <v>1661</v>
      </c>
      <c r="M341" s="9" t="s">
        <v>1662</v>
      </c>
      <c r="N341" s="10" t="s">
        <v>4153</v>
      </c>
      <c r="O341" s="8" t="s">
        <v>140</v>
      </c>
      <c r="P341" s="31" t="s">
        <v>144</v>
      </c>
      <c r="Q341" s="18" t="s">
        <v>3297</v>
      </c>
      <c r="R341" s="10" t="s">
        <v>72</v>
      </c>
      <c r="S341" s="18"/>
      <c r="T341" s="31" t="s">
        <v>73</v>
      </c>
      <c r="U341" s="33">
        <v>36931</v>
      </c>
      <c r="V341" s="34">
        <v>2001</v>
      </c>
      <c r="W341" s="35">
        <v>37574</v>
      </c>
      <c r="X341" s="36">
        <v>2002</v>
      </c>
      <c r="Y341" s="13">
        <v>37257</v>
      </c>
      <c r="Z341" s="36">
        <v>2002</v>
      </c>
      <c r="AA341" s="13">
        <v>37622</v>
      </c>
      <c r="AB341" s="36">
        <v>2003</v>
      </c>
      <c r="AC341" s="36">
        <v>1</v>
      </c>
      <c r="AD341" s="36">
        <v>2002</v>
      </c>
      <c r="AE341" s="39"/>
      <c r="AF341" s="31" t="s">
        <v>106</v>
      </c>
      <c r="AG341" s="37">
        <v>16500000</v>
      </c>
      <c r="AH341" s="37">
        <v>16500000</v>
      </c>
      <c r="AI341" s="37">
        <v>28770808.780000001</v>
      </c>
      <c r="AJ341" s="16" t="s">
        <v>76</v>
      </c>
      <c r="AK341" s="38">
        <v>16500000</v>
      </c>
      <c r="AL341" s="37">
        <v>16500000</v>
      </c>
      <c r="AM341" s="16">
        <v>28770808.780000001</v>
      </c>
      <c r="AN341" s="10" t="s">
        <v>64</v>
      </c>
      <c r="AO341" s="8" t="s">
        <v>3758</v>
      </c>
      <c r="AP341" s="15">
        <v>35</v>
      </c>
      <c r="AQ341" s="15">
        <v>35</v>
      </c>
      <c r="AR341" s="8" t="s">
        <v>3769</v>
      </c>
      <c r="AS341" s="10" t="s">
        <v>3783</v>
      </c>
      <c r="AT341" s="10" t="s">
        <v>3795</v>
      </c>
      <c r="AU341" s="98"/>
      <c r="AV341" s="20" t="s">
        <v>3933</v>
      </c>
      <c r="AW341" s="10"/>
      <c r="AX341" s="7" t="s">
        <v>3866</v>
      </c>
      <c r="AY341" s="10" t="s">
        <v>3305</v>
      </c>
      <c r="AZ341" s="10" t="s">
        <v>3306</v>
      </c>
      <c r="BA341" s="10" t="s">
        <v>3307</v>
      </c>
      <c r="BB341" s="18"/>
      <c r="BC341" s="41" t="s">
        <v>3308</v>
      </c>
    </row>
    <row r="342" spans="1:55" ht="70" customHeight="1" x14ac:dyDescent="0.2">
      <c r="A342" s="91" t="s">
        <v>4526</v>
      </c>
      <c r="B342" s="76" t="s">
        <v>3309</v>
      </c>
      <c r="C342" s="19" t="s">
        <v>3310</v>
      </c>
      <c r="D342" s="31" t="s">
        <v>2939</v>
      </c>
      <c r="E342" s="31" t="s">
        <v>280</v>
      </c>
      <c r="F342" s="32" t="s">
        <v>922</v>
      </c>
      <c r="G342" s="32" t="s">
        <v>923</v>
      </c>
      <c r="H342" s="18" t="s">
        <v>572</v>
      </c>
      <c r="I342" s="18" t="s">
        <v>140</v>
      </c>
      <c r="J342" s="19" t="s">
        <v>3311</v>
      </c>
      <c r="K342" s="10" t="s">
        <v>55</v>
      </c>
      <c r="L342" s="9" t="s">
        <v>922</v>
      </c>
      <c r="M342" s="9" t="s">
        <v>923</v>
      </c>
      <c r="N342" s="10" t="s">
        <v>572</v>
      </c>
      <c r="O342" s="8" t="s">
        <v>140</v>
      </c>
      <c r="P342" s="31" t="s">
        <v>56</v>
      </c>
      <c r="Q342" s="18" t="s">
        <v>3312</v>
      </c>
      <c r="R342" s="18" t="s">
        <v>240</v>
      </c>
      <c r="S342" s="18"/>
      <c r="T342" s="31" t="s">
        <v>60</v>
      </c>
      <c r="U342" s="33">
        <v>32874</v>
      </c>
      <c r="V342" s="34">
        <v>1990</v>
      </c>
      <c r="W342" s="35">
        <v>37874</v>
      </c>
      <c r="X342" s="36">
        <v>2003</v>
      </c>
      <c r="Y342" s="13">
        <v>37622</v>
      </c>
      <c r="Z342" s="36">
        <v>2003</v>
      </c>
      <c r="AA342" s="13">
        <v>37622</v>
      </c>
      <c r="AB342" s="36">
        <v>2003</v>
      </c>
      <c r="AC342" s="36">
        <v>0</v>
      </c>
      <c r="AD342" s="36">
        <v>2003</v>
      </c>
      <c r="AE342" s="39" t="s">
        <v>3313</v>
      </c>
      <c r="AF342" s="31" t="s">
        <v>106</v>
      </c>
      <c r="AG342" s="37">
        <v>85000000</v>
      </c>
      <c r="AH342" s="37">
        <v>85000000</v>
      </c>
      <c r="AI342" s="37">
        <v>144910679.34999999</v>
      </c>
      <c r="AJ342" s="16" t="s">
        <v>76</v>
      </c>
      <c r="AK342" s="38">
        <v>85000000</v>
      </c>
      <c r="AL342" s="37">
        <v>85000000</v>
      </c>
      <c r="AM342" s="37">
        <v>144910679.34999999</v>
      </c>
      <c r="AN342" s="10" t="s">
        <v>64</v>
      </c>
      <c r="AO342" s="8" t="s">
        <v>3756</v>
      </c>
      <c r="AP342" s="15">
        <v>550</v>
      </c>
      <c r="AQ342" s="15">
        <v>550</v>
      </c>
      <c r="AR342" s="8" t="s">
        <v>3764</v>
      </c>
      <c r="AS342" s="10" t="s">
        <v>3781</v>
      </c>
      <c r="AT342" s="10" t="s">
        <v>3795</v>
      </c>
      <c r="AU342" s="98"/>
      <c r="AV342" s="20" t="s">
        <v>3314</v>
      </c>
      <c r="AW342" s="10" t="s">
        <v>3315</v>
      </c>
      <c r="AX342" s="7" t="s">
        <v>4069</v>
      </c>
      <c r="AY342" s="10" t="s">
        <v>3316</v>
      </c>
      <c r="AZ342" s="10" t="s">
        <v>3317</v>
      </c>
      <c r="BA342" s="10" t="s">
        <v>3318</v>
      </c>
      <c r="BB342" s="18"/>
      <c r="BC342" s="41" t="s">
        <v>3319</v>
      </c>
    </row>
    <row r="343" spans="1:55" ht="70" customHeight="1" x14ac:dyDescent="0.2">
      <c r="A343" s="91" t="s">
        <v>4527</v>
      </c>
      <c r="B343" s="76" t="s">
        <v>3320</v>
      </c>
      <c r="C343" s="19" t="s">
        <v>3321</v>
      </c>
      <c r="D343" s="31" t="s">
        <v>279</v>
      </c>
      <c r="E343" s="31" t="s">
        <v>280</v>
      </c>
      <c r="F343" s="32" t="s">
        <v>922</v>
      </c>
      <c r="G343" s="32" t="s">
        <v>923</v>
      </c>
      <c r="H343" s="18" t="s">
        <v>572</v>
      </c>
      <c r="I343" s="18" t="s">
        <v>140</v>
      </c>
      <c r="J343" s="19" t="s">
        <v>1101</v>
      </c>
      <c r="K343" s="10" t="s">
        <v>55</v>
      </c>
      <c r="L343" s="9" t="s">
        <v>1102</v>
      </c>
      <c r="M343" s="9" t="s">
        <v>1103</v>
      </c>
      <c r="N343" s="10" t="s">
        <v>4154</v>
      </c>
      <c r="O343" s="8" t="s">
        <v>53</v>
      </c>
      <c r="P343" s="31" t="s">
        <v>144</v>
      </c>
      <c r="Q343" s="18" t="s">
        <v>3322</v>
      </c>
      <c r="R343" s="18" t="s">
        <v>177</v>
      </c>
      <c r="S343" s="18" t="s">
        <v>59</v>
      </c>
      <c r="T343" s="31" t="s">
        <v>60</v>
      </c>
      <c r="U343" s="33">
        <v>5480</v>
      </c>
      <c r="V343" s="34">
        <v>1915</v>
      </c>
      <c r="W343" s="35">
        <v>38014</v>
      </c>
      <c r="X343" s="36">
        <v>2004</v>
      </c>
      <c r="Y343" s="13">
        <v>37987</v>
      </c>
      <c r="Z343" s="36">
        <v>2004</v>
      </c>
      <c r="AA343" s="13">
        <v>37987</v>
      </c>
      <c r="AB343" s="36">
        <v>2004</v>
      </c>
      <c r="AC343" s="36">
        <v>0</v>
      </c>
      <c r="AD343" s="36">
        <v>2004</v>
      </c>
      <c r="AE343" s="39"/>
      <c r="AF343" s="31" t="s">
        <v>106</v>
      </c>
      <c r="AG343" s="37">
        <v>20000000</v>
      </c>
      <c r="AH343" s="37">
        <v>20000000</v>
      </c>
      <c r="AI343" s="37">
        <v>33212175.75</v>
      </c>
      <c r="AJ343" s="16" t="s">
        <v>76</v>
      </c>
      <c r="AK343" s="38">
        <v>20000000</v>
      </c>
      <c r="AL343" s="37">
        <v>20000000</v>
      </c>
      <c r="AM343" s="16">
        <v>33212175.75</v>
      </c>
      <c r="AN343" s="54" t="s">
        <v>3755</v>
      </c>
      <c r="AO343" s="8" t="s">
        <v>3757</v>
      </c>
      <c r="AP343" s="43">
        <v>2000</v>
      </c>
      <c r="AQ343" s="43">
        <v>2000</v>
      </c>
      <c r="AR343" s="8" t="s">
        <v>3764</v>
      </c>
      <c r="AS343" s="10" t="s">
        <v>3783</v>
      </c>
      <c r="AT343" s="10" t="s">
        <v>3795</v>
      </c>
      <c r="AU343" s="98"/>
      <c r="AV343" s="20" t="s">
        <v>3934</v>
      </c>
      <c r="AW343" s="10" t="s">
        <v>3323</v>
      </c>
      <c r="AX343" s="7" t="s">
        <v>3324</v>
      </c>
      <c r="AY343" s="10" t="s">
        <v>3325</v>
      </c>
      <c r="AZ343" s="10" t="s">
        <v>4142</v>
      </c>
      <c r="BA343" s="10" t="s">
        <v>3326</v>
      </c>
      <c r="BB343" s="18" t="s">
        <v>3327</v>
      </c>
      <c r="BC343" s="41" t="s">
        <v>3328</v>
      </c>
    </row>
    <row r="344" spans="1:55" ht="70" customHeight="1" x14ac:dyDescent="0.2">
      <c r="A344" s="88" t="s">
        <v>4528</v>
      </c>
      <c r="B344" s="6" t="s">
        <v>3329</v>
      </c>
      <c r="C344" s="19" t="s">
        <v>3187</v>
      </c>
      <c r="D344" s="8" t="s">
        <v>49</v>
      </c>
      <c r="E344" s="31" t="s">
        <v>50</v>
      </c>
      <c r="F344" s="9" t="s">
        <v>922</v>
      </c>
      <c r="G344" s="32" t="s">
        <v>923</v>
      </c>
      <c r="H344" s="10" t="s">
        <v>572</v>
      </c>
      <c r="I344" s="10" t="s">
        <v>140</v>
      </c>
      <c r="J344" s="7" t="s">
        <v>3188</v>
      </c>
      <c r="K344" s="10" t="s">
        <v>55</v>
      </c>
      <c r="L344" s="9" t="s">
        <v>922</v>
      </c>
      <c r="M344" s="9" t="s">
        <v>923</v>
      </c>
      <c r="N344" s="10" t="s">
        <v>572</v>
      </c>
      <c r="O344" s="8" t="s">
        <v>140</v>
      </c>
      <c r="P344" s="8" t="s">
        <v>56</v>
      </c>
      <c r="Q344" s="18" t="s">
        <v>3189</v>
      </c>
      <c r="R344" s="10" t="s">
        <v>72</v>
      </c>
      <c r="S344" s="10"/>
      <c r="T344" s="8" t="s">
        <v>73</v>
      </c>
      <c r="U344" s="11">
        <v>31180</v>
      </c>
      <c r="V344" s="12">
        <v>1985</v>
      </c>
      <c r="W344" s="13" t="s">
        <v>94</v>
      </c>
      <c r="X344" s="14">
        <v>2005</v>
      </c>
      <c r="Y344" s="13">
        <v>38353</v>
      </c>
      <c r="Z344" s="14">
        <v>2005</v>
      </c>
      <c r="AA344" s="13">
        <v>38353</v>
      </c>
      <c r="AB344" s="14">
        <v>2005</v>
      </c>
      <c r="AC344" s="14">
        <v>0</v>
      </c>
      <c r="AD344" s="14">
        <v>2005</v>
      </c>
      <c r="AE344" s="27"/>
      <c r="AF344" s="8" t="s">
        <v>106</v>
      </c>
      <c r="AG344" s="16">
        <v>12830000</v>
      </c>
      <c r="AH344" s="16">
        <v>12830000</v>
      </c>
      <c r="AI344" s="16">
        <v>20607423.809999999</v>
      </c>
      <c r="AJ344" s="16" t="s">
        <v>76</v>
      </c>
      <c r="AK344" s="28">
        <v>6300000</v>
      </c>
      <c r="AL344" s="16">
        <v>6300000</v>
      </c>
      <c r="AM344" s="16">
        <v>10119000</v>
      </c>
      <c r="AN344" s="10" t="s">
        <v>64</v>
      </c>
      <c r="AO344" s="8" t="s">
        <v>3756</v>
      </c>
      <c r="AP344" s="15">
        <v>24</v>
      </c>
      <c r="AQ344" s="15">
        <v>24</v>
      </c>
      <c r="AR344" s="8" t="s">
        <v>3762</v>
      </c>
      <c r="AS344" s="10" t="s">
        <v>3781</v>
      </c>
      <c r="AT344" s="10" t="s">
        <v>3795</v>
      </c>
      <c r="AU344" s="96"/>
      <c r="AV344" s="20" t="s">
        <v>3190</v>
      </c>
      <c r="AW344" s="10"/>
      <c r="AX344" s="8" t="s">
        <v>153</v>
      </c>
      <c r="AY344" s="10" t="s">
        <v>3330</v>
      </c>
      <c r="AZ344" s="10" t="s">
        <v>3331</v>
      </c>
      <c r="BA344" s="10" t="s">
        <v>3332</v>
      </c>
      <c r="BB344" s="18"/>
      <c r="BC344" s="41" t="s">
        <v>3333</v>
      </c>
    </row>
    <row r="345" spans="1:55" ht="69" customHeight="1" x14ac:dyDescent="0.2">
      <c r="A345" s="91" t="s">
        <v>4529</v>
      </c>
      <c r="B345" s="76" t="s">
        <v>3334</v>
      </c>
      <c r="C345" s="19" t="s">
        <v>3335</v>
      </c>
      <c r="D345" s="10" t="s">
        <v>192</v>
      </c>
      <c r="E345" s="31" t="s">
        <v>337</v>
      </c>
      <c r="F345" s="32" t="s">
        <v>922</v>
      </c>
      <c r="G345" s="32" t="s">
        <v>923</v>
      </c>
      <c r="H345" s="18" t="s">
        <v>572</v>
      </c>
      <c r="I345" s="18" t="s">
        <v>140</v>
      </c>
      <c r="J345" s="19" t="s">
        <v>3336</v>
      </c>
      <c r="K345" s="10" t="s">
        <v>55</v>
      </c>
      <c r="L345" s="9" t="s">
        <v>922</v>
      </c>
      <c r="M345" s="9" t="s">
        <v>923</v>
      </c>
      <c r="N345" s="10" t="s">
        <v>572</v>
      </c>
      <c r="O345" s="8" t="s">
        <v>140</v>
      </c>
      <c r="P345" s="31" t="s">
        <v>56</v>
      </c>
      <c r="Q345" s="18" t="s">
        <v>3337</v>
      </c>
      <c r="R345" s="18" t="s">
        <v>177</v>
      </c>
      <c r="S345" s="18"/>
      <c r="T345" s="31" t="s">
        <v>60</v>
      </c>
      <c r="U345" s="33">
        <v>21551</v>
      </c>
      <c r="V345" s="34">
        <v>1959</v>
      </c>
      <c r="W345" s="13" t="s">
        <v>94</v>
      </c>
      <c r="X345" s="36">
        <v>2005</v>
      </c>
      <c r="Y345" s="13">
        <v>38353</v>
      </c>
      <c r="Z345" s="36">
        <v>2005</v>
      </c>
      <c r="AA345" s="13">
        <v>38353</v>
      </c>
      <c r="AB345" s="36">
        <v>2005</v>
      </c>
      <c r="AC345" s="14">
        <v>0</v>
      </c>
      <c r="AD345" s="14">
        <v>2005</v>
      </c>
      <c r="AE345" s="39"/>
      <c r="AF345" s="31" t="s">
        <v>106</v>
      </c>
      <c r="AG345" s="37">
        <v>2000000</v>
      </c>
      <c r="AH345" s="37">
        <v>2000000</v>
      </c>
      <c r="AI345" s="37">
        <v>3212380.95</v>
      </c>
      <c r="AJ345" s="16" t="s">
        <v>76</v>
      </c>
      <c r="AK345" s="37">
        <v>2000000</v>
      </c>
      <c r="AL345" s="37">
        <v>2000000</v>
      </c>
      <c r="AM345" s="37">
        <v>3212380.95</v>
      </c>
      <c r="AN345" s="10" t="s">
        <v>64</v>
      </c>
      <c r="AO345" s="8" t="s">
        <v>3756</v>
      </c>
      <c r="AP345" s="15">
        <v>80</v>
      </c>
      <c r="AQ345" s="15">
        <v>80</v>
      </c>
      <c r="AR345" s="8" t="s">
        <v>3772</v>
      </c>
      <c r="AS345" s="18" t="s">
        <v>3820</v>
      </c>
      <c r="AT345" s="10" t="s">
        <v>3795</v>
      </c>
      <c r="AU345" s="98" t="s">
        <v>3181</v>
      </c>
      <c r="AV345" s="20" t="s">
        <v>1126</v>
      </c>
      <c r="AW345" s="10"/>
      <c r="AX345" s="7" t="s">
        <v>577</v>
      </c>
      <c r="AY345" s="10" t="s">
        <v>3338</v>
      </c>
      <c r="AZ345" s="10" t="s">
        <v>3339</v>
      </c>
      <c r="BA345" s="10" t="s">
        <v>3340</v>
      </c>
      <c r="BB345" s="18"/>
      <c r="BC345" s="41" t="s">
        <v>3341</v>
      </c>
    </row>
    <row r="346" spans="1:55" ht="70" customHeight="1" x14ac:dyDescent="0.2">
      <c r="A346" s="91" t="s">
        <v>4530</v>
      </c>
      <c r="B346" s="76" t="s">
        <v>3342</v>
      </c>
      <c r="C346" s="19" t="s">
        <v>3343</v>
      </c>
      <c r="D346" s="31" t="s">
        <v>279</v>
      </c>
      <c r="E346" s="31" t="s">
        <v>280</v>
      </c>
      <c r="F346" s="32" t="s">
        <v>922</v>
      </c>
      <c r="G346" s="32" t="s">
        <v>923</v>
      </c>
      <c r="H346" s="18" t="s">
        <v>572</v>
      </c>
      <c r="I346" s="18" t="s">
        <v>140</v>
      </c>
      <c r="J346" s="19" t="s">
        <v>3344</v>
      </c>
      <c r="K346" s="10" t="s">
        <v>55</v>
      </c>
      <c r="L346" s="9" t="s">
        <v>922</v>
      </c>
      <c r="M346" s="9" t="s">
        <v>923</v>
      </c>
      <c r="N346" s="10" t="s">
        <v>572</v>
      </c>
      <c r="O346" s="8" t="s">
        <v>140</v>
      </c>
      <c r="P346" s="31" t="s">
        <v>56</v>
      </c>
      <c r="Q346" s="18" t="s">
        <v>3345</v>
      </c>
      <c r="R346" s="18" t="s">
        <v>1227</v>
      </c>
      <c r="S346" s="18"/>
      <c r="T346" s="31" t="s">
        <v>60</v>
      </c>
      <c r="U346" s="34" t="s">
        <v>1146</v>
      </c>
      <c r="V346" s="34">
        <v>1830</v>
      </c>
      <c r="W346" s="35">
        <v>38372</v>
      </c>
      <c r="X346" s="36">
        <v>2005</v>
      </c>
      <c r="Y346" s="13">
        <v>38353</v>
      </c>
      <c r="Z346" s="36">
        <v>2005</v>
      </c>
      <c r="AA346" s="36" t="s">
        <v>94</v>
      </c>
      <c r="AB346" s="36" t="s">
        <v>94</v>
      </c>
      <c r="AC346" s="36" t="s">
        <v>94</v>
      </c>
      <c r="AD346" s="40"/>
      <c r="AE346" s="39"/>
      <c r="AF346" s="31" t="s">
        <v>106</v>
      </c>
      <c r="AG346" s="37">
        <v>5000000</v>
      </c>
      <c r="AH346" s="37">
        <v>5000000</v>
      </c>
      <c r="AI346" s="37">
        <v>8030952.3799999999</v>
      </c>
      <c r="AJ346" s="16" t="s">
        <v>76</v>
      </c>
      <c r="AK346" s="38" t="s">
        <v>94</v>
      </c>
      <c r="AL346" s="37" t="s">
        <v>94</v>
      </c>
      <c r="AM346" s="37" t="s">
        <v>94</v>
      </c>
      <c r="AN346" s="10" t="s">
        <v>149</v>
      </c>
      <c r="AO346" s="8" t="s">
        <v>150</v>
      </c>
      <c r="AP346" s="15" t="s">
        <v>151</v>
      </c>
      <c r="AQ346" s="15" t="s">
        <v>151</v>
      </c>
      <c r="AR346" s="8" t="s">
        <v>3773</v>
      </c>
      <c r="AS346" s="18" t="s">
        <v>3820</v>
      </c>
      <c r="AT346" s="10" t="s">
        <v>3795</v>
      </c>
      <c r="AU346" s="98" t="s">
        <v>3181</v>
      </c>
      <c r="AV346" s="20" t="s">
        <v>1126</v>
      </c>
      <c r="AW346" s="10"/>
      <c r="AX346" s="7" t="s">
        <v>1297</v>
      </c>
      <c r="AY346" s="10" t="s">
        <v>3346</v>
      </c>
      <c r="AZ346" s="10" t="s">
        <v>3347</v>
      </c>
      <c r="BA346" s="10" t="s">
        <v>3348</v>
      </c>
      <c r="BB346" s="18"/>
      <c r="BC346" s="41" t="s">
        <v>3349</v>
      </c>
    </row>
    <row r="347" spans="1:55" ht="69" customHeight="1" x14ac:dyDescent="0.2">
      <c r="A347" s="91" t="s">
        <v>4531</v>
      </c>
      <c r="B347" s="76" t="s">
        <v>3350</v>
      </c>
      <c r="C347" s="19" t="s">
        <v>3351</v>
      </c>
      <c r="D347" s="10" t="s">
        <v>192</v>
      </c>
      <c r="E347" s="31" t="s">
        <v>337</v>
      </c>
      <c r="F347" s="32" t="s">
        <v>922</v>
      </c>
      <c r="G347" s="32" t="s">
        <v>923</v>
      </c>
      <c r="H347" s="18" t="s">
        <v>572</v>
      </c>
      <c r="I347" s="18" t="s">
        <v>140</v>
      </c>
      <c r="J347" s="19" t="s">
        <v>3352</v>
      </c>
      <c r="K347" s="10" t="s">
        <v>55</v>
      </c>
      <c r="L347" s="9" t="s">
        <v>922</v>
      </c>
      <c r="M347" s="9" t="s">
        <v>923</v>
      </c>
      <c r="N347" s="10" t="s">
        <v>572</v>
      </c>
      <c r="O347" s="8" t="s">
        <v>140</v>
      </c>
      <c r="P347" s="31" t="s">
        <v>56</v>
      </c>
      <c r="Q347" s="18" t="s">
        <v>3353</v>
      </c>
      <c r="R347" s="10" t="s">
        <v>72</v>
      </c>
      <c r="S347" s="18"/>
      <c r="T347" s="31" t="s">
        <v>60</v>
      </c>
      <c r="U347" s="33">
        <v>36504</v>
      </c>
      <c r="V347" s="34">
        <v>1999</v>
      </c>
      <c r="W347" s="35">
        <v>38869</v>
      </c>
      <c r="X347" s="36">
        <v>2006</v>
      </c>
      <c r="Y347" s="13">
        <v>38718</v>
      </c>
      <c r="Z347" s="36">
        <v>2006</v>
      </c>
      <c r="AA347" s="13">
        <v>38718</v>
      </c>
      <c r="AB347" s="36">
        <v>2006</v>
      </c>
      <c r="AC347" s="36">
        <v>0</v>
      </c>
      <c r="AD347" s="36">
        <v>2006</v>
      </c>
      <c r="AE347" s="39"/>
      <c r="AF347" s="31" t="s">
        <v>106</v>
      </c>
      <c r="AG347" s="37">
        <v>1650000</v>
      </c>
      <c r="AH347" s="37">
        <v>1650000</v>
      </c>
      <c r="AI347" s="37">
        <v>2567395.09</v>
      </c>
      <c r="AJ347" s="16" t="s">
        <v>76</v>
      </c>
      <c r="AK347" s="38">
        <v>1650000</v>
      </c>
      <c r="AL347" s="37">
        <v>1650000</v>
      </c>
      <c r="AM347" s="16">
        <v>2567395.09</v>
      </c>
      <c r="AN347" s="10" t="s">
        <v>64</v>
      </c>
      <c r="AO347" s="8" t="s">
        <v>3756</v>
      </c>
      <c r="AP347" s="15">
        <v>1</v>
      </c>
      <c r="AQ347" s="15">
        <v>1</v>
      </c>
      <c r="AR347" s="8" t="s">
        <v>3764</v>
      </c>
      <c r="AS347" s="10" t="s">
        <v>3781</v>
      </c>
      <c r="AT347" s="10" t="s">
        <v>3795</v>
      </c>
      <c r="AU347" s="98"/>
      <c r="AV347" s="20" t="s">
        <v>3354</v>
      </c>
      <c r="AW347" s="10"/>
      <c r="AX347" s="7" t="s">
        <v>4070</v>
      </c>
      <c r="AY347" s="10" t="s">
        <v>3355</v>
      </c>
      <c r="AZ347" s="10" t="s">
        <v>3356</v>
      </c>
      <c r="BA347" s="10" t="s">
        <v>3357</v>
      </c>
      <c r="BB347" s="18"/>
      <c r="BC347" s="41" t="s">
        <v>3358</v>
      </c>
    </row>
    <row r="348" spans="1:55" ht="70" customHeight="1" x14ac:dyDescent="0.2">
      <c r="A348" s="91" t="s">
        <v>4532</v>
      </c>
      <c r="B348" s="76" t="s">
        <v>3359</v>
      </c>
      <c r="C348" s="19" t="s">
        <v>3360</v>
      </c>
      <c r="D348" s="31" t="s">
        <v>2939</v>
      </c>
      <c r="E348" s="31" t="s">
        <v>50</v>
      </c>
      <c r="F348" s="32" t="s">
        <v>922</v>
      </c>
      <c r="G348" s="32" t="s">
        <v>923</v>
      </c>
      <c r="H348" s="18" t="s">
        <v>572</v>
      </c>
      <c r="I348" s="18" t="s">
        <v>140</v>
      </c>
      <c r="J348" s="19" t="s">
        <v>3361</v>
      </c>
      <c r="K348" s="10" t="s">
        <v>55</v>
      </c>
      <c r="L348" s="9" t="s">
        <v>922</v>
      </c>
      <c r="M348" s="9" t="s">
        <v>923</v>
      </c>
      <c r="N348" s="10" t="s">
        <v>572</v>
      </c>
      <c r="O348" s="8" t="s">
        <v>140</v>
      </c>
      <c r="P348" s="31" t="s">
        <v>56</v>
      </c>
      <c r="Q348" s="18" t="s">
        <v>3362</v>
      </c>
      <c r="R348" s="10" t="s">
        <v>584</v>
      </c>
      <c r="S348" s="18"/>
      <c r="T348" s="31" t="s">
        <v>73</v>
      </c>
      <c r="U348" s="33">
        <v>39188</v>
      </c>
      <c r="V348" s="34">
        <v>2007</v>
      </c>
      <c r="W348" s="13" t="s">
        <v>94</v>
      </c>
      <c r="X348" s="36">
        <v>2007</v>
      </c>
      <c r="Y348" s="13">
        <v>39083</v>
      </c>
      <c r="Z348" s="36">
        <v>2007</v>
      </c>
      <c r="AA348" s="13">
        <v>39083</v>
      </c>
      <c r="AB348" s="36">
        <v>2007</v>
      </c>
      <c r="AC348" s="36">
        <v>0</v>
      </c>
      <c r="AD348" s="40">
        <v>2007</v>
      </c>
      <c r="AE348" s="39" t="s">
        <v>3363</v>
      </c>
      <c r="AF348" s="31" t="s">
        <v>106</v>
      </c>
      <c r="AG348" s="38">
        <v>7074377</v>
      </c>
      <c r="AH348" s="38">
        <v>7074377</v>
      </c>
      <c r="AI348" s="37">
        <v>10702868.92</v>
      </c>
      <c r="AJ348" s="16" t="s">
        <v>76</v>
      </c>
      <c r="AK348" s="38">
        <v>7074377</v>
      </c>
      <c r="AL348" s="38">
        <v>7074377</v>
      </c>
      <c r="AM348" s="16">
        <v>10702868.92</v>
      </c>
      <c r="AN348" s="10" t="s">
        <v>64</v>
      </c>
      <c r="AO348" s="8" t="s">
        <v>3757</v>
      </c>
      <c r="AP348" s="15">
        <v>80</v>
      </c>
      <c r="AQ348" s="15">
        <v>80</v>
      </c>
      <c r="AR348" s="8" t="s">
        <v>3772</v>
      </c>
      <c r="AS348" s="10" t="s">
        <v>3816</v>
      </c>
      <c r="AT348" s="10" t="s">
        <v>3795</v>
      </c>
      <c r="AU348" s="98"/>
      <c r="AV348" s="20"/>
      <c r="AW348" s="10"/>
      <c r="AX348" s="7" t="s">
        <v>3867</v>
      </c>
      <c r="AY348" s="10" t="s">
        <v>3364</v>
      </c>
      <c r="AZ348" s="10" t="s">
        <v>3365</v>
      </c>
      <c r="BA348" s="10" t="s">
        <v>3366</v>
      </c>
      <c r="BB348" s="18"/>
      <c r="BC348" s="18" t="s">
        <v>4100</v>
      </c>
    </row>
    <row r="349" spans="1:55" ht="70" customHeight="1" x14ac:dyDescent="0.2">
      <c r="A349" s="91" t="s">
        <v>4533</v>
      </c>
      <c r="B349" s="76" t="s">
        <v>3367</v>
      </c>
      <c r="C349" s="19" t="s">
        <v>3368</v>
      </c>
      <c r="D349" s="31" t="s">
        <v>2939</v>
      </c>
      <c r="E349" s="31" t="s">
        <v>50</v>
      </c>
      <c r="F349" s="32" t="s">
        <v>922</v>
      </c>
      <c r="G349" s="32" t="s">
        <v>923</v>
      </c>
      <c r="H349" s="18" t="s">
        <v>572</v>
      </c>
      <c r="I349" s="18" t="s">
        <v>140</v>
      </c>
      <c r="J349" s="19" t="s">
        <v>3369</v>
      </c>
      <c r="K349" s="10" t="s">
        <v>55</v>
      </c>
      <c r="L349" s="9" t="s">
        <v>922</v>
      </c>
      <c r="M349" s="9" t="s">
        <v>923</v>
      </c>
      <c r="N349" s="10" t="s">
        <v>572</v>
      </c>
      <c r="O349" s="8" t="s">
        <v>140</v>
      </c>
      <c r="P349" s="31" t="s">
        <v>56</v>
      </c>
      <c r="Q349" s="18" t="s">
        <v>3370</v>
      </c>
      <c r="R349" s="18" t="s">
        <v>1227</v>
      </c>
      <c r="S349" s="18"/>
      <c r="T349" s="31" t="s">
        <v>73</v>
      </c>
      <c r="U349" s="33" t="s">
        <v>3371</v>
      </c>
      <c r="V349" s="34">
        <v>1764</v>
      </c>
      <c r="W349" s="35">
        <v>39137</v>
      </c>
      <c r="X349" s="36">
        <v>2007</v>
      </c>
      <c r="Y349" s="35">
        <v>39137</v>
      </c>
      <c r="Z349" s="40">
        <v>2007</v>
      </c>
      <c r="AA349" s="35" t="s">
        <v>94</v>
      </c>
      <c r="AB349" s="35" t="s">
        <v>94</v>
      </c>
      <c r="AC349" s="35" t="s">
        <v>94</v>
      </c>
      <c r="AD349" s="35"/>
      <c r="AE349" s="39" t="s">
        <v>119</v>
      </c>
      <c r="AF349" s="31" t="s">
        <v>106</v>
      </c>
      <c r="AG349" s="37">
        <v>10000000</v>
      </c>
      <c r="AH349" s="37">
        <v>10000000</v>
      </c>
      <c r="AI349" s="37">
        <v>15129062.130000001</v>
      </c>
      <c r="AJ349" s="16" t="s">
        <v>76</v>
      </c>
      <c r="AK349" s="28" t="s">
        <v>94</v>
      </c>
      <c r="AL349" s="16" t="s">
        <v>94</v>
      </c>
      <c r="AM349" s="16" t="s">
        <v>94</v>
      </c>
      <c r="AN349" s="10" t="s">
        <v>149</v>
      </c>
      <c r="AO349" s="8" t="s">
        <v>150</v>
      </c>
      <c r="AP349" s="15" t="s">
        <v>151</v>
      </c>
      <c r="AQ349" s="15" t="s">
        <v>151</v>
      </c>
      <c r="AR349" s="8" t="s">
        <v>3773</v>
      </c>
      <c r="AS349" s="10" t="s">
        <v>3811</v>
      </c>
      <c r="AT349" s="10" t="s">
        <v>3795</v>
      </c>
      <c r="AU349" s="98" t="s">
        <v>3181</v>
      </c>
      <c r="AV349" s="20" t="s">
        <v>3935</v>
      </c>
      <c r="AW349" s="10" t="s">
        <v>3368</v>
      </c>
      <c r="AX349" s="7"/>
      <c r="AY349" s="10" t="s">
        <v>3372</v>
      </c>
      <c r="AZ349" s="10" t="s">
        <v>3373</v>
      </c>
      <c r="BA349" s="10" t="s">
        <v>3374</v>
      </c>
      <c r="BB349" s="18"/>
      <c r="BC349" s="41" t="s">
        <v>3375</v>
      </c>
    </row>
    <row r="350" spans="1:55" ht="70" customHeight="1" x14ac:dyDescent="0.2">
      <c r="A350" s="91" t="s">
        <v>4534</v>
      </c>
      <c r="B350" s="76" t="s">
        <v>3376</v>
      </c>
      <c r="C350" s="19" t="s">
        <v>3377</v>
      </c>
      <c r="D350" s="8" t="s">
        <v>838</v>
      </c>
      <c r="E350" s="31" t="s">
        <v>280</v>
      </c>
      <c r="F350" s="32" t="s">
        <v>922</v>
      </c>
      <c r="G350" s="32" t="s">
        <v>923</v>
      </c>
      <c r="H350" s="18" t="s">
        <v>572</v>
      </c>
      <c r="I350" s="18" t="s">
        <v>140</v>
      </c>
      <c r="J350" s="19" t="s">
        <v>3311</v>
      </c>
      <c r="K350" s="10" t="s">
        <v>55</v>
      </c>
      <c r="L350" s="9" t="s">
        <v>922</v>
      </c>
      <c r="M350" s="9" t="s">
        <v>923</v>
      </c>
      <c r="N350" s="10" t="s">
        <v>572</v>
      </c>
      <c r="O350" s="8" t="s">
        <v>140</v>
      </c>
      <c r="P350" s="31" t="s">
        <v>56</v>
      </c>
      <c r="Q350" s="18" t="s">
        <v>3312</v>
      </c>
      <c r="R350" s="18" t="s">
        <v>240</v>
      </c>
      <c r="S350" s="18"/>
      <c r="T350" s="31" t="s">
        <v>60</v>
      </c>
      <c r="U350" s="33">
        <v>32874</v>
      </c>
      <c r="V350" s="34">
        <v>1990</v>
      </c>
      <c r="W350" s="13" t="s">
        <v>94</v>
      </c>
      <c r="X350" s="42">
        <v>2007</v>
      </c>
      <c r="Y350" s="13">
        <v>39083</v>
      </c>
      <c r="Z350" s="42">
        <v>2007</v>
      </c>
      <c r="AA350" s="13">
        <v>45292</v>
      </c>
      <c r="AB350" s="42">
        <v>2024</v>
      </c>
      <c r="AC350" s="42">
        <v>17</v>
      </c>
      <c r="AD350" s="84">
        <v>2024</v>
      </c>
      <c r="AE350" s="39" t="s">
        <v>3378</v>
      </c>
      <c r="AF350" s="31" t="s">
        <v>106</v>
      </c>
      <c r="AG350" s="38">
        <v>1500000000</v>
      </c>
      <c r="AH350" s="37">
        <v>1500000000</v>
      </c>
      <c r="AI350" s="37">
        <v>1500000000</v>
      </c>
      <c r="AJ350" s="16" t="s">
        <v>63</v>
      </c>
      <c r="AK350" s="38">
        <v>1500000000</v>
      </c>
      <c r="AL350" s="37">
        <v>1500000000</v>
      </c>
      <c r="AM350" s="37">
        <v>1500000000</v>
      </c>
      <c r="AN350" s="10" t="s">
        <v>64</v>
      </c>
      <c r="AO350" s="8" t="s">
        <v>3756</v>
      </c>
      <c r="AP350" s="43">
        <v>1353</v>
      </c>
      <c r="AQ350" s="43">
        <v>1353</v>
      </c>
      <c r="AR350" s="8" t="s">
        <v>3764</v>
      </c>
      <c r="AS350" s="10" t="s">
        <v>3781</v>
      </c>
      <c r="AT350" s="10" t="s">
        <v>3795</v>
      </c>
      <c r="AU350" s="98"/>
      <c r="AV350" s="20" t="s">
        <v>3379</v>
      </c>
      <c r="AW350" s="10"/>
      <c r="AX350" s="7" t="s">
        <v>3380</v>
      </c>
      <c r="AY350" s="10" t="s">
        <v>3381</v>
      </c>
      <c r="AZ350" s="10" t="s">
        <v>3382</v>
      </c>
      <c r="BA350" s="10" t="s">
        <v>3383</v>
      </c>
      <c r="BB350" s="18" t="s">
        <v>3384</v>
      </c>
      <c r="BC350" s="41" t="s">
        <v>3385</v>
      </c>
    </row>
    <row r="351" spans="1:55" ht="69" customHeight="1" x14ac:dyDescent="0.2">
      <c r="A351" s="91" t="s">
        <v>4535</v>
      </c>
      <c r="B351" s="76" t="s">
        <v>3386</v>
      </c>
      <c r="C351" s="19" t="s">
        <v>3387</v>
      </c>
      <c r="D351" s="8" t="s">
        <v>49</v>
      </c>
      <c r="E351" s="31" t="s">
        <v>50</v>
      </c>
      <c r="F351" s="32" t="s">
        <v>922</v>
      </c>
      <c r="G351" s="32" t="s">
        <v>923</v>
      </c>
      <c r="H351" s="18" t="s">
        <v>572</v>
      </c>
      <c r="I351" s="18" t="s">
        <v>140</v>
      </c>
      <c r="J351" s="19" t="s">
        <v>3361</v>
      </c>
      <c r="K351" s="10" t="s">
        <v>55</v>
      </c>
      <c r="L351" s="9" t="s">
        <v>922</v>
      </c>
      <c r="M351" s="9" t="s">
        <v>923</v>
      </c>
      <c r="N351" s="10" t="s">
        <v>572</v>
      </c>
      <c r="O351" s="8" t="s">
        <v>140</v>
      </c>
      <c r="P351" s="31" t="s">
        <v>56</v>
      </c>
      <c r="Q351" s="18" t="s">
        <v>3388</v>
      </c>
      <c r="R351" s="10" t="s">
        <v>584</v>
      </c>
      <c r="S351" s="18"/>
      <c r="T351" s="31" t="s">
        <v>73</v>
      </c>
      <c r="U351" s="33">
        <v>39188</v>
      </c>
      <c r="V351" s="34">
        <v>2007</v>
      </c>
      <c r="W351" s="35">
        <v>39548</v>
      </c>
      <c r="X351" s="36">
        <v>2008</v>
      </c>
      <c r="Y351" s="35" t="s">
        <v>94</v>
      </c>
      <c r="Z351" s="35" t="s">
        <v>94</v>
      </c>
      <c r="AA351" s="35" t="s">
        <v>94</v>
      </c>
      <c r="AB351" s="35" t="s">
        <v>94</v>
      </c>
      <c r="AC351" s="35" t="s">
        <v>94</v>
      </c>
      <c r="AD351" s="35"/>
      <c r="AE351" s="39"/>
      <c r="AF351" s="31" t="s">
        <v>106</v>
      </c>
      <c r="AG351" s="37">
        <v>11000000</v>
      </c>
      <c r="AH351" s="37">
        <v>11000000</v>
      </c>
      <c r="AI351" s="37">
        <v>16026618.300000001</v>
      </c>
      <c r="AJ351" s="16" t="s">
        <v>76</v>
      </c>
      <c r="AK351" s="37" t="s">
        <v>94</v>
      </c>
      <c r="AL351" s="37" t="s">
        <v>94</v>
      </c>
      <c r="AM351" s="37" t="s">
        <v>94</v>
      </c>
      <c r="AN351" s="10" t="s">
        <v>64</v>
      </c>
      <c r="AO351" s="8" t="s">
        <v>3757</v>
      </c>
      <c r="AP351" s="15">
        <v>24</v>
      </c>
      <c r="AQ351" s="15" t="s">
        <v>94</v>
      </c>
      <c r="AR351" s="8" t="s">
        <v>3769</v>
      </c>
      <c r="AS351" s="10" t="s">
        <v>3781</v>
      </c>
      <c r="AT351" s="10" t="s">
        <v>3795</v>
      </c>
      <c r="AU351" s="98"/>
      <c r="AV351" s="20"/>
      <c r="AW351" s="10"/>
      <c r="AX351" s="31" t="s">
        <v>1297</v>
      </c>
      <c r="AY351" s="10" t="s">
        <v>3389</v>
      </c>
      <c r="AZ351" s="10" t="s">
        <v>3390</v>
      </c>
      <c r="BA351" s="10" t="s">
        <v>3391</v>
      </c>
      <c r="BB351" s="18"/>
      <c r="BC351" s="18" t="s">
        <v>4101</v>
      </c>
    </row>
    <row r="352" spans="1:55" ht="69" customHeight="1" x14ac:dyDescent="0.2">
      <c r="A352" s="91" t="s">
        <v>4536</v>
      </c>
      <c r="B352" s="76" t="s">
        <v>3392</v>
      </c>
      <c r="C352" s="19" t="s">
        <v>3007</v>
      </c>
      <c r="D352" s="8" t="s">
        <v>49</v>
      </c>
      <c r="E352" s="31" t="s">
        <v>50</v>
      </c>
      <c r="F352" s="32" t="s">
        <v>922</v>
      </c>
      <c r="G352" s="32" t="s">
        <v>923</v>
      </c>
      <c r="H352" s="18" t="s">
        <v>572</v>
      </c>
      <c r="I352" s="18" t="s">
        <v>140</v>
      </c>
      <c r="J352" s="19" t="s">
        <v>3393</v>
      </c>
      <c r="K352" s="10" t="s">
        <v>55</v>
      </c>
      <c r="L352" s="9" t="s">
        <v>922</v>
      </c>
      <c r="M352" s="9" t="s">
        <v>923</v>
      </c>
      <c r="N352" s="10" t="s">
        <v>572</v>
      </c>
      <c r="O352" s="8" t="s">
        <v>140</v>
      </c>
      <c r="P352" s="31" t="s">
        <v>56</v>
      </c>
      <c r="Q352" s="18" t="s">
        <v>3394</v>
      </c>
      <c r="R352" s="18" t="s">
        <v>59</v>
      </c>
      <c r="S352" s="18"/>
      <c r="T352" s="31" t="s">
        <v>73</v>
      </c>
      <c r="U352" s="33">
        <v>38587</v>
      </c>
      <c r="V352" s="34">
        <v>2005</v>
      </c>
      <c r="W352" s="13" t="s">
        <v>94</v>
      </c>
      <c r="X352" s="36">
        <v>2009</v>
      </c>
      <c r="Y352" s="35" t="s">
        <v>94</v>
      </c>
      <c r="Z352" s="35" t="s">
        <v>94</v>
      </c>
      <c r="AA352" s="35" t="s">
        <v>94</v>
      </c>
      <c r="AB352" s="35" t="s">
        <v>94</v>
      </c>
      <c r="AC352" s="35" t="s">
        <v>94</v>
      </c>
      <c r="AD352" s="36"/>
      <c r="AE352" s="39"/>
      <c r="AF352" s="31" t="s">
        <v>106</v>
      </c>
      <c r="AG352" s="37">
        <v>14000000</v>
      </c>
      <c r="AH352" s="37">
        <v>14000000</v>
      </c>
      <c r="AI352" s="37">
        <v>20470343.109999999</v>
      </c>
      <c r="AJ352" s="16" t="s">
        <v>76</v>
      </c>
      <c r="AK352" s="37" t="s">
        <v>94</v>
      </c>
      <c r="AL352" s="37" t="s">
        <v>94</v>
      </c>
      <c r="AM352" s="37" t="s">
        <v>94</v>
      </c>
      <c r="AN352" s="10" t="s">
        <v>64</v>
      </c>
      <c r="AO352" s="8" t="s">
        <v>3756</v>
      </c>
      <c r="AP352" s="15" t="s">
        <v>94</v>
      </c>
      <c r="AQ352" s="15" t="s">
        <v>94</v>
      </c>
      <c r="AR352" s="8" t="s">
        <v>3764</v>
      </c>
      <c r="AS352" s="10" t="s">
        <v>3819</v>
      </c>
      <c r="AT352" s="10" t="s">
        <v>3795</v>
      </c>
      <c r="AU352" s="98"/>
      <c r="AV352" s="20" t="s">
        <v>3395</v>
      </c>
      <c r="AW352" s="10"/>
      <c r="AX352" s="7" t="s">
        <v>4071</v>
      </c>
      <c r="AY352" s="10" t="s">
        <v>3396</v>
      </c>
      <c r="AZ352" s="10" t="s">
        <v>4143</v>
      </c>
      <c r="BA352" s="10" t="s">
        <v>3397</v>
      </c>
      <c r="BB352" s="18" t="s">
        <v>3398</v>
      </c>
      <c r="BC352" s="41" t="s">
        <v>3399</v>
      </c>
    </row>
    <row r="353" spans="1:55" ht="69" customHeight="1" x14ac:dyDescent="0.2">
      <c r="A353" s="91" t="s">
        <v>4537</v>
      </c>
      <c r="B353" s="76" t="s">
        <v>3400</v>
      </c>
      <c r="C353" s="19" t="s">
        <v>3007</v>
      </c>
      <c r="D353" s="8" t="s">
        <v>49</v>
      </c>
      <c r="E353" s="31" t="s">
        <v>50</v>
      </c>
      <c r="F353" s="32" t="s">
        <v>922</v>
      </c>
      <c r="G353" s="32" t="s">
        <v>923</v>
      </c>
      <c r="H353" s="18" t="s">
        <v>572</v>
      </c>
      <c r="I353" s="18" t="s">
        <v>140</v>
      </c>
      <c r="J353" s="19" t="s">
        <v>3401</v>
      </c>
      <c r="K353" s="10" t="s">
        <v>55</v>
      </c>
      <c r="L353" s="9" t="s">
        <v>922</v>
      </c>
      <c r="M353" s="9" t="s">
        <v>923</v>
      </c>
      <c r="N353" s="10" t="s">
        <v>572</v>
      </c>
      <c r="O353" s="8" t="s">
        <v>140</v>
      </c>
      <c r="P353" s="31" t="s">
        <v>56</v>
      </c>
      <c r="Q353" s="18" t="s">
        <v>3402</v>
      </c>
      <c r="R353" s="18" t="s">
        <v>59</v>
      </c>
      <c r="S353" s="18"/>
      <c r="T353" s="31" t="s">
        <v>60</v>
      </c>
      <c r="U353" s="34" t="s">
        <v>3403</v>
      </c>
      <c r="V353" s="34">
        <v>1887</v>
      </c>
      <c r="W353" s="35">
        <v>40155</v>
      </c>
      <c r="X353" s="36">
        <v>2009</v>
      </c>
      <c r="Y353" s="13">
        <v>39814</v>
      </c>
      <c r="Z353" s="36">
        <v>2009</v>
      </c>
      <c r="AA353" s="35" t="s">
        <v>94</v>
      </c>
      <c r="AB353" s="35" t="s">
        <v>94</v>
      </c>
      <c r="AC353" s="35" t="s">
        <v>94</v>
      </c>
      <c r="AD353" s="40"/>
      <c r="AE353" s="39"/>
      <c r="AF353" s="31" t="s">
        <v>106</v>
      </c>
      <c r="AG353" s="37">
        <v>3400000000</v>
      </c>
      <c r="AH353" s="37">
        <v>3400000000</v>
      </c>
      <c r="AI353" s="37">
        <v>4971369041.2399998</v>
      </c>
      <c r="AJ353" s="16" t="s">
        <v>76</v>
      </c>
      <c r="AK353" s="37" t="s">
        <v>94</v>
      </c>
      <c r="AL353" s="37" t="s">
        <v>94</v>
      </c>
      <c r="AM353" s="37" t="s">
        <v>94</v>
      </c>
      <c r="AN353" s="10" t="s">
        <v>64</v>
      </c>
      <c r="AO353" s="8" t="s">
        <v>3756</v>
      </c>
      <c r="AP353" s="15" t="s">
        <v>94</v>
      </c>
      <c r="AQ353" s="15" t="s">
        <v>94</v>
      </c>
      <c r="AR353" s="8" t="s">
        <v>3764</v>
      </c>
      <c r="AS353" s="10" t="s">
        <v>3819</v>
      </c>
      <c r="AT353" s="10" t="s">
        <v>3795</v>
      </c>
      <c r="AU353" s="98"/>
      <c r="AV353" s="17"/>
      <c r="AW353" s="18" t="s">
        <v>3966</v>
      </c>
      <c r="AX353" s="7" t="s">
        <v>3868</v>
      </c>
      <c r="AY353" s="10" t="s">
        <v>3404</v>
      </c>
      <c r="AZ353" s="10" t="s">
        <v>3405</v>
      </c>
      <c r="BA353" s="10" t="s">
        <v>3406</v>
      </c>
      <c r="BB353" s="18"/>
      <c r="BC353" s="41" t="s">
        <v>3407</v>
      </c>
    </row>
    <row r="354" spans="1:55" ht="70" customHeight="1" x14ac:dyDescent="0.2">
      <c r="A354" s="91" t="s">
        <v>4517</v>
      </c>
      <c r="B354" s="76" t="s">
        <v>3408</v>
      </c>
      <c r="C354" s="19" t="s">
        <v>3409</v>
      </c>
      <c r="D354" s="8" t="s">
        <v>49</v>
      </c>
      <c r="E354" s="31" t="s">
        <v>50</v>
      </c>
      <c r="F354" s="32" t="s">
        <v>922</v>
      </c>
      <c r="G354" s="32" t="s">
        <v>923</v>
      </c>
      <c r="H354" s="18" t="s">
        <v>572</v>
      </c>
      <c r="I354" s="18" t="s">
        <v>140</v>
      </c>
      <c r="J354" s="19" t="s">
        <v>3410</v>
      </c>
      <c r="K354" s="10" t="s">
        <v>55</v>
      </c>
      <c r="L354" s="9" t="s">
        <v>922</v>
      </c>
      <c r="M354" s="9" t="s">
        <v>923</v>
      </c>
      <c r="N354" s="10" t="s">
        <v>572</v>
      </c>
      <c r="O354" s="8" t="s">
        <v>140</v>
      </c>
      <c r="P354" s="31" t="s">
        <v>56</v>
      </c>
      <c r="Q354" s="18" t="s">
        <v>3411</v>
      </c>
      <c r="R354" s="18" t="s">
        <v>177</v>
      </c>
      <c r="S354" s="18"/>
      <c r="T354" s="31" t="s">
        <v>73</v>
      </c>
      <c r="U354" s="33">
        <v>26420</v>
      </c>
      <c r="V354" s="34">
        <v>1972</v>
      </c>
      <c r="W354" s="35">
        <v>40357</v>
      </c>
      <c r="X354" s="36">
        <v>2010</v>
      </c>
      <c r="Y354" s="35" t="s">
        <v>94</v>
      </c>
      <c r="Z354" s="35" t="s">
        <v>94</v>
      </c>
      <c r="AA354" s="35" t="s">
        <v>94</v>
      </c>
      <c r="AB354" s="35" t="s">
        <v>94</v>
      </c>
      <c r="AC354" s="35" t="s">
        <v>94</v>
      </c>
      <c r="AD354" s="36"/>
      <c r="AE354" s="39"/>
      <c r="AF354" s="31" t="s">
        <v>106</v>
      </c>
      <c r="AG354" s="37">
        <v>7170000</v>
      </c>
      <c r="AH354" s="37">
        <v>7170000</v>
      </c>
      <c r="AI354" s="37">
        <v>10314552.82</v>
      </c>
      <c r="AJ354" s="16" t="s">
        <v>76</v>
      </c>
      <c r="AK354" s="37" t="s">
        <v>94</v>
      </c>
      <c r="AL354" s="37" t="s">
        <v>94</v>
      </c>
      <c r="AM354" s="37" t="s">
        <v>94</v>
      </c>
      <c r="AN354" s="10" t="s">
        <v>64</v>
      </c>
      <c r="AO354" s="8" t="s">
        <v>3756</v>
      </c>
      <c r="AP354" s="15">
        <v>2</v>
      </c>
      <c r="AQ354" s="15" t="s">
        <v>94</v>
      </c>
      <c r="AR354" s="8" t="s">
        <v>3764</v>
      </c>
      <c r="AS354" s="10" t="s">
        <v>3781</v>
      </c>
      <c r="AT354" s="10" t="s">
        <v>3795</v>
      </c>
      <c r="AU354" s="98"/>
      <c r="AV354" s="20" t="s">
        <v>3412</v>
      </c>
      <c r="AW354" s="10"/>
      <c r="AX354" s="7" t="s">
        <v>303</v>
      </c>
      <c r="AY354" s="10" t="s">
        <v>3413</v>
      </c>
      <c r="AZ354" s="10" t="s">
        <v>4144</v>
      </c>
      <c r="BA354" s="10" t="s">
        <v>3414</v>
      </c>
      <c r="BB354" s="18" t="s">
        <v>3415</v>
      </c>
      <c r="BC354" s="41" t="s">
        <v>3416</v>
      </c>
    </row>
    <row r="355" spans="1:55" ht="70" customHeight="1" x14ac:dyDescent="0.2">
      <c r="A355" s="91" t="s">
        <v>4538</v>
      </c>
      <c r="B355" s="76" t="s">
        <v>3417</v>
      </c>
      <c r="C355" s="19" t="s">
        <v>3007</v>
      </c>
      <c r="D355" s="8" t="s">
        <v>49</v>
      </c>
      <c r="E355" s="31" t="s">
        <v>50</v>
      </c>
      <c r="F355" s="32" t="s">
        <v>922</v>
      </c>
      <c r="G355" s="32" t="s">
        <v>923</v>
      </c>
      <c r="H355" s="18" t="s">
        <v>572</v>
      </c>
      <c r="I355" s="18" t="s">
        <v>140</v>
      </c>
      <c r="J355" s="19" t="s">
        <v>3280</v>
      </c>
      <c r="K355" s="10" t="s">
        <v>55</v>
      </c>
      <c r="L355" s="9" t="s">
        <v>922</v>
      </c>
      <c r="M355" s="9" t="s">
        <v>923</v>
      </c>
      <c r="N355" s="10" t="s">
        <v>572</v>
      </c>
      <c r="O355" s="8" t="s">
        <v>140</v>
      </c>
      <c r="P355" s="31" t="s">
        <v>56</v>
      </c>
      <c r="Q355" s="18" t="s">
        <v>3418</v>
      </c>
      <c r="R355" s="10" t="s">
        <v>529</v>
      </c>
      <c r="S355" s="18"/>
      <c r="T355" s="31" t="s">
        <v>73</v>
      </c>
      <c r="U355" s="33">
        <v>37145</v>
      </c>
      <c r="V355" s="34">
        <v>2001</v>
      </c>
      <c r="W355" s="35">
        <v>40545</v>
      </c>
      <c r="X355" s="36">
        <v>2011</v>
      </c>
      <c r="Y355" s="13">
        <v>40544</v>
      </c>
      <c r="Z355" s="36">
        <v>2011</v>
      </c>
      <c r="AA355" s="13">
        <v>45292</v>
      </c>
      <c r="AB355" s="36">
        <v>2024</v>
      </c>
      <c r="AC355" s="40">
        <v>13</v>
      </c>
      <c r="AD355" s="36">
        <v>2024</v>
      </c>
      <c r="AE355" s="39" t="s">
        <v>3419</v>
      </c>
      <c r="AF355" s="31" t="s">
        <v>106</v>
      </c>
      <c r="AG355" s="38">
        <v>14945321299.639999</v>
      </c>
      <c r="AH355" s="38">
        <v>14945321299.639999</v>
      </c>
      <c r="AI355" s="38">
        <v>14945321299.639999</v>
      </c>
      <c r="AJ355" s="16" t="s">
        <v>76</v>
      </c>
      <c r="AK355" s="38">
        <v>14945321299.639999</v>
      </c>
      <c r="AL355" s="37">
        <v>14945321299.639999</v>
      </c>
      <c r="AM355" s="37">
        <v>14945321299.639999</v>
      </c>
      <c r="AN355" s="10" t="s">
        <v>64</v>
      </c>
      <c r="AO355" s="8" t="s">
        <v>3757</v>
      </c>
      <c r="AP355" s="43">
        <v>64514</v>
      </c>
      <c r="AQ355" s="43">
        <v>64514</v>
      </c>
      <c r="AR355" s="8" t="s">
        <v>3765</v>
      </c>
      <c r="AS355" s="69" t="s">
        <v>3819</v>
      </c>
      <c r="AT355" s="10" t="s">
        <v>3795</v>
      </c>
      <c r="AU355" s="98"/>
      <c r="AV355" s="20" t="s">
        <v>3420</v>
      </c>
      <c r="AW355" s="10" t="s">
        <v>3967</v>
      </c>
      <c r="AX355" s="7"/>
      <c r="AY355" s="10" t="s">
        <v>3421</v>
      </c>
      <c r="AZ355" s="10" t="s">
        <v>3422</v>
      </c>
      <c r="BA355" s="10" t="s">
        <v>3423</v>
      </c>
      <c r="BB355" s="18" t="s">
        <v>3424</v>
      </c>
      <c r="BC355" s="41" t="s">
        <v>3284</v>
      </c>
    </row>
    <row r="356" spans="1:55" ht="70" customHeight="1" x14ac:dyDescent="0.2">
      <c r="A356" s="91" t="s">
        <v>4539</v>
      </c>
      <c r="B356" s="76" t="s">
        <v>3425</v>
      </c>
      <c r="C356" s="19" t="s">
        <v>3426</v>
      </c>
      <c r="D356" s="8" t="s">
        <v>49</v>
      </c>
      <c r="E356" s="31" t="s">
        <v>50</v>
      </c>
      <c r="F356" s="32" t="s">
        <v>922</v>
      </c>
      <c r="G356" s="32" t="s">
        <v>923</v>
      </c>
      <c r="H356" s="18" t="s">
        <v>572</v>
      </c>
      <c r="I356" s="18" t="s">
        <v>140</v>
      </c>
      <c r="J356" s="19" t="s">
        <v>3427</v>
      </c>
      <c r="K356" s="10" t="s">
        <v>55</v>
      </c>
      <c r="L356" s="9" t="s">
        <v>2845</v>
      </c>
      <c r="M356" s="9" t="s">
        <v>2846</v>
      </c>
      <c r="N356" s="10" t="s">
        <v>748</v>
      </c>
      <c r="O356" s="8" t="s">
        <v>381</v>
      </c>
      <c r="P356" s="31" t="s">
        <v>144</v>
      </c>
      <c r="Q356" s="18" t="s">
        <v>3428</v>
      </c>
      <c r="R356" s="10" t="s">
        <v>529</v>
      </c>
      <c r="S356" s="10"/>
      <c r="T356" s="31" t="s">
        <v>73</v>
      </c>
      <c r="U356" s="33">
        <v>40979</v>
      </c>
      <c r="V356" s="34">
        <v>2012</v>
      </c>
      <c r="W356" s="35">
        <v>40993</v>
      </c>
      <c r="X356" s="36">
        <v>2012</v>
      </c>
      <c r="Y356" s="35">
        <v>40993</v>
      </c>
      <c r="Z356" s="40">
        <v>2012</v>
      </c>
      <c r="AA356" s="35">
        <v>40993</v>
      </c>
      <c r="AB356" s="40">
        <v>2012</v>
      </c>
      <c r="AC356" s="40">
        <v>0</v>
      </c>
      <c r="AD356" s="40">
        <v>2012</v>
      </c>
      <c r="AE356" s="39"/>
      <c r="AF356" s="31" t="s">
        <v>106</v>
      </c>
      <c r="AG356" s="37">
        <v>860000</v>
      </c>
      <c r="AH356" s="37">
        <v>860000</v>
      </c>
      <c r="AI356" s="37">
        <v>1174998.21</v>
      </c>
      <c r="AJ356" s="16" t="s">
        <v>76</v>
      </c>
      <c r="AK356" s="38">
        <v>860000</v>
      </c>
      <c r="AL356" s="37">
        <v>860000</v>
      </c>
      <c r="AM356" s="16">
        <v>1174998.21</v>
      </c>
      <c r="AN356" s="10" t="s">
        <v>64</v>
      </c>
      <c r="AO356" s="8" t="s">
        <v>3757</v>
      </c>
      <c r="AP356" s="15">
        <v>22</v>
      </c>
      <c r="AQ356" s="15">
        <v>22</v>
      </c>
      <c r="AR356" s="8" t="s">
        <v>3765</v>
      </c>
      <c r="AS356" s="8" t="s">
        <v>3778</v>
      </c>
      <c r="AT356" s="10" t="s">
        <v>3795</v>
      </c>
      <c r="AU356" s="98"/>
      <c r="AV356" s="20" t="s">
        <v>3936</v>
      </c>
      <c r="AW356" s="10"/>
      <c r="AX356" s="7" t="s">
        <v>3869</v>
      </c>
      <c r="AY356" s="10" t="s">
        <v>3429</v>
      </c>
      <c r="AZ356" s="10" t="s">
        <v>3430</v>
      </c>
      <c r="BA356" s="10" t="s">
        <v>3431</v>
      </c>
      <c r="BB356" s="18" t="s">
        <v>3432</v>
      </c>
      <c r="BC356" s="41" t="s">
        <v>3433</v>
      </c>
    </row>
    <row r="357" spans="1:55" ht="70" customHeight="1" x14ac:dyDescent="0.2">
      <c r="A357" s="91" t="s">
        <v>4540</v>
      </c>
      <c r="B357" s="76" t="s">
        <v>3434</v>
      </c>
      <c r="C357" s="19" t="s">
        <v>3435</v>
      </c>
      <c r="D357" s="8" t="s">
        <v>49</v>
      </c>
      <c r="E357" s="31" t="s">
        <v>50</v>
      </c>
      <c r="F357" s="32" t="s">
        <v>922</v>
      </c>
      <c r="G357" s="32" t="s">
        <v>923</v>
      </c>
      <c r="H357" s="18" t="s">
        <v>572</v>
      </c>
      <c r="I357" s="18" t="s">
        <v>140</v>
      </c>
      <c r="J357" s="19" t="s">
        <v>3436</v>
      </c>
      <c r="K357" s="10" t="s">
        <v>55</v>
      </c>
      <c r="L357" s="9" t="s">
        <v>922</v>
      </c>
      <c r="M357" s="9" t="s">
        <v>923</v>
      </c>
      <c r="N357" s="10" t="s">
        <v>572</v>
      </c>
      <c r="O357" s="8" t="s">
        <v>140</v>
      </c>
      <c r="P357" s="31" t="s">
        <v>56</v>
      </c>
      <c r="Q357" s="18" t="s">
        <v>3437</v>
      </c>
      <c r="R357" s="18" t="s">
        <v>584</v>
      </c>
      <c r="S357" s="18"/>
      <c r="T357" s="31" t="s">
        <v>60</v>
      </c>
      <c r="U357" s="33">
        <v>10594</v>
      </c>
      <c r="V357" s="34">
        <v>1929</v>
      </c>
      <c r="W357" s="35">
        <v>41304</v>
      </c>
      <c r="X357" s="36">
        <v>2013</v>
      </c>
      <c r="Y357" s="13">
        <v>41640</v>
      </c>
      <c r="Z357" s="40">
        <v>2014</v>
      </c>
      <c r="AA357" s="13">
        <v>41640</v>
      </c>
      <c r="AB357" s="40">
        <v>2014</v>
      </c>
      <c r="AC357" s="40">
        <v>0</v>
      </c>
      <c r="AD357" s="40">
        <v>2014</v>
      </c>
      <c r="AE357" s="39" t="s">
        <v>3438</v>
      </c>
      <c r="AF357" s="31" t="s">
        <v>106</v>
      </c>
      <c r="AG357" s="37">
        <v>10000000</v>
      </c>
      <c r="AH357" s="37">
        <v>10000000</v>
      </c>
      <c r="AI357" s="37">
        <v>13465532.27</v>
      </c>
      <c r="AJ357" s="16" t="s">
        <v>76</v>
      </c>
      <c r="AK357" s="38">
        <v>4400000</v>
      </c>
      <c r="AL357" s="38">
        <v>4400000</v>
      </c>
      <c r="AM357" s="37">
        <v>5830256.4900000002</v>
      </c>
      <c r="AN357" s="10" t="s">
        <v>64</v>
      </c>
      <c r="AO357" s="8" t="s">
        <v>3756</v>
      </c>
      <c r="AP357" s="15">
        <v>220</v>
      </c>
      <c r="AQ357" s="15">
        <v>220</v>
      </c>
      <c r="AR357" s="8" t="s">
        <v>3765</v>
      </c>
      <c r="AS357" s="69" t="s">
        <v>3819</v>
      </c>
      <c r="AT357" s="10" t="s">
        <v>3795</v>
      </c>
      <c r="AU357" s="98" t="s">
        <v>586</v>
      </c>
      <c r="AV357" s="20" t="s">
        <v>3937</v>
      </c>
      <c r="AW357" s="10" t="s">
        <v>3968</v>
      </c>
      <c r="AX357" s="7" t="s">
        <v>4072</v>
      </c>
      <c r="AY357" s="10" t="s">
        <v>3439</v>
      </c>
      <c r="AZ357" s="10" t="s">
        <v>3440</v>
      </c>
      <c r="BA357" s="10" t="s">
        <v>3441</v>
      </c>
      <c r="BB357" s="18"/>
      <c r="BC357" s="41" t="s">
        <v>3442</v>
      </c>
    </row>
    <row r="358" spans="1:55" ht="69" customHeight="1" x14ac:dyDescent="0.2">
      <c r="A358" s="91" t="s">
        <v>4541</v>
      </c>
      <c r="B358" s="76" t="s">
        <v>3443</v>
      </c>
      <c r="C358" s="19" t="s">
        <v>3387</v>
      </c>
      <c r="D358" s="8" t="s">
        <v>49</v>
      </c>
      <c r="E358" s="31" t="s">
        <v>50</v>
      </c>
      <c r="F358" s="32" t="s">
        <v>922</v>
      </c>
      <c r="G358" s="32" t="s">
        <v>923</v>
      </c>
      <c r="H358" s="18" t="s">
        <v>572</v>
      </c>
      <c r="I358" s="18" t="s">
        <v>140</v>
      </c>
      <c r="J358" s="19" t="s">
        <v>3444</v>
      </c>
      <c r="K358" s="10" t="s">
        <v>55</v>
      </c>
      <c r="L358" s="9" t="s">
        <v>922</v>
      </c>
      <c r="M358" s="9" t="s">
        <v>923</v>
      </c>
      <c r="N358" s="10" t="s">
        <v>572</v>
      </c>
      <c r="O358" s="8" t="s">
        <v>140</v>
      </c>
      <c r="P358" s="31" t="s">
        <v>56</v>
      </c>
      <c r="Q358" s="18" t="s">
        <v>3445</v>
      </c>
      <c r="R358" s="18" t="s">
        <v>584</v>
      </c>
      <c r="S358" s="18"/>
      <c r="T358" s="31" t="s">
        <v>60</v>
      </c>
      <c r="U358" s="33">
        <v>8846</v>
      </c>
      <c r="V358" s="34">
        <v>1924</v>
      </c>
      <c r="W358" s="35">
        <v>42089</v>
      </c>
      <c r="X358" s="36">
        <v>2015</v>
      </c>
      <c r="Y358" s="13">
        <v>42005</v>
      </c>
      <c r="Z358" s="36">
        <v>2015</v>
      </c>
      <c r="AA358" s="13">
        <v>42005</v>
      </c>
      <c r="AB358" s="36">
        <v>2015</v>
      </c>
      <c r="AC358" s="40">
        <v>0</v>
      </c>
      <c r="AD358" s="40">
        <v>2015</v>
      </c>
      <c r="AE358" s="39" t="s">
        <v>119</v>
      </c>
      <c r="AF358" s="31" t="s">
        <v>106</v>
      </c>
      <c r="AG358" s="37">
        <v>400000</v>
      </c>
      <c r="AH358" s="37">
        <v>400000</v>
      </c>
      <c r="AI358" s="37">
        <v>529394.93999999994</v>
      </c>
      <c r="AJ358" s="16" t="s">
        <v>76</v>
      </c>
      <c r="AK358" s="37">
        <v>400000</v>
      </c>
      <c r="AL358" s="37">
        <v>400000</v>
      </c>
      <c r="AM358" s="37">
        <v>529394.93999999994</v>
      </c>
      <c r="AN358" s="10" t="s">
        <v>64</v>
      </c>
      <c r="AO358" s="8" t="s">
        <v>3756</v>
      </c>
      <c r="AP358" s="43">
        <v>1500</v>
      </c>
      <c r="AQ358" s="15">
        <v>16</v>
      </c>
      <c r="AR358" s="8" t="s">
        <v>3765</v>
      </c>
      <c r="AS358" s="10" t="s">
        <v>3781</v>
      </c>
      <c r="AT358" s="10" t="s">
        <v>3795</v>
      </c>
      <c r="AU358" s="98" t="s">
        <v>586</v>
      </c>
      <c r="AV358" s="20" t="s">
        <v>3938</v>
      </c>
      <c r="AW358" s="10" t="s">
        <v>3969</v>
      </c>
      <c r="AX358" s="7" t="s">
        <v>4073</v>
      </c>
      <c r="AY358" s="10" t="s">
        <v>3446</v>
      </c>
      <c r="AZ358" s="10" t="s">
        <v>4145</v>
      </c>
      <c r="BA358" s="10" t="s">
        <v>3447</v>
      </c>
      <c r="BB358" s="18"/>
      <c r="BC358" s="41" t="s">
        <v>3448</v>
      </c>
    </row>
    <row r="359" spans="1:55" ht="70" customHeight="1" x14ac:dyDescent="0.2">
      <c r="A359" s="91" t="s">
        <v>4542</v>
      </c>
      <c r="B359" s="76" t="s">
        <v>3449</v>
      </c>
      <c r="C359" s="19" t="s">
        <v>3450</v>
      </c>
      <c r="D359" s="8" t="s">
        <v>49</v>
      </c>
      <c r="E359" s="31" t="s">
        <v>50</v>
      </c>
      <c r="F359" s="32" t="s">
        <v>922</v>
      </c>
      <c r="G359" s="32" t="s">
        <v>923</v>
      </c>
      <c r="H359" s="18" t="s">
        <v>572</v>
      </c>
      <c r="I359" s="18" t="s">
        <v>140</v>
      </c>
      <c r="J359" s="19" t="s">
        <v>3451</v>
      </c>
      <c r="K359" s="10" t="s">
        <v>55</v>
      </c>
      <c r="L359" s="9" t="s">
        <v>922</v>
      </c>
      <c r="M359" s="9" t="s">
        <v>923</v>
      </c>
      <c r="N359" s="10" t="s">
        <v>572</v>
      </c>
      <c r="O359" s="8" t="s">
        <v>140</v>
      </c>
      <c r="P359" s="31" t="s">
        <v>56</v>
      </c>
      <c r="Q359" s="18" t="s">
        <v>3452</v>
      </c>
      <c r="R359" s="18" t="s">
        <v>177</v>
      </c>
      <c r="S359" s="18"/>
      <c r="T359" s="31" t="s">
        <v>73</v>
      </c>
      <c r="U359" s="33">
        <v>26420</v>
      </c>
      <c r="V359" s="34">
        <v>1972</v>
      </c>
      <c r="W359" s="35">
        <v>42130</v>
      </c>
      <c r="X359" s="36">
        <v>2015</v>
      </c>
      <c r="Y359" s="13">
        <v>42005</v>
      </c>
      <c r="Z359" s="36">
        <v>2015</v>
      </c>
      <c r="AA359" s="13">
        <v>42005</v>
      </c>
      <c r="AB359" s="36">
        <v>2015</v>
      </c>
      <c r="AC359" s="40">
        <v>0</v>
      </c>
      <c r="AD359" s="36">
        <v>2015</v>
      </c>
      <c r="AE359" s="39"/>
      <c r="AF359" s="31" t="s">
        <v>106</v>
      </c>
      <c r="AG359" s="37">
        <v>5500000</v>
      </c>
      <c r="AH359" s="37">
        <v>5500000</v>
      </c>
      <c r="AI359" s="37">
        <v>7279180.4000000004</v>
      </c>
      <c r="AJ359" s="16" t="s">
        <v>76</v>
      </c>
      <c r="AK359" s="38">
        <v>5500000</v>
      </c>
      <c r="AL359" s="37">
        <v>5500000</v>
      </c>
      <c r="AM359" s="37">
        <v>7279180.4000000004</v>
      </c>
      <c r="AN359" s="10" t="s">
        <v>64</v>
      </c>
      <c r="AO359" s="8" t="s">
        <v>3757</v>
      </c>
      <c r="AP359" s="15">
        <v>57</v>
      </c>
      <c r="AQ359" s="15">
        <v>57</v>
      </c>
      <c r="AR359" s="8" t="s">
        <v>3765</v>
      </c>
      <c r="AS359" s="18" t="s">
        <v>3783</v>
      </c>
      <c r="AT359" s="10" t="s">
        <v>3795</v>
      </c>
      <c r="AU359" s="98" t="s">
        <v>576</v>
      </c>
      <c r="AV359" s="20" t="s">
        <v>1126</v>
      </c>
      <c r="AW359" s="10" t="s">
        <v>3453</v>
      </c>
      <c r="AX359" s="7" t="s">
        <v>4074</v>
      </c>
      <c r="AY359" s="10" t="s">
        <v>3454</v>
      </c>
      <c r="AZ359" s="10" t="s">
        <v>3455</v>
      </c>
      <c r="BA359" s="10" t="s">
        <v>3456</v>
      </c>
      <c r="BB359" s="18" t="s">
        <v>3457</v>
      </c>
      <c r="BC359" s="41" t="s">
        <v>3458</v>
      </c>
    </row>
    <row r="360" spans="1:55" ht="69" customHeight="1" x14ac:dyDescent="0.2">
      <c r="A360" s="88" t="s">
        <v>4543</v>
      </c>
      <c r="B360" s="6" t="s">
        <v>3459</v>
      </c>
      <c r="C360" s="19" t="s">
        <v>3007</v>
      </c>
      <c r="D360" s="8" t="s">
        <v>49</v>
      </c>
      <c r="E360" s="31" t="s">
        <v>50</v>
      </c>
      <c r="F360" s="32" t="s">
        <v>922</v>
      </c>
      <c r="G360" s="32" t="s">
        <v>923</v>
      </c>
      <c r="H360" s="18" t="s">
        <v>572</v>
      </c>
      <c r="I360" s="18" t="s">
        <v>140</v>
      </c>
      <c r="J360" s="7" t="s">
        <v>3460</v>
      </c>
      <c r="K360" s="10" t="s">
        <v>55</v>
      </c>
      <c r="L360" s="9" t="s">
        <v>922</v>
      </c>
      <c r="M360" s="9" t="s">
        <v>923</v>
      </c>
      <c r="N360" s="10" t="s">
        <v>572</v>
      </c>
      <c r="O360" s="8" t="s">
        <v>140</v>
      </c>
      <c r="P360" s="31" t="s">
        <v>56</v>
      </c>
      <c r="Q360" s="10" t="s">
        <v>3461</v>
      </c>
      <c r="R360" s="18" t="s">
        <v>59</v>
      </c>
      <c r="S360" s="18"/>
      <c r="T360" s="31" t="s">
        <v>60</v>
      </c>
      <c r="U360" s="33" t="s">
        <v>269</v>
      </c>
      <c r="V360" s="34" t="s">
        <v>269</v>
      </c>
      <c r="W360" s="13">
        <v>42639</v>
      </c>
      <c r="X360" s="14">
        <v>2016</v>
      </c>
      <c r="Y360" s="35" t="s">
        <v>94</v>
      </c>
      <c r="Z360" s="35" t="s">
        <v>94</v>
      </c>
      <c r="AA360" s="35" t="s">
        <v>94</v>
      </c>
      <c r="AB360" s="35" t="s">
        <v>94</v>
      </c>
      <c r="AC360" s="35" t="s">
        <v>94</v>
      </c>
      <c r="AD360" s="40"/>
      <c r="AE360" s="27"/>
      <c r="AF360" s="31" t="s">
        <v>106</v>
      </c>
      <c r="AG360" s="16">
        <v>492000000</v>
      </c>
      <c r="AH360" s="16">
        <v>492000000</v>
      </c>
      <c r="AI360" s="16">
        <v>643043694.55999994</v>
      </c>
      <c r="AJ360" s="16" t="s">
        <v>76</v>
      </c>
      <c r="AK360" s="38" t="s">
        <v>94</v>
      </c>
      <c r="AL360" s="37" t="s">
        <v>94</v>
      </c>
      <c r="AM360" s="37" t="s">
        <v>94</v>
      </c>
      <c r="AN360" s="10" t="s">
        <v>149</v>
      </c>
      <c r="AO360" s="8" t="s">
        <v>3756</v>
      </c>
      <c r="AP360" s="15">
        <v>17</v>
      </c>
      <c r="AQ360" s="15" t="s">
        <v>94</v>
      </c>
      <c r="AR360" s="8" t="s">
        <v>3764</v>
      </c>
      <c r="AS360" s="10" t="s">
        <v>3776</v>
      </c>
      <c r="AT360" s="10" t="s">
        <v>3795</v>
      </c>
      <c r="AU360" s="98"/>
      <c r="AV360" s="20" t="s">
        <v>1126</v>
      </c>
      <c r="AW360" s="10" t="s">
        <v>3462</v>
      </c>
      <c r="AX360" s="7" t="s">
        <v>1324</v>
      </c>
      <c r="AY360" s="10" t="s">
        <v>3463</v>
      </c>
      <c r="AZ360" s="10" t="s">
        <v>3464</v>
      </c>
      <c r="BA360" s="10" t="s">
        <v>3465</v>
      </c>
      <c r="BB360" s="18" t="s">
        <v>3466</v>
      </c>
      <c r="BC360" s="41" t="s">
        <v>3407</v>
      </c>
    </row>
    <row r="361" spans="1:55" ht="70" customHeight="1" x14ac:dyDescent="0.2">
      <c r="A361" s="91" t="s">
        <v>4544</v>
      </c>
      <c r="B361" s="76" t="s">
        <v>3467</v>
      </c>
      <c r="C361" s="19" t="s">
        <v>3007</v>
      </c>
      <c r="D361" s="8" t="s">
        <v>49</v>
      </c>
      <c r="E361" s="31" t="s">
        <v>50</v>
      </c>
      <c r="F361" s="32" t="s">
        <v>922</v>
      </c>
      <c r="G361" s="32" t="s">
        <v>923</v>
      </c>
      <c r="H361" s="18" t="s">
        <v>572</v>
      </c>
      <c r="I361" s="18" t="s">
        <v>140</v>
      </c>
      <c r="J361" s="7" t="s">
        <v>1351</v>
      </c>
      <c r="K361" s="10" t="s">
        <v>55</v>
      </c>
      <c r="L361" s="9" t="s">
        <v>1349</v>
      </c>
      <c r="M361" s="9" t="s">
        <v>1350</v>
      </c>
      <c r="N361" s="10" t="s">
        <v>4153</v>
      </c>
      <c r="O361" s="8" t="s">
        <v>140</v>
      </c>
      <c r="P361" s="31" t="s">
        <v>144</v>
      </c>
      <c r="Q361" s="18" t="s">
        <v>3468</v>
      </c>
      <c r="R361" s="10" t="s">
        <v>529</v>
      </c>
      <c r="S361" s="10"/>
      <c r="T361" s="31" t="s">
        <v>73</v>
      </c>
      <c r="U361" s="33">
        <v>15320</v>
      </c>
      <c r="V361" s="34">
        <v>1941</v>
      </c>
      <c r="W361" s="35">
        <v>42727</v>
      </c>
      <c r="X361" s="36">
        <v>2016</v>
      </c>
      <c r="Y361" s="13">
        <v>43831</v>
      </c>
      <c r="Z361" s="40">
        <v>2020</v>
      </c>
      <c r="AA361" s="13">
        <v>44927</v>
      </c>
      <c r="AB361" s="40">
        <v>2023</v>
      </c>
      <c r="AC361" s="40">
        <v>3</v>
      </c>
      <c r="AD361" s="40">
        <v>2023</v>
      </c>
      <c r="AE361" s="39" t="s">
        <v>3469</v>
      </c>
      <c r="AF361" s="31" t="s">
        <v>106</v>
      </c>
      <c r="AG361" s="37">
        <v>85000000</v>
      </c>
      <c r="AH361" s="37">
        <v>85000000</v>
      </c>
      <c r="AI361" s="37">
        <v>111094947.23</v>
      </c>
      <c r="AJ361" s="16" t="s">
        <v>76</v>
      </c>
      <c r="AK361" s="38">
        <v>34280000</v>
      </c>
      <c r="AL361" s="37">
        <v>34280000</v>
      </c>
      <c r="AM361" s="37">
        <v>35291067.729999997</v>
      </c>
      <c r="AN361" s="10" t="s">
        <v>64</v>
      </c>
      <c r="AO361" s="8" t="s">
        <v>3757</v>
      </c>
      <c r="AP361" s="43">
        <v>4000</v>
      </c>
      <c r="AQ361" s="43">
        <v>4000</v>
      </c>
      <c r="AR361" s="8" t="s">
        <v>3765</v>
      </c>
      <c r="AS361" s="10" t="s">
        <v>3781</v>
      </c>
      <c r="AT361" s="10" t="s">
        <v>3795</v>
      </c>
      <c r="AU361" s="98"/>
      <c r="AV361" s="20" t="s">
        <v>3939</v>
      </c>
      <c r="AW361" s="10" t="s">
        <v>3470</v>
      </c>
      <c r="AX361" s="7" t="s">
        <v>4075</v>
      </c>
      <c r="AY361" s="10" t="s">
        <v>3471</v>
      </c>
      <c r="AZ361" s="10" t="s">
        <v>4146</v>
      </c>
      <c r="BA361" s="10" t="s">
        <v>3472</v>
      </c>
      <c r="BB361" s="18" t="s">
        <v>3473</v>
      </c>
      <c r="BC361" s="41" t="s">
        <v>3474</v>
      </c>
    </row>
    <row r="362" spans="1:55" ht="70" customHeight="1" x14ac:dyDescent="0.2">
      <c r="A362" s="91" t="s">
        <v>4545</v>
      </c>
      <c r="B362" s="76" t="s">
        <v>3475</v>
      </c>
      <c r="C362" s="19" t="s">
        <v>3476</v>
      </c>
      <c r="D362" s="18" t="s">
        <v>2939</v>
      </c>
      <c r="E362" s="31" t="s">
        <v>280</v>
      </c>
      <c r="F362" s="32" t="s">
        <v>922</v>
      </c>
      <c r="G362" s="32" t="s">
        <v>923</v>
      </c>
      <c r="H362" s="18" t="s">
        <v>572</v>
      </c>
      <c r="I362" s="18" t="s">
        <v>140</v>
      </c>
      <c r="J362" s="19" t="s">
        <v>3477</v>
      </c>
      <c r="K362" s="10" t="s">
        <v>55</v>
      </c>
      <c r="L362" s="9" t="s">
        <v>922</v>
      </c>
      <c r="M362" s="9" t="s">
        <v>923</v>
      </c>
      <c r="N362" s="10" t="s">
        <v>572</v>
      </c>
      <c r="O362" s="8" t="s">
        <v>140</v>
      </c>
      <c r="P362" s="31" t="s">
        <v>56</v>
      </c>
      <c r="Q362" s="18" t="s">
        <v>3478</v>
      </c>
      <c r="R362" s="18" t="s">
        <v>1227</v>
      </c>
      <c r="S362" s="18"/>
      <c r="T362" s="31" t="s">
        <v>60</v>
      </c>
      <c r="U362" s="34" t="s">
        <v>3479</v>
      </c>
      <c r="V362" s="34">
        <v>1838</v>
      </c>
      <c r="W362" s="13" t="s">
        <v>94</v>
      </c>
      <c r="X362" s="36">
        <v>2019</v>
      </c>
      <c r="Y362" s="13">
        <v>44562</v>
      </c>
      <c r="Z362" s="40">
        <v>2022</v>
      </c>
      <c r="AA362" s="35" t="s">
        <v>94</v>
      </c>
      <c r="AB362" s="35" t="s">
        <v>94</v>
      </c>
      <c r="AC362" s="35" t="s">
        <v>94</v>
      </c>
      <c r="AD362" s="40"/>
      <c r="AE362" s="39" t="s">
        <v>119</v>
      </c>
      <c r="AF362" s="31" t="s">
        <v>106</v>
      </c>
      <c r="AG362" s="37">
        <v>400000</v>
      </c>
      <c r="AH362" s="37">
        <v>400000</v>
      </c>
      <c r="AI362" s="37">
        <v>490796.65</v>
      </c>
      <c r="AJ362" s="16" t="s">
        <v>76</v>
      </c>
      <c r="AK362" s="38" t="s">
        <v>94</v>
      </c>
      <c r="AL362" s="37" t="s">
        <v>94</v>
      </c>
      <c r="AM362" s="37" t="s">
        <v>94</v>
      </c>
      <c r="AN362" s="10" t="s">
        <v>149</v>
      </c>
      <c r="AO362" s="8" t="s">
        <v>3758</v>
      </c>
      <c r="AP362" s="15">
        <v>272</v>
      </c>
      <c r="AQ362" s="15" t="s">
        <v>94</v>
      </c>
      <c r="AR362" s="8" t="s">
        <v>3773</v>
      </c>
      <c r="AS362" s="10" t="s">
        <v>3811</v>
      </c>
      <c r="AT362" s="10" t="s">
        <v>3795</v>
      </c>
      <c r="AU362" s="98" t="s">
        <v>3181</v>
      </c>
      <c r="AV362" s="20" t="s">
        <v>1126</v>
      </c>
      <c r="AW362" s="10" t="s">
        <v>3476</v>
      </c>
      <c r="AX362" s="7" t="s">
        <v>577</v>
      </c>
      <c r="AY362" s="10" t="s">
        <v>3480</v>
      </c>
      <c r="AZ362" s="10" t="s">
        <v>3481</v>
      </c>
      <c r="BA362" s="10" t="s">
        <v>3482</v>
      </c>
      <c r="BB362" s="18" t="s">
        <v>3483</v>
      </c>
      <c r="BC362" s="41" t="s">
        <v>3484</v>
      </c>
    </row>
    <row r="363" spans="1:55" ht="70" customHeight="1" x14ac:dyDescent="0.2">
      <c r="A363" s="91" t="s">
        <v>4546</v>
      </c>
      <c r="B363" s="76" t="s">
        <v>3485</v>
      </c>
      <c r="C363" s="19" t="s">
        <v>3486</v>
      </c>
      <c r="D363" s="18" t="s">
        <v>2939</v>
      </c>
      <c r="E363" s="31" t="s">
        <v>280</v>
      </c>
      <c r="F363" s="32" t="s">
        <v>922</v>
      </c>
      <c r="G363" s="32" t="s">
        <v>923</v>
      </c>
      <c r="H363" s="18" t="s">
        <v>572</v>
      </c>
      <c r="I363" s="18" t="s">
        <v>140</v>
      </c>
      <c r="J363" s="19" t="s">
        <v>3487</v>
      </c>
      <c r="K363" s="10" t="s">
        <v>55</v>
      </c>
      <c r="L363" s="9" t="s">
        <v>922</v>
      </c>
      <c r="M363" s="9" t="s">
        <v>923</v>
      </c>
      <c r="N363" s="10" t="s">
        <v>572</v>
      </c>
      <c r="O363" s="8" t="s">
        <v>140</v>
      </c>
      <c r="P363" s="31" t="s">
        <v>56</v>
      </c>
      <c r="Q363" s="18" t="s">
        <v>3488</v>
      </c>
      <c r="R363" s="18" t="s">
        <v>1227</v>
      </c>
      <c r="S363" s="18"/>
      <c r="T363" s="31" t="s">
        <v>60</v>
      </c>
      <c r="U363" s="34" t="s">
        <v>3489</v>
      </c>
      <c r="V363" s="34">
        <v>1823</v>
      </c>
      <c r="W363" s="13" t="s">
        <v>94</v>
      </c>
      <c r="X363" s="36">
        <v>2019</v>
      </c>
      <c r="Y363" s="35">
        <v>44228</v>
      </c>
      <c r="Z363" s="40">
        <v>2021</v>
      </c>
      <c r="AA363" s="13">
        <v>44197</v>
      </c>
      <c r="AB363" s="40">
        <v>2021</v>
      </c>
      <c r="AC363" s="40">
        <v>0</v>
      </c>
      <c r="AD363" s="40">
        <v>2021</v>
      </c>
      <c r="AE363" s="39"/>
      <c r="AF363" s="31" t="s">
        <v>106</v>
      </c>
      <c r="AG363" s="37">
        <v>1700000</v>
      </c>
      <c r="AH363" s="37">
        <v>1700000</v>
      </c>
      <c r="AI363" s="37">
        <v>2085885.78</v>
      </c>
      <c r="AJ363" s="16" t="s">
        <v>76</v>
      </c>
      <c r="AK363" s="38">
        <v>31500</v>
      </c>
      <c r="AL363" s="37">
        <v>31500</v>
      </c>
      <c r="AM363" s="16">
        <v>36466.04</v>
      </c>
      <c r="AN363" s="10" t="s">
        <v>64</v>
      </c>
      <c r="AO363" s="8" t="s">
        <v>3758</v>
      </c>
      <c r="AP363" s="15" t="s">
        <v>94</v>
      </c>
      <c r="AQ363" s="15">
        <v>15</v>
      </c>
      <c r="AR363" s="8" t="s">
        <v>3773</v>
      </c>
      <c r="AS363" s="69" t="s">
        <v>3819</v>
      </c>
      <c r="AT363" s="10" t="s">
        <v>3795</v>
      </c>
      <c r="AU363" s="98" t="s">
        <v>2992</v>
      </c>
      <c r="AV363" s="20" t="s">
        <v>1126</v>
      </c>
      <c r="AW363" s="10"/>
      <c r="AX363" s="7" t="s">
        <v>4076</v>
      </c>
      <c r="AY363" s="10" t="s">
        <v>3490</v>
      </c>
      <c r="AZ363" s="10" t="s">
        <v>3491</v>
      </c>
      <c r="BA363" s="10" t="s">
        <v>3492</v>
      </c>
      <c r="BB363" s="18" t="s">
        <v>3493</v>
      </c>
      <c r="BC363" s="41" t="s">
        <v>3494</v>
      </c>
    </row>
    <row r="364" spans="1:55" ht="70" customHeight="1" x14ac:dyDescent="0.2">
      <c r="A364" s="91" t="s">
        <v>4547</v>
      </c>
      <c r="B364" s="76" t="s">
        <v>3495</v>
      </c>
      <c r="C364" s="19" t="s">
        <v>3496</v>
      </c>
      <c r="D364" s="18" t="s">
        <v>2939</v>
      </c>
      <c r="E364" s="31" t="s">
        <v>280</v>
      </c>
      <c r="F364" s="32" t="s">
        <v>922</v>
      </c>
      <c r="G364" s="32" t="s">
        <v>923</v>
      </c>
      <c r="H364" s="18" t="s">
        <v>572</v>
      </c>
      <c r="I364" s="18" t="s">
        <v>140</v>
      </c>
      <c r="J364" s="19" t="s">
        <v>3497</v>
      </c>
      <c r="K364" s="10" t="s">
        <v>55</v>
      </c>
      <c r="L364" s="9" t="s">
        <v>922</v>
      </c>
      <c r="M364" s="9" t="s">
        <v>923</v>
      </c>
      <c r="N364" s="10" t="s">
        <v>572</v>
      </c>
      <c r="O364" s="8" t="s">
        <v>140</v>
      </c>
      <c r="P364" s="31" t="s">
        <v>56</v>
      </c>
      <c r="Q364" s="18" t="s">
        <v>3498</v>
      </c>
      <c r="R364" s="18" t="s">
        <v>1227</v>
      </c>
      <c r="S364" s="18"/>
      <c r="T364" s="31" t="s">
        <v>60</v>
      </c>
      <c r="U364" s="33" t="s">
        <v>269</v>
      </c>
      <c r="V364" s="34" t="s">
        <v>269</v>
      </c>
      <c r="W364" s="13" t="s">
        <v>94</v>
      </c>
      <c r="X364" s="36">
        <v>2019</v>
      </c>
      <c r="Y364" s="35" t="s">
        <v>94</v>
      </c>
      <c r="Z364" s="35" t="s">
        <v>94</v>
      </c>
      <c r="AA364" s="35" t="s">
        <v>94</v>
      </c>
      <c r="AB364" s="35" t="s">
        <v>94</v>
      </c>
      <c r="AC364" s="35" t="s">
        <v>94</v>
      </c>
      <c r="AD364" s="40"/>
      <c r="AE364" s="39"/>
      <c r="AF364" s="31" t="s">
        <v>106</v>
      </c>
      <c r="AG364" s="37">
        <v>27000000</v>
      </c>
      <c r="AH364" s="37">
        <v>27000000</v>
      </c>
      <c r="AI364" s="37">
        <v>33128774.100000001</v>
      </c>
      <c r="AJ364" s="16" t="s">
        <v>76</v>
      </c>
      <c r="AK364" s="38" t="s">
        <v>94</v>
      </c>
      <c r="AL364" s="37" t="s">
        <v>94</v>
      </c>
      <c r="AM364" s="37" t="s">
        <v>94</v>
      </c>
      <c r="AN364" s="10" t="s">
        <v>149</v>
      </c>
      <c r="AO364" s="8" t="s">
        <v>150</v>
      </c>
      <c r="AP364" s="15" t="s">
        <v>151</v>
      </c>
      <c r="AQ364" s="15" t="s">
        <v>151</v>
      </c>
      <c r="AR364" s="8" t="s">
        <v>3773</v>
      </c>
      <c r="AS364" s="10" t="s">
        <v>3776</v>
      </c>
      <c r="AT364" s="10" t="s">
        <v>3795</v>
      </c>
      <c r="AU364" s="98"/>
      <c r="AV364" s="20" t="s">
        <v>1126</v>
      </c>
      <c r="AW364" s="10"/>
      <c r="AX364" s="7" t="s">
        <v>3499</v>
      </c>
      <c r="AY364" s="10" t="s">
        <v>3500</v>
      </c>
      <c r="AZ364" s="10" t="s">
        <v>3501</v>
      </c>
      <c r="BA364" s="10" t="s">
        <v>3502</v>
      </c>
      <c r="BB364" s="18"/>
      <c r="BC364" s="41" t="s">
        <v>3503</v>
      </c>
    </row>
    <row r="365" spans="1:55" ht="70" customHeight="1" x14ac:dyDescent="0.2">
      <c r="A365" s="91" t="s">
        <v>4548</v>
      </c>
      <c r="B365" s="76" t="s">
        <v>3504</v>
      </c>
      <c r="C365" s="19" t="s">
        <v>3505</v>
      </c>
      <c r="D365" s="8" t="s">
        <v>49</v>
      </c>
      <c r="E365" s="31" t="s">
        <v>50</v>
      </c>
      <c r="F365" s="32" t="s">
        <v>922</v>
      </c>
      <c r="G365" s="32" t="s">
        <v>923</v>
      </c>
      <c r="H365" s="18" t="s">
        <v>572</v>
      </c>
      <c r="I365" s="18" t="s">
        <v>140</v>
      </c>
      <c r="J365" s="19" t="s">
        <v>3506</v>
      </c>
      <c r="K365" s="10" t="s">
        <v>55</v>
      </c>
      <c r="L365" s="9" t="s">
        <v>922</v>
      </c>
      <c r="M365" s="9" t="s">
        <v>923</v>
      </c>
      <c r="N365" s="10" t="s">
        <v>572</v>
      </c>
      <c r="O365" s="8" t="s">
        <v>140</v>
      </c>
      <c r="P365" s="31" t="s">
        <v>56</v>
      </c>
      <c r="Q365" s="18" t="s">
        <v>3507</v>
      </c>
      <c r="R365" s="18" t="s">
        <v>177</v>
      </c>
      <c r="S365" s="18" t="s">
        <v>59</v>
      </c>
      <c r="T365" s="31" t="s">
        <v>60</v>
      </c>
      <c r="U365" s="33">
        <v>6941</v>
      </c>
      <c r="V365" s="34">
        <v>1919</v>
      </c>
      <c r="W365" s="13" t="s">
        <v>94</v>
      </c>
      <c r="X365" s="36">
        <v>2019</v>
      </c>
      <c r="Y365" s="13">
        <v>44562</v>
      </c>
      <c r="Z365" s="36">
        <v>2022</v>
      </c>
      <c r="AA365" s="13">
        <v>45292</v>
      </c>
      <c r="AB365" s="40">
        <v>2024</v>
      </c>
      <c r="AC365" s="40">
        <v>2</v>
      </c>
      <c r="AD365" s="40">
        <v>2024</v>
      </c>
      <c r="AE365" s="39" t="s">
        <v>3508</v>
      </c>
      <c r="AF365" s="31" t="s">
        <v>106</v>
      </c>
      <c r="AG365" s="37">
        <v>10000000</v>
      </c>
      <c r="AH365" s="37">
        <v>10000000</v>
      </c>
      <c r="AI365" s="37">
        <v>12269916.33</v>
      </c>
      <c r="AJ365" s="16" t="s">
        <v>76</v>
      </c>
      <c r="AK365" s="38">
        <v>5000000</v>
      </c>
      <c r="AL365" s="37">
        <v>5000000</v>
      </c>
      <c r="AM365" s="37">
        <v>5000000</v>
      </c>
      <c r="AN365" s="10" t="s">
        <v>64</v>
      </c>
      <c r="AO365" s="8" t="s">
        <v>3757</v>
      </c>
      <c r="AP365" s="15" t="s">
        <v>94</v>
      </c>
      <c r="AQ365" s="15">
        <v>200</v>
      </c>
      <c r="AR365" s="8" t="s">
        <v>3765</v>
      </c>
      <c r="AS365" s="10" t="s">
        <v>3776</v>
      </c>
      <c r="AT365" s="10" t="s">
        <v>3795</v>
      </c>
      <c r="AU365" s="98" t="s">
        <v>2992</v>
      </c>
      <c r="AV365" s="20" t="s">
        <v>1126</v>
      </c>
      <c r="AW365" s="10" t="s">
        <v>1297</v>
      </c>
      <c r="AX365" s="7" t="s">
        <v>4077</v>
      </c>
      <c r="AY365" s="10" t="s">
        <v>3509</v>
      </c>
      <c r="AZ365" s="10" t="s">
        <v>3510</v>
      </c>
      <c r="BA365" s="10" t="s">
        <v>3511</v>
      </c>
      <c r="BB365" s="18" t="s">
        <v>3512</v>
      </c>
      <c r="BC365" s="41" t="s">
        <v>3513</v>
      </c>
    </row>
    <row r="366" spans="1:55" ht="70" customHeight="1" x14ac:dyDescent="0.2">
      <c r="A366" s="88" t="s">
        <v>4549</v>
      </c>
      <c r="B366" s="76" t="s">
        <v>3514</v>
      </c>
      <c r="C366" s="19" t="s">
        <v>3387</v>
      </c>
      <c r="D366" s="8" t="s">
        <v>49</v>
      </c>
      <c r="E366" s="31" t="s">
        <v>50</v>
      </c>
      <c r="F366" s="32" t="s">
        <v>922</v>
      </c>
      <c r="G366" s="32" t="s">
        <v>923</v>
      </c>
      <c r="H366" s="18" t="s">
        <v>572</v>
      </c>
      <c r="I366" s="18" t="s">
        <v>140</v>
      </c>
      <c r="J366" s="7" t="s">
        <v>3515</v>
      </c>
      <c r="K366" s="10" t="s">
        <v>55</v>
      </c>
      <c r="L366" s="9" t="s">
        <v>922</v>
      </c>
      <c r="M366" s="9" t="s">
        <v>923</v>
      </c>
      <c r="N366" s="10" t="s">
        <v>572</v>
      </c>
      <c r="O366" s="8" t="s">
        <v>140</v>
      </c>
      <c r="P366" s="31" t="s">
        <v>56</v>
      </c>
      <c r="Q366" s="18" t="s">
        <v>3388</v>
      </c>
      <c r="R366" s="10" t="s">
        <v>584</v>
      </c>
      <c r="S366" s="18"/>
      <c r="T366" s="31" t="s">
        <v>73</v>
      </c>
      <c r="U366" s="33">
        <v>39188</v>
      </c>
      <c r="V366" s="34">
        <v>2007</v>
      </c>
      <c r="W366" s="13">
        <v>43544</v>
      </c>
      <c r="X366" s="36">
        <v>2019</v>
      </c>
      <c r="Y366" s="35" t="s">
        <v>94</v>
      </c>
      <c r="Z366" s="35" t="s">
        <v>94</v>
      </c>
      <c r="AA366" s="35" t="s">
        <v>94</v>
      </c>
      <c r="AB366" s="35" t="s">
        <v>94</v>
      </c>
      <c r="AC366" s="35" t="s">
        <v>94</v>
      </c>
      <c r="AD366" s="35"/>
      <c r="AE366" s="27"/>
      <c r="AF366" s="31" t="s">
        <v>106</v>
      </c>
      <c r="AG366" s="37">
        <v>8000000</v>
      </c>
      <c r="AH366" s="37">
        <v>8000000</v>
      </c>
      <c r="AI366" s="37">
        <v>9815933.0700000003</v>
      </c>
      <c r="AJ366" s="16" t="s">
        <v>76</v>
      </c>
      <c r="AK366" s="37" t="s">
        <v>94</v>
      </c>
      <c r="AL366" s="37" t="s">
        <v>94</v>
      </c>
      <c r="AM366" s="37" t="s">
        <v>94</v>
      </c>
      <c r="AN366" s="10" t="s">
        <v>64</v>
      </c>
      <c r="AO366" s="8" t="s">
        <v>3758</v>
      </c>
      <c r="AP366" s="15">
        <v>2</v>
      </c>
      <c r="AQ366" s="15" t="s">
        <v>94</v>
      </c>
      <c r="AR366" s="8" t="s">
        <v>3762</v>
      </c>
      <c r="AS366" s="10" t="s">
        <v>3781</v>
      </c>
      <c r="AT366" s="10" t="s">
        <v>3795</v>
      </c>
      <c r="AU366" s="98"/>
      <c r="AV366" s="17"/>
      <c r="AW366" s="10"/>
      <c r="AX366" s="7" t="s">
        <v>3516</v>
      </c>
      <c r="AY366" s="10" t="s">
        <v>3517</v>
      </c>
      <c r="AZ366" s="10" t="s">
        <v>3518</v>
      </c>
      <c r="BA366" s="10" t="s">
        <v>3519</v>
      </c>
      <c r="BB366" s="18"/>
      <c r="BC366" s="18" t="s">
        <v>4102</v>
      </c>
    </row>
    <row r="367" spans="1:55" ht="70" customHeight="1" x14ac:dyDescent="0.2">
      <c r="A367" s="91" t="s">
        <v>4550</v>
      </c>
      <c r="B367" s="76" t="s">
        <v>3520</v>
      </c>
      <c r="C367" s="19" t="s">
        <v>3521</v>
      </c>
      <c r="D367" s="31" t="s">
        <v>838</v>
      </c>
      <c r="E367" s="31" t="s">
        <v>280</v>
      </c>
      <c r="F367" s="32" t="s">
        <v>922</v>
      </c>
      <c r="G367" s="32" t="s">
        <v>923</v>
      </c>
      <c r="H367" s="18" t="s">
        <v>572</v>
      </c>
      <c r="I367" s="18" t="s">
        <v>140</v>
      </c>
      <c r="J367" s="19" t="s">
        <v>3497</v>
      </c>
      <c r="K367" s="10" t="s">
        <v>55</v>
      </c>
      <c r="L367" s="9" t="s">
        <v>922</v>
      </c>
      <c r="M367" s="9" t="s">
        <v>923</v>
      </c>
      <c r="N367" s="10" t="s">
        <v>572</v>
      </c>
      <c r="O367" s="8" t="s">
        <v>140</v>
      </c>
      <c r="P367" s="31" t="s">
        <v>56</v>
      </c>
      <c r="Q367" s="18" t="s">
        <v>3522</v>
      </c>
      <c r="R367" s="18" t="s">
        <v>1227</v>
      </c>
      <c r="S367" s="18"/>
      <c r="T367" s="31" t="s">
        <v>60</v>
      </c>
      <c r="U367" s="33" t="s">
        <v>269</v>
      </c>
      <c r="V367" s="34" t="s">
        <v>269</v>
      </c>
      <c r="W367" s="35">
        <v>43778</v>
      </c>
      <c r="X367" s="36">
        <v>2019</v>
      </c>
      <c r="Y367" s="35" t="s">
        <v>94</v>
      </c>
      <c r="Z367" s="35" t="s">
        <v>94</v>
      </c>
      <c r="AA367" s="35" t="s">
        <v>94</v>
      </c>
      <c r="AB367" s="35" t="s">
        <v>94</v>
      </c>
      <c r="AC367" s="35" t="s">
        <v>94</v>
      </c>
      <c r="AD367" s="40"/>
      <c r="AE367" s="39"/>
      <c r="AF367" s="31" t="s">
        <v>106</v>
      </c>
      <c r="AG367" s="37">
        <v>1100000</v>
      </c>
      <c r="AH367" s="37">
        <v>1100000</v>
      </c>
      <c r="AI367" s="37">
        <v>1349690.8</v>
      </c>
      <c r="AJ367" s="16" t="s">
        <v>76</v>
      </c>
      <c r="AK367" s="38" t="s">
        <v>94</v>
      </c>
      <c r="AL367" s="37" t="s">
        <v>94</v>
      </c>
      <c r="AM367" s="37" t="s">
        <v>94</v>
      </c>
      <c r="AN367" s="10" t="s">
        <v>149</v>
      </c>
      <c r="AO367" s="8" t="s">
        <v>150</v>
      </c>
      <c r="AP367" s="15" t="s">
        <v>151</v>
      </c>
      <c r="AQ367" s="15" t="s">
        <v>151</v>
      </c>
      <c r="AR367" s="8" t="s">
        <v>3773</v>
      </c>
      <c r="AS367" s="18" t="s">
        <v>269</v>
      </c>
      <c r="AT367" s="10" t="s">
        <v>3795</v>
      </c>
      <c r="AU367" s="98"/>
      <c r="AV367" s="20" t="s">
        <v>1126</v>
      </c>
      <c r="AW367" s="10" t="s">
        <v>3521</v>
      </c>
      <c r="AX367" s="7" t="s">
        <v>3523</v>
      </c>
      <c r="AY367" s="10" t="s">
        <v>3524</v>
      </c>
      <c r="AZ367" s="10" t="s">
        <v>3525</v>
      </c>
      <c r="BA367" s="10" t="s">
        <v>3526</v>
      </c>
      <c r="BB367" s="18"/>
      <c r="BC367" s="41" t="s">
        <v>3527</v>
      </c>
    </row>
    <row r="368" spans="1:55" ht="69" customHeight="1" x14ac:dyDescent="0.2">
      <c r="A368" s="91" t="s">
        <v>4551</v>
      </c>
      <c r="B368" s="76" t="s">
        <v>3528</v>
      </c>
      <c r="C368" s="19" t="s">
        <v>3529</v>
      </c>
      <c r="D368" s="31" t="s">
        <v>838</v>
      </c>
      <c r="E368" s="31" t="s">
        <v>280</v>
      </c>
      <c r="F368" s="32" t="s">
        <v>922</v>
      </c>
      <c r="G368" s="32" t="s">
        <v>923</v>
      </c>
      <c r="H368" s="18" t="s">
        <v>572</v>
      </c>
      <c r="I368" s="18" t="s">
        <v>140</v>
      </c>
      <c r="J368" s="19" t="s">
        <v>3530</v>
      </c>
      <c r="K368" s="10" t="s">
        <v>55</v>
      </c>
      <c r="L368" s="9" t="s">
        <v>922</v>
      </c>
      <c r="M368" s="9" t="s">
        <v>923</v>
      </c>
      <c r="N368" s="10" t="s">
        <v>572</v>
      </c>
      <c r="O368" s="8" t="s">
        <v>140</v>
      </c>
      <c r="P368" s="31" t="s">
        <v>56</v>
      </c>
      <c r="Q368" s="18" t="s">
        <v>3531</v>
      </c>
      <c r="R368" s="18" t="s">
        <v>1227</v>
      </c>
      <c r="S368" s="18"/>
      <c r="T368" s="31" t="s">
        <v>60</v>
      </c>
      <c r="U368" s="33" t="s">
        <v>269</v>
      </c>
      <c r="V368" s="34" t="s">
        <v>269</v>
      </c>
      <c r="W368" s="35">
        <v>43862</v>
      </c>
      <c r="X368" s="36">
        <v>2020</v>
      </c>
      <c r="Y368" s="35" t="s">
        <v>94</v>
      </c>
      <c r="Z368" s="35" t="s">
        <v>94</v>
      </c>
      <c r="AA368" s="35" t="s">
        <v>94</v>
      </c>
      <c r="AB368" s="35" t="s">
        <v>94</v>
      </c>
      <c r="AC368" s="35" t="s">
        <v>94</v>
      </c>
      <c r="AD368" s="40"/>
      <c r="AE368" s="39"/>
      <c r="AF368" s="31" t="s">
        <v>106</v>
      </c>
      <c r="AG368" s="37">
        <v>13000000</v>
      </c>
      <c r="AH368" s="37">
        <v>13000000</v>
      </c>
      <c r="AI368" s="37">
        <v>15756505.710000001</v>
      </c>
      <c r="AJ368" s="16" t="s">
        <v>76</v>
      </c>
      <c r="AK368" s="38" t="s">
        <v>94</v>
      </c>
      <c r="AL368" s="37" t="s">
        <v>94</v>
      </c>
      <c r="AM368" s="37" t="s">
        <v>94</v>
      </c>
      <c r="AN368" s="54" t="s">
        <v>3755</v>
      </c>
      <c r="AO368" s="8" t="s">
        <v>150</v>
      </c>
      <c r="AP368" s="15" t="s">
        <v>94</v>
      </c>
      <c r="AQ368" s="15" t="s">
        <v>94</v>
      </c>
      <c r="AR368" s="8" t="s">
        <v>3773</v>
      </c>
      <c r="AS368" s="18" t="s">
        <v>3776</v>
      </c>
      <c r="AT368" s="10" t="s">
        <v>3795</v>
      </c>
      <c r="AU368" s="98" t="s">
        <v>2992</v>
      </c>
      <c r="AV368" s="20" t="s">
        <v>1126</v>
      </c>
      <c r="AW368" s="10"/>
      <c r="AX368" s="7" t="s">
        <v>3532</v>
      </c>
      <c r="AY368" s="10" t="s">
        <v>3533</v>
      </c>
      <c r="AZ368" s="10" t="s">
        <v>3534</v>
      </c>
      <c r="BA368" s="10" t="s">
        <v>3535</v>
      </c>
      <c r="BB368" s="18"/>
      <c r="BC368" s="41" t="s">
        <v>3536</v>
      </c>
    </row>
    <row r="369" spans="1:55" ht="70" customHeight="1" x14ac:dyDescent="0.2">
      <c r="A369" s="91" t="s">
        <v>4552</v>
      </c>
      <c r="B369" s="76" t="s">
        <v>3537</v>
      </c>
      <c r="C369" s="19" t="s">
        <v>3538</v>
      </c>
      <c r="D369" s="18" t="s">
        <v>192</v>
      </c>
      <c r="E369" s="31" t="s">
        <v>280</v>
      </c>
      <c r="F369" s="32" t="s">
        <v>922</v>
      </c>
      <c r="G369" s="32" t="s">
        <v>923</v>
      </c>
      <c r="H369" s="18" t="s">
        <v>572</v>
      </c>
      <c r="I369" s="18" t="s">
        <v>140</v>
      </c>
      <c r="J369" s="19" t="s">
        <v>3539</v>
      </c>
      <c r="K369" s="10" t="s">
        <v>55</v>
      </c>
      <c r="L369" s="9" t="s">
        <v>922</v>
      </c>
      <c r="M369" s="9" t="s">
        <v>923</v>
      </c>
      <c r="N369" s="10" t="s">
        <v>572</v>
      </c>
      <c r="O369" s="8" t="s">
        <v>140</v>
      </c>
      <c r="P369" s="31" t="s">
        <v>56</v>
      </c>
      <c r="Q369" s="18" t="s">
        <v>3540</v>
      </c>
      <c r="R369" s="18" t="s">
        <v>177</v>
      </c>
      <c r="S369" s="10"/>
      <c r="T369" s="31" t="s">
        <v>73</v>
      </c>
      <c r="U369" s="33">
        <v>7213</v>
      </c>
      <c r="V369" s="34">
        <v>1919</v>
      </c>
      <c r="W369" s="13" t="s">
        <v>94</v>
      </c>
      <c r="X369" s="36">
        <v>2020</v>
      </c>
      <c r="Y369" s="13">
        <v>43831</v>
      </c>
      <c r="Z369" s="36">
        <v>2020</v>
      </c>
      <c r="AA369" s="13">
        <v>43831</v>
      </c>
      <c r="AB369" s="36">
        <v>2020</v>
      </c>
      <c r="AC369" s="40">
        <v>0</v>
      </c>
      <c r="AD369" s="40">
        <v>2020</v>
      </c>
      <c r="AE369" s="39"/>
      <c r="AF369" s="31" t="s">
        <v>106</v>
      </c>
      <c r="AG369" s="37">
        <v>150000</v>
      </c>
      <c r="AH369" s="37">
        <v>150000</v>
      </c>
      <c r="AI369" s="37">
        <v>181805.84</v>
      </c>
      <c r="AJ369" s="16" t="s">
        <v>76</v>
      </c>
      <c r="AK369" s="38">
        <v>50000</v>
      </c>
      <c r="AL369" s="37">
        <v>50000</v>
      </c>
      <c r="AM369" s="37">
        <v>60601.95</v>
      </c>
      <c r="AN369" s="10" t="s">
        <v>64</v>
      </c>
      <c r="AO369" s="8" t="s">
        <v>3758</v>
      </c>
      <c r="AP369" s="15">
        <v>200</v>
      </c>
      <c r="AQ369" s="15" t="s">
        <v>94</v>
      </c>
      <c r="AR369" s="8" t="s">
        <v>3773</v>
      </c>
      <c r="AS369" s="31" t="s">
        <v>292</v>
      </c>
      <c r="AT369" s="10" t="s">
        <v>3795</v>
      </c>
      <c r="AU369" s="98"/>
      <c r="AV369" s="20" t="s">
        <v>1126</v>
      </c>
      <c r="AW369" s="10"/>
      <c r="AX369" s="7" t="s">
        <v>3541</v>
      </c>
      <c r="AY369" s="10" t="s">
        <v>3542</v>
      </c>
      <c r="AZ369" s="10" t="s">
        <v>3543</v>
      </c>
      <c r="BA369" s="10" t="s">
        <v>3544</v>
      </c>
      <c r="BB369" s="18" t="s">
        <v>3545</v>
      </c>
      <c r="BC369" s="41" t="s">
        <v>3546</v>
      </c>
    </row>
    <row r="370" spans="1:55" ht="69" customHeight="1" x14ac:dyDescent="0.2">
      <c r="A370" s="91" t="s">
        <v>4553</v>
      </c>
      <c r="B370" s="76" t="s">
        <v>3547</v>
      </c>
      <c r="C370" s="19" t="s">
        <v>3548</v>
      </c>
      <c r="D370" s="31" t="s">
        <v>279</v>
      </c>
      <c r="E370" s="31" t="s">
        <v>280</v>
      </c>
      <c r="F370" s="32" t="s">
        <v>922</v>
      </c>
      <c r="G370" s="32" t="s">
        <v>923</v>
      </c>
      <c r="H370" s="18" t="s">
        <v>572</v>
      </c>
      <c r="I370" s="18" t="s">
        <v>140</v>
      </c>
      <c r="J370" s="19" t="s">
        <v>3549</v>
      </c>
      <c r="K370" s="10" t="s">
        <v>49</v>
      </c>
      <c r="L370" s="9" t="s">
        <v>3550</v>
      </c>
      <c r="M370" s="9" t="s">
        <v>3551</v>
      </c>
      <c r="N370" s="10" t="s">
        <v>4153</v>
      </c>
      <c r="O370" s="8" t="s">
        <v>53</v>
      </c>
      <c r="P370" s="31" t="s">
        <v>144</v>
      </c>
      <c r="Q370" s="18" t="s">
        <v>3552</v>
      </c>
      <c r="R370" s="18" t="s">
        <v>59</v>
      </c>
      <c r="S370" s="18"/>
      <c r="T370" s="31" t="s">
        <v>60</v>
      </c>
      <c r="U370" s="33">
        <v>39814</v>
      </c>
      <c r="V370" s="34">
        <v>2009</v>
      </c>
      <c r="W370" s="35">
        <v>44036</v>
      </c>
      <c r="X370" s="36">
        <v>2020</v>
      </c>
      <c r="Y370" s="13">
        <v>43831</v>
      </c>
      <c r="Z370" s="36">
        <v>2020</v>
      </c>
      <c r="AA370" s="13">
        <v>43831</v>
      </c>
      <c r="AB370" s="36">
        <v>2020</v>
      </c>
      <c r="AC370" s="40">
        <v>0</v>
      </c>
      <c r="AD370" s="40">
        <v>2020</v>
      </c>
      <c r="AE370" s="39"/>
      <c r="AF370" s="31" t="s">
        <v>106</v>
      </c>
      <c r="AG370" s="37">
        <v>3900000000</v>
      </c>
      <c r="AH370" s="37">
        <v>3900000000</v>
      </c>
      <c r="AI370" s="37">
        <v>4726951713.8000002</v>
      </c>
      <c r="AJ370" s="16" t="s">
        <v>76</v>
      </c>
      <c r="AK370" s="37">
        <v>2500000000</v>
      </c>
      <c r="AL370" s="37">
        <v>2500000000</v>
      </c>
      <c r="AM370" s="37">
        <v>3030097252.4400001</v>
      </c>
      <c r="AN370" s="10" t="s">
        <v>149</v>
      </c>
      <c r="AO370" s="8" t="s">
        <v>150</v>
      </c>
      <c r="AP370" s="15" t="s">
        <v>151</v>
      </c>
      <c r="AQ370" s="15" t="s">
        <v>151</v>
      </c>
      <c r="AR370" s="8" t="s">
        <v>3769</v>
      </c>
      <c r="AS370" s="10" t="s">
        <v>3781</v>
      </c>
      <c r="AT370" s="10" t="s">
        <v>3795</v>
      </c>
      <c r="AU370" s="98"/>
      <c r="AV370" s="20"/>
      <c r="AW370" s="10"/>
      <c r="AX370" s="7" t="s">
        <v>4078</v>
      </c>
      <c r="AY370" s="10" t="s">
        <v>3553</v>
      </c>
      <c r="AZ370" s="10" t="s">
        <v>3554</v>
      </c>
      <c r="BA370" s="10" t="s">
        <v>3555</v>
      </c>
      <c r="BB370" s="18"/>
      <c r="BC370" s="41" t="s">
        <v>3556</v>
      </c>
    </row>
    <row r="371" spans="1:55" ht="69" customHeight="1" x14ac:dyDescent="0.2">
      <c r="A371" s="91" t="s">
        <v>4554</v>
      </c>
      <c r="B371" s="76" t="s">
        <v>3557</v>
      </c>
      <c r="C371" s="19" t="s">
        <v>3558</v>
      </c>
      <c r="D371" s="31" t="s">
        <v>838</v>
      </c>
      <c r="E371" s="31" t="s">
        <v>280</v>
      </c>
      <c r="F371" s="32" t="s">
        <v>922</v>
      </c>
      <c r="G371" s="32" t="s">
        <v>923</v>
      </c>
      <c r="H371" s="18" t="s">
        <v>572</v>
      </c>
      <c r="I371" s="18" t="s">
        <v>140</v>
      </c>
      <c r="J371" s="19" t="s">
        <v>3559</v>
      </c>
      <c r="K371" s="10" t="s">
        <v>55</v>
      </c>
      <c r="L371" s="9" t="s">
        <v>922</v>
      </c>
      <c r="M371" s="9" t="s">
        <v>923</v>
      </c>
      <c r="N371" s="10" t="s">
        <v>572</v>
      </c>
      <c r="O371" s="8" t="s">
        <v>140</v>
      </c>
      <c r="P371" s="31" t="s">
        <v>56</v>
      </c>
      <c r="Q371" s="18" t="s">
        <v>3560</v>
      </c>
      <c r="R371" s="18" t="s">
        <v>1227</v>
      </c>
      <c r="S371" s="10"/>
      <c r="T371" s="31" t="s">
        <v>60</v>
      </c>
      <c r="U371" s="33" t="s">
        <v>269</v>
      </c>
      <c r="V371" s="34" t="s">
        <v>269</v>
      </c>
      <c r="W371" s="13" t="s">
        <v>94</v>
      </c>
      <c r="X371" s="36">
        <v>2021</v>
      </c>
      <c r="Y371" s="13">
        <v>44197</v>
      </c>
      <c r="Z371" s="40">
        <v>2021</v>
      </c>
      <c r="AA371" s="35" t="s">
        <v>94</v>
      </c>
      <c r="AB371" s="35" t="s">
        <v>94</v>
      </c>
      <c r="AC371" s="35" t="s">
        <v>94</v>
      </c>
      <c r="AD371" s="40"/>
      <c r="AE371" s="39" t="s">
        <v>3561</v>
      </c>
      <c r="AF371" s="31" t="s">
        <v>106</v>
      </c>
      <c r="AG371" s="37">
        <v>500000</v>
      </c>
      <c r="AH371" s="37">
        <v>500000</v>
      </c>
      <c r="AI371" s="37">
        <v>578826.06999999995</v>
      </c>
      <c r="AJ371" s="16" t="s">
        <v>76</v>
      </c>
      <c r="AK371" s="38" t="s">
        <v>94</v>
      </c>
      <c r="AL371" s="37" t="s">
        <v>94</v>
      </c>
      <c r="AM371" s="37" t="s">
        <v>94</v>
      </c>
      <c r="AN371" s="10" t="s">
        <v>149</v>
      </c>
      <c r="AO371" s="8" t="s">
        <v>150</v>
      </c>
      <c r="AP371" s="15" t="s">
        <v>151</v>
      </c>
      <c r="AQ371" s="15" t="s">
        <v>151</v>
      </c>
      <c r="AR371" s="8" t="s">
        <v>3773</v>
      </c>
      <c r="AS371" s="10" t="s">
        <v>3811</v>
      </c>
      <c r="AT371" s="10" t="s">
        <v>3795</v>
      </c>
      <c r="AU371" s="98" t="s">
        <v>2992</v>
      </c>
      <c r="AV371" s="20" t="s">
        <v>1126</v>
      </c>
      <c r="AW371" s="10"/>
      <c r="AX371" s="7"/>
      <c r="AY371" s="10" t="s">
        <v>3562</v>
      </c>
      <c r="AZ371" s="10" t="s">
        <v>3563</v>
      </c>
      <c r="BA371" s="10" t="s">
        <v>3564</v>
      </c>
      <c r="BB371" s="18"/>
      <c r="BC371" s="41" t="s">
        <v>3565</v>
      </c>
    </row>
    <row r="372" spans="1:55" ht="70" customHeight="1" x14ac:dyDescent="0.2">
      <c r="A372" s="88" t="s">
        <v>4555</v>
      </c>
      <c r="B372" s="6" t="s">
        <v>3566</v>
      </c>
      <c r="C372" s="7" t="s">
        <v>3567</v>
      </c>
      <c r="D372" s="31" t="s">
        <v>838</v>
      </c>
      <c r="E372" s="8" t="s">
        <v>280</v>
      </c>
      <c r="F372" s="9" t="s">
        <v>922</v>
      </c>
      <c r="G372" s="32" t="s">
        <v>923</v>
      </c>
      <c r="H372" s="10" t="s">
        <v>572</v>
      </c>
      <c r="I372" s="10" t="s">
        <v>140</v>
      </c>
      <c r="J372" s="7" t="s">
        <v>3568</v>
      </c>
      <c r="K372" s="10" t="s">
        <v>55</v>
      </c>
      <c r="L372" s="9" t="s">
        <v>922</v>
      </c>
      <c r="M372" s="9" t="s">
        <v>923</v>
      </c>
      <c r="N372" s="10" t="s">
        <v>572</v>
      </c>
      <c r="O372" s="8" t="s">
        <v>140</v>
      </c>
      <c r="P372" s="8" t="s">
        <v>56</v>
      </c>
      <c r="Q372" s="10" t="s">
        <v>3569</v>
      </c>
      <c r="R372" s="18" t="s">
        <v>1227</v>
      </c>
      <c r="S372" s="10"/>
      <c r="T372" s="8" t="s">
        <v>60</v>
      </c>
      <c r="U372" s="12" t="s">
        <v>3479</v>
      </c>
      <c r="V372" s="12">
        <v>1838</v>
      </c>
      <c r="W372" s="13" t="s">
        <v>94</v>
      </c>
      <c r="X372" s="14">
        <v>2021</v>
      </c>
      <c r="Y372" s="13">
        <v>44197</v>
      </c>
      <c r="Z372" s="14">
        <v>2021</v>
      </c>
      <c r="AA372" s="13">
        <v>44197</v>
      </c>
      <c r="AB372" s="14">
        <v>2021</v>
      </c>
      <c r="AC372" s="40">
        <v>0</v>
      </c>
      <c r="AD372" s="15">
        <v>2021</v>
      </c>
      <c r="AE372" s="27" t="s">
        <v>2487</v>
      </c>
      <c r="AF372" s="8" t="s">
        <v>106</v>
      </c>
      <c r="AG372" s="16">
        <v>100000000</v>
      </c>
      <c r="AH372" s="16">
        <v>100000000</v>
      </c>
      <c r="AI372" s="16">
        <v>115765213.86</v>
      </c>
      <c r="AJ372" s="16" t="s">
        <v>76</v>
      </c>
      <c r="AK372" s="28">
        <v>15000000</v>
      </c>
      <c r="AL372" s="16">
        <v>15000000</v>
      </c>
      <c r="AM372" s="16">
        <v>17364782.079999998</v>
      </c>
      <c r="AN372" s="54" t="s">
        <v>3755</v>
      </c>
      <c r="AO372" s="8" t="s">
        <v>3758</v>
      </c>
      <c r="AP372" s="15" t="s">
        <v>94</v>
      </c>
      <c r="AQ372" s="15" t="s">
        <v>94</v>
      </c>
      <c r="AR372" s="8" t="s">
        <v>3773</v>
      </c>
      <c r="AS372" s="18" t="s">
        <v>292</v>
      </c>
      <c r="AT372" s="10" t="s">
        <v>3795</v>
      </c>
      <c r="AU372" s="96" t="s">
        <v>2992</v>
      </c>
      <c r="AV372" s="17" t="s">
        <v>1126</v>
      </c>
      <c r="AW372" s="10"/>
      <c r="AX372" s="7" t="s">
        <v>577</v>
      </c>
      <c r="AY372" s="10" t="s">
        <v>3570</v>
      </c>
      <c r="AZ372" s="10" t="s">
        <v>3571</v>
      </c>
      <c r="BA372" s="10" t="s">
        <v>3572</v>
      </c>
      <c r="BB372" s="18" t="s">
        <v>3573</v>
      </c>
      <c r="BC372" s="41" t="s">
        <v>3574</v>
      </c>
    </row>
    <row r="373" spans="1:55" ht="70" customHeight="1" x14ac:dyDescent="0.2">
      <c r="A373" s="91" t="s">
        <v>4556</v>
      </c>
      <c r="B373" s="76" t="s">
        <v>3575</v>
      </c>
      <c r="C373" s="19" t="s">
        <v>3576</v>
      </c>
      <c r="D373" s="31" t="s">
        <v>838</v>
      </c>
      <c r="E373" s="8" t="s">
        <v>280</v>
      </c>
      <c r="F373" s="32" t="s">
        <v>922</v>
      </c>
      <c r="G373" s="32" t="s">
        <v>923</v>
      </c>
      <c r="H373" s="18" t="s">
        <v>572</v>
      </c>
      <c r="I373" s="18" t="s">
        <v>140</v>
      </c>
      <c r="J373" s="19" t="s">
        <v>3577</v>
      </c>
      <c r="K373" s="10" t="s">
        <v>55</v>
      </c>
      <c r="L373" s="9" t="s">
        <v>922</v>
      </c>
      <c r="M373" s="9" t="s">
        <v>923</v>
      </c>
      <c r="N373" s="10" t="s">
        <v>572</v>
      </c>
      <c r="O373" s="8" t="s">
        <v>140</v>
      </c>
      <c r="P373" s="31" t="s">
        <v>56</v>
      </c>
      <c r="Q373" s="18" t="s">
        <v>3578</v>
      </c>
      <c r="R373" s="18" t="s">
        <v>177</v>
      </c>
      <c r="S373" s="18" t="s">
        <v>59</v>
      </c>
      <c r="T373" s="31" t="s">
        <v>60</v>
      </c>
      <c r="U373" s="33" t="s">
        <v>269</v>
      </c>
      <c r="V373" s="34" t="s">
        <v>269</v>
      </c>
      <c r="W373" s="13" t="s">
        <v>94</v>
      </c>
      <c r="X373" s="36">
        <v>2021</v>
      </c>
      <c r="Y373" s="35">
        <v>44682</v>
      </c>
      <c r="Z373" s="40">
        <v>2022</v>
      </c>
      <c r="AA373" s="13">
        <v>45292</v>
      </c>
      <c r="AB373" s="14">
        <v>2024</v>
      </c>
      <c r="AC373" s="40">
        <v>2</v>
      </c>
      <c r="AD373" s="40">
        <v>2024</v>
      </c>
      <c r="AE373" s="39" t="s">
        <v>119</v>
      </c>
      <c r="AF373" s="31" t="s">
        <v>106</v>
      </c>
      <c r="AG373" s="37">
        <v>880835</v>
      </c>
      <c r="AH373" s="37">
        <v>880835</v>
      </c>
      <c r="AI373" s="37">
        <v>880835</v>
      </c>
      <c r="AJ373" s="16" t="s">
        <v>76</v>
      </c>
      <c r="AK373" s="38">
        <v>553800</v>
      </c>
      <c r="AL373" s="37">
        <v>553800</v>
      </c>
      <c r="AM373" s="37">
        <v>553800</v>
      </c>
      <c r="AN373" s="10" t="s">
        <v>64</v>
      </c>
      <c r="AO373" s="8" t="s">
        <v>150</v>
      </c>
      <c r="AP373" s="15">
        <v>43</v>
      </c>
      <c r="AQ373" s="15">
        <v>43</v>
      </c>
      <c r="AR373" s="8" t="s">
        <v>3773</v>
      </c>
      <c r="AS373" s="18" t="s">
        <v>3815</v>
      </c>
      <c r="AT373" s="10" t="s">
        <v>3795</v>
      </c>
      <c r="AU373" s="98" t="s">
        <v>2992</v>
      </c>
      <c r="AV373" s="20" t="s">
        <v>1126</v>
      </c>
      <c r="AW373" s="10" t="s">
        <v>3579</v>
      </c>
      <c r="AX373" s="7"/>
      <c r="AY373" s="10" t="s">
        <v>3580</v>
      </c>
      <c r="AZ373" s="10" t="s">
        <v>3581</v>
      </c>
      <c r="BA373" s="10" t="s">
        <v>3582</v>
      </c>
      <c r="BB373" s="18" t="s">
        <v>4152</v>
      </c>
      <c r="BC373" s="41" t="s">
        <v>3583</v>
      </c>
    </row>
    <row r="374" spans="1:55" ht="69" customHeight="1" x14ac:dyDescent="0.2">
      <c r="A374" s="91" t="s">
        <v>4557</v>
      </c>
      <c r="B374" s="76" t="s">
        <v>3584</v>
      </c>
      <c r="C374" s="19" t="s">
        <v>3585</v>
      </c>
      <c r="D374" s="8" t="s">
        <v>49</v>
      </c>
      <c r="E374" s="8" t="s">
        <v>50</v>
      </c>
      <c r="F374" s="32" t="s">
        <v>922</v>
      </c>
      <c r="G374" s="32" t="s">
        <v>923</v>
      </c>
      <c r="H374" s="18" t="s">
        <v>572</v>
      </c>
      <c r="I374" s="18" t="s">
        <v>140</v>
      </c>
      <c r="J374" s="19" t="s">
        <v>3586</v>
      </c>
      <c r="K374" s="18" t="s">
        <v>2939</v>
      </c>
      <c r="L374" s="9" t="s">
        <v>922</v>
      </c>
      <c r="M374" s="9" t="s">
        <v>923</v>
      </c>
      <c r="N374" s="10" t="s">
        <v>572</v>
      </c>
      <c r="O374" s="8" t="s">
        <v>140</v>
      </c>
      <c r="P374" s="31" t="s">
        <v>56</v>
      </c>
      <c r="Q374" s="18" t="s">
        <v>3587</v>
      </c>
      <c r="R374" s="18" t="s">
        <v>177</v>
      </c>
      <c r="S374" s="18"/>
      <c r="T374" s="31" t="s">
        <v>60</v>
      </c>
      <c r="U374" s="33" t="s">
        <v>269</v>
      </c>
      <c r="V374" s="34" t="s">
        <v>269</v>
      </c>
      <c r="W374" s="35">
        <v>44348</v>
      </c>
      <c r="X374" s="36">
        <v>2021</v>
      </c>
      <c r="Y374" s="13">
        <v>44927</v>
      </c>
      <c r="Z374" s="36">
        <v>2023</v>
      </c>
      <c r="AA374" s="35" t="s">
        <v>94</v>
      </c>
      <c r="AB374" s="35" t="s">
        <v>94</v>
      </c>
      <c r="AC374" s="35" t="s">
        <v>94</v>
      </c>
      <c r="AD374" s="40"/>
      <c r="AE374" s="39" t="s">
        <v>3588</v>
      </c>
      <c r="AF374" s="31" t="s">
        <v>106</v>
      </c>
      <c r="AG374" s="37">
        <v>577000000</v>
      </c>
      <c r="AH374" s="37">
        <v>577000000</v>
      </c>
      <c r="AI374" s="37">
        <v>667965283.98000002</v>
      </c>
      <c r="AJ374" s="16" t="s">
        <v>76</v>
      </c>
      <c r="AK374" s="38" t="s">
        <v>94</v>
      </c>
      <c r="AL374" s="37" t="s">
        <v>94</v>
      </c>
      <c r="AM374" s="37" t="s">
        <v>94</v>
      </c>
      <c r="AN374" s="10" t="s">
        <v>149</v>
      </c>
      <c r="AO374" s="8" t="s">
        <v>150</v>
      </c>
      <c r="AP374" s="15" t="s">
        <v>151</v>
      </c>
      <c r="AQ374" s="15" t="s">
        <v>151</v>
      </c>
      <c r="AR374" s="8" t="s">
        <v>3764</v>
      </c>
      <c r="AS374" s="10" t="s">
        <v>3811</v>
      </c>
      <c r="AT374" s="10" t="s">
        <v>3795</v>
      </c>
      <c r="AU374" s="98"/>
      <c r="AV374" s="20" t="s">
        <v>1126</v>
      </c>
      <c r="AW374" s="10" t="s">
        <v>3589</v>
      </c>
      <c r="AX374" s="7" t="s">
        <v>3590</v>
      </c>
      <c r="AY374" s="10" t="s">
        <v>3591</v>
      </c>
      <c r="AZ374" s="10" t="s">
        <v>3592</v>
      </c>
      <c r="BA374" s="10" t="s">
        <v>3593</v>
      </c>
      <c r="BB374" s="18"/>
      <c r="BC374" s="41" t="s">
        <v>3594</v>
      </c>
    </row>
    <row r="375" spans="1:55" ht="70" customHeight="1" x14ac:dyDescent="0.2">
      <c r="A375" s="91" t="s">
        <v>4558</v>
      </c>
      <c r="B375" s="76" t="s">
        <v>3595</v>
      </c>
      <c r="C375" s="19" t="s">
        <v>3596</v>
      </c>
      <c r="D375" s="8" t="s">
        <v>49</v>
      </c>
      <c r="E375" s="8" t="s">
        <v>50</v>
      </c>
      <c r="F375" s="32" t="s">
        <v>922</v>
      </c>
      <c r="G375" s="32" t="s">
        <v>923</v>
      </c>
      <c r="H375" s="18" t="s">
        <v>572</v>
      </c>
      <c r="I375" s="18" t="s">
        <v>140</v>
      </c>
      <c r="J375" s="19" t="s">
        <v>3597</v>
      </c>
      <c r="K375" s="10" t="s">
        <v>55</v>
      </c>
      <c r="L375" s="9" t="s">
        <v>922</v>
      </c>
      <c r="M375" s="9" t="s">
        <v>923</v>
      </c>
      <c r="N375" s="10" t="s">
        <v>572</v>
      </c>
      <c r="O375" s="8" t="s">
        <v>140</v>
      </c>
      <c r="P375" s="31" t="s">
        <v>56</v>
      </c>
      <c r="Q375" s="18" t="s">
        <v>3598</v>
      </c>
      <c r="R375" s="18" t="s">
        <v>584</v>
      </c>
      <c r="S375" s="18"/>
      <c r="T375" s="31" t="s">
        <v>60</v>
      </c>
      <c r="U375" s="33">
        <v>3289</v>
      </c>
      <c r="V375" s="34">
        <v>1909</v>
      </c>
      <c r="W375" s="35">
        <v>44359</v>
      </c>
      <c r="X375" s="36">
        <v>2021</v>
      </c>
      <c r="Y375" s="35">
        <v>44562</v>
      </c>
      <c r="Z375" s="40">
        <v>2022</v>
      </c>
      <c r="AA375" s="35" t="s">
        <v>94</v>
      </c>
      <c r="AB375" s="35" t="s">
        <v>94</v>
      </c>
      <c r="AC375" s="35" t="s">
        <v>94</v>
      </c>
      <c r="AD375" s="40"/>
      <c r="AE375" s="39" t="s">
        <v>3599</v>
      </c>
      <c r="AF375" s="31" t="s">
        <v>106</v>
      </c>
      <c r="AG375" s="37">
        <v>7500000</v>
      </c>
      <c r="AH375" s="37">
        <v>7500000</v>
      </c>
      <c r="AI375" s="37">
        <v>8682391.0399999991</v>
      </c>
      <c r="AJ375" s="16" t="s">
        <v>76</v>
      </c>
      <c r="AK375" s="38" t="s">
        <v>94</v>
      </c>
      <c r="AL375" s="37" t="s">
        <v>94</v>
      </c>
      <c r="AM375" s="37" t="s">
        <v>94</v>
      </c>
      <c r="AN375" s="10" t="s">
        <v>64</v>
      </c>
      <c r="AO375" s="8" t="s">
        <v>3756</v>
      </c>
      <c r="AP375" s="15">
        <v>101</v>
      </c>
      <c r="AQ375" s="15" t="s">
        <v>94</v>
      </c>
      <c r="AR375" s="8" t="s">
        <v>3765</v>
      </c>
      <c r="AS375" s="18" t="s">
        <v>3783</v>
      </c>
      <c r="AT375" s="18" t="s">
        <v>3600</v>
      </c>
      <c r="AU375" s="98" t="s">
        <v>586</v>
      </c>
      <c r="AV375" s="20" t="s">
        <v>1126</v>
      </c>
      <c r="AW375" s="10" t="s">
        <v>3970</v>
      </c>
      <c r="AX375" s="7" t="s">
        <v>3601</v>
      </c>
      <c r="AY375" s="10" t="s">
        <v>3602</v>
      </c>
      <c r="AZ375" s="10" t="s">
        <v>3603</v>
      </c>
      <c r="BA375" s="10" t="s">
        <v>3604</v>
      </c>
      <c r="BB375" s="18"/>
      <c r="BC375" s="41" t="s">
        <v>3605</v>
      </c>
    </row>
    <row r="376" spans="1:55" ht="70" customHeight="1" x14ac:dyDescent="0.2">
      <c r="A376" s="91" t="s">
        <v>4559</v>
      </c>
      <c r="B376" s="76" t="s">
        <v>3606</v>
      </c>
      <c r="C376" s="19" t="s">
        <v>3607</v>
      </c>
      <c r="D376" s="8" t="s">
        <v>49</v>
      </c>
      <c r="E376" s="8" t="s">
        <v>50</v>
      </c>
      <c r="F376" s="32" t="s">
        <v>922</v>
      </c>
      <c r="G376" s="32" t="s">
        <v>923</v>
      </c>
      <c r="H376" s="18" t="s">
        <v>572</v>
      </c>
      <c r="I376" s="18" t="s">
        <v>140</v>
      </c>
      <c r="J376" s="19" t="s">
        <v>3608</v>
      </c>
      <c r="K376" s="10" t="s">
        <v>55</v>
      </c>
      <c r="L376" s="9" t="s">
        <v>922</v>
      </c>
      <c r="M376" s="9" t="s">
        <v>923</v>
      </c>
      <c r="N376" s="10" t="s">
        <v>572</v>
      </c>
      <c r="O376" s="8" t="s">
        <v>140</v>
      </c>
      <c r="P376" s="31" t="s">
        <v>56</v>
      </c>
      <c r="Q376" s="18" t="s">
        <v>3609</v>
      </c>
      <c r="R376" s="18" t="s">
        <v>177</v>
      </c>
      <c r="S376" s="18"/>
      <c r="T376" s="31" t="s">
        <v>60</v>
      </c>
      <c r="U376" s="33" t="s">
        <v>269</v>
      </c>
      <c r="V376" s="34" t="s">
        <v>269</v>
      </c>
      <c r="W376" s="35">
        <v>44368</v>
      </c>
      <c r="X376" s="36">
        <v>2021</v>
      </c>
      <c r="Y376" s="35" t="s">
        <v>94</v>
      </c>
      <c r="Z376" s="35" t="s">
        <v>94</v>
      </c>
      <c r="AA376" s="35" t="s">
        <v>94</v>
      </c>
      <c r="AB376" s="35" t="s">
        <v>94</v>
      </c>
      <c r="AC376" s="35" t="s">
        <v>94</v>
      </c>
      <c r="AD376" s="40"/>
      <c r="AE376" s="39"/>
      <c r="AF376" s="31" t="s">
        <v>106</v>
      </c>
      <c r="AG376" s="37">
        <v>210000</v>
      </c>
      <c r="AH376" s="37">
        <v>210000</v>
      </c>
      <c r="AI376" s="37">
        <v>243106.95</v>
      </c>
      <c r="AJ376" s="16" t="s">
        <v>76</v>
      </c>
      <c r="AK376" s="38" t="s">
        <v>94</v>
      </c>
      <c r="AL376" s="37" t="s">
        <v>94</v>
      </c>
      <c r="AM376" s="37" t="s">
        <v>94</v>
      </c>
      <c r="AN376" s="10" t="s">
        <v>149</v>
      </c>
      <c r="AO376" s="8" t="s">
        <v>3757</v>
      </c>
      <c r="AP376" s="15" t="s">
        <v>94</v>
      </c>
      <c r="AQ376" s="15" t="s">
        <v>94</v>
      </c>
      <c r="AR376" s="8" t="s">
        <v>3765</v>
      </c>
      <c r="AS376" s="18" t="s">
        <v>292</v>
      </c>
      <c r="AT376" s="10" t="s">
        <v>3795</v>
      </c>
      <c r="AU376" s="98"/>
      <c r="AV376" s="20" t="s">
        <v>1126</v>
      </c>
      <c r="AW376" s="10"/>
      <c r="AX376" s="7" t="s">
        <v>3610</v>
      </c>
      <c r="AY376" s="10" t="s">
        <v>3611</v>
      </c>
      <c r="AZ376" s="10" t="s">
        <v>3612</v>
      </c>
      <c r="BA376" s="10" t="s">
        <v>3613</v>
      </c>
      <c r="BB376" s="18"/>
      <c r="BC376" s="41" t="s">
        <v>3614</v>
      </c>
    </row>
    <row r="377" spans="1:55" ht="69" customHeight="1" x14ac:dyDescent="0.2">
      <c r="A377" s="91" t="s">
        <v>4560</v>
      </c>
      <c r="B377" s="76" t="s">
        <v>3615</v>
      </c>
      <c r="C377" s="19" t="s">
        <v>3616</v>
      </c>
      <c r="D377" s="31" t="s">
        <v>2939</v>
      </c>
      <c r="E377" s="31" t="s">
        <v>280</v>
      </c>
      <c r="F377" s="32" t="s">
        <v>922</v>
      </c>
      <c r="G377" s="32" t="s">
        <v>923</v>
      </c>
      <c r="H377" s="18" t="s">
        <v>572</v>
      </c>
      <c r="I377" s="18" t="s">
        <v>140</v>
      </c>
      <c r="J377" s="19" t="s">
        <v>3617</v>
      </c>
      <c r="K377" s="10" t="s">
        <v>55</v>
      </c>
      <c r="L377" s="9" t="s">
        <v>922</v>
      </c>
      <c r="M377" s="9" t="s">
        <v>923</v>
      </c>
      <c r="N377" s="10" t="s">
        <v>572</v>
      </c>
      <c r="O377" s="8" t="s">
        <v>140</v>
      </c>
      <c r="P377" s="31" t="s">
        <v>56</v>
      </c>
      <c r="Q377" s="18" t="s">
        <v>3618</v>
      </c>
      <c r="R377" s="18" t="s">
        <v>1227</v>
      </c>
      <c r="S377" s="18"/>
      <c r="T377" s="31" t="s">
        <v>60</v>
      </c>
      <c r="U377" s="33" t="s">
        <v>269</v>
      </c>
      <c r="V377" s="34" t="s">
        <v>269</v>
      </c>
      <c r="W377" s="13" t="s">
        <v>94</v>
      </c>
      <c r="X377" s="36">
        <v>2022</v>
      </c>
      <c r="Y377" s="35" t="s">
        <v>94</v>
      </c>
      <c r="Z377" s="35" t="s">
        <v>94</v>
      </c>
      <c r="AA377" s="35" t="s">
        <v>94</v>
      </c>
      <c r="AB377" s="35" t="s">
        <v>94</v>
      </c>
      <c r="AC377" s="35" t="s">
        <v>94</v>
      </c>
      <c r="AD377" s="40"/>
      <c r="AE377" s="39"/>
      <c r="AF377" s="31" t="s">
        <v>106</v>
      </c>
      <c r="AG377" s="37">
        <v>100000000</v>
      </c>
      <c r="AH377" s="37">
        <v>100000000</v>
      </c>
      <c r="AI377" s="37">
        <v>107187302.45999999</v>
      </c>
      <c r="AJ377" s="16" t="s">
        <v>76</v>
      </c>
      <c r="AK377" s="38" t="s">
        <v>94</v>
      </c>
      <c r="AL377" s="37" t="s">
        <v>94</v>
      </c>
      <c r="AM377" s="37" t="s">
        <v>94</v>
      </c>
      <c r="AN377" s="10" t="s">
        <v>149</v>
      </c>
      <c r="AO377" s="8" t="s">
        <v>150</v>
      </c>
      <c r="AP377" s="15" t="s">
        <v>151</v>
      </c>
      <c r="AQ377" s="15" t="s">
        <v>151</v>
      </c>
      <c r="AR377" s="8" t="s">
        <v>3773</v>
      </c>
      <c r="AS377" s="10" t="s">
        <v>3811</v>
      </c>
      <c r="AT377" s="10" t="s">
        <v>3795</v>
      </c>
      <c r="AU377" s="98"/>
      <c r="AV377" s="20" t="s">
        <v>1126</v>
      </c>
      <c r="AW377" s="10" t="s">
        <v>3619</v>
      </c>
      <c r="AX377" s="7" t="s">
        <v>577</v>
      </c>
      <c r="AY377" s="10" t="s">
        <v>3620</v>
      </c>
      <c r="AZ377" s="10" t="s">
        <v>3621</v>
      </c>
      <c r="BA377" s="10" t="s">
        <v>3622</v>
      </c>
      <c r="BB377" s="18"/>
      <c r="BC377" s="41" t="s">
        <v>3623</v>
      </c>
    </row>
    <row r="378" spans="1:55" ht="70" customHeight="1" x14ac:dyDescent="0.2">
      <c r="A378" s="91" t="s">
        <v>4561</v>
      </c>
      <c r="B378" s="76" t="s">
        <v>3624</v>
      </c>
      <c r="C378" s="19" t="s">
        <v>3625</v>
      </c>
      <c r="D378" s="31" t="s">
        <v>838</v>
      </c>
      <c r="E378" s="31" t="s">
        <v>280</v>
      </c>
      <c r="F378" s="32" t="s">
        <v>922</v>
      </c>
      <c r="G378" s="32" t="s">
        <v>923</v>
      </c>
      <c r="H378" s="18" t="s">
        <v>572</v>
      </c>
      <c r="I378" s="18" t="s">
        <v>140</v>
      </c>
      <c r="J378" s="19" t="s">
        <v>269</v>
      </c>
      <c r="K378" s="19" t="s">
        <v>269</v>
      </c>
      <c r="L378" s="9" t="s">
        <v>922</v>
      </c>
      <c r="M378" s="9" t="s">
        <v>923</v>
      </c>
      <c r="N378" s="10" t="s">
        <v>572</v>
      </c>
      <c r="O378" s="8" t="s">
        <v>140</v>
      </c>
      <c r="P378" s="31" t="s">
        <v>56</v>
      </c>
      <c r="Q378" s="18" t="s">
        <v>3626</v>
      </c>
      <c r="R378" s="18" t="s">
        <v>1227</v>
      </c>
      <c r="S378" s="18"/>
      <c r="T378" s="31" t="s">
        <v>60</v>
      </c>
      <c r="U378" s="33" t="s">
        <v>269</v>
      </c>
      <c r="V378" s="34" t="s">
        <v>269</v>
      </c>
      <c r="W378" s="13" t="s">
        <v>94</v>
      </c>
      <c r="X378" s="36">
        <v>2022</v>
      </c>
      <c r="Y378" s="35">
        <v>44562</v>
      </c>
      <c r="Z378" s="40">
        <v>2022</v>
      </c>
      <c r="AA378" s="35" t="s">
        <v>94</v>
      </c>
      <c r="AB378" s="35" t="s">
        <v>94</v>
      </c>
      <c r="AC378" s="35" t="s">
        <v>94</v>
      </c>
      <c r="AD378" s="40"/>
      <c r="AE378" s="39"/>
      <c r="AF378" s="31" t="s">
        <v>106</v>
      </c>
      <c r="AG378" s="37">
        <v>11100000</v>
      </c>
      <c r="AH378" s="37">
        <v>11100000</v>
      </c>
      <c r="AI378" s="37">
        <v>11897790.57</v>
      </c>
      <c r="AJ378" s="16" t="s">
        <v>76</v>
      </c>
      <c r="AK378" s="38" t="s">
        <v>94</v>
      </c>
      <c r="AL378" s="37" t="s">
        <v>94</v>
      </c>
      <c r="AM378" s="37" t="s">
        <v>94</v>
      </c>
      <c r="AN378" s="10" t="s">
        <v>149</v>
      </c>
      <c r="AO378" s="8" t="s">
        <v>150</v>
      </c>
      <c r="AP378" s="15" t="s">
        <v>151</v>
      </c>
      <c r="AQ378" s="15" t="s">
        <v>151</v>
      </c>
      <c r="AR378" s="8" t="s">
        <v>3773</v>
      </c>
      <c r="AS378" s="10" t="s">
        <v>3811</v>
      </c>
      <c r="AT378" s="10" t="s">
        <v>3795</v>
      </c>
      <c r="AU378" s="98"/>
      <c r="AV378" s="20" t="s">
        <v>1126</v>
      </c>
      <c r="AW378" s="10" t="s">
        <v>3625</v>
      </c>
      <c r="AX378" s="7" t="s">
        <v>3523</v>
      </c>
      <c r="AY378" s="10" t="s">
        <v>3627</v>
      </c>
      <c r="AZ378" s="10" t="s">
        <v>3628</v>
      </c>
      <c r="BA378" s="10" t="s">
        <v>3629</v>
      </c>
      <c r="BB378" s="18"/>
      <c r="BC378" s="41" t="s">
        <v>3630</v>
      </c>
    </row>
    <row r="379" spans="1:55" ht="69" customHeight="1" x14ac:dyDescent="0.2">
      <c r="A379" s="91" t="s">
        <v>4562</v>
      </c>
      <c r="B379" s="76" t="s">
        <v>3631</v>
      </c>
      <c r="C379" s="19" t="s">
        <v>3632</v>
      </c>
      <c r="D379" s="8" t="s">
        <v>49</v>
      </c>
      <c r="E379" s="31" t="s">
        <v>50</v>
      </c>
      <c r="F379" s="32" t="s">
        <v>922</v>
      </c>
      <c r="G379" s="32" t="s">
        <v>923</v>
      </c>
      <c r="H379" s="18" t="s">
        <v>572</v>
      </c>
      <c r="I379" s="18" t="s">
        <v>140</v>
      </c>
      <c r="J379" s="19" t="s">
        <v>3633</v>
      </c>
      <c r="K379" s="10" t="s">
        <v>55</v>
      </c>
      <c r="L379" s="9" t="s">
        <v>922</v>
      </c>
      <c r="M379" s="9" t="s">
        <v>923</v>
      </c>
      <c r="N379" s="10" t="s">
        <v>572</v>
      </c>
      <c r="O379" s="8" t="s">
        <v>140</v>
      </c>
      <c r="P379" s="31" t="s">
        <v>56</v>
      </c>
      <c r="Q379" s="18" t="s">
        <v>3634</v>
      </c>
      <c r="R379" s="18" t="s">
        <v>177</v>
      </c>
      <c r="S379" s="18"/>
      <c r="T379" s="31" t="s">
        <v>60</v>
      </c>
      <c r="U379" s="33" t="s">
        <v>269</v>
      </c>
      <c r="V379" s="34" t="s">
        <v>269</v>
      </c>
      <c r="W379" s="13" t="s">
        <v>94</v>
      </c>
      <c r="X379" s="36">
        <v>2022</v>
      </c>
      <c r="Y379" s="35" t="s">
        <v>94</v>
      </c>
      <c r="Z379" s="35" t="s">
        <v>94</v>
      </c>
      <c r="AA379" s="35" t="s">
        <v>94</v>
      </c>
      <c r="AB379" s="35" t="s">
        <v>94</v>
      </c>
      <c r="AC379" s="35" t="s">
        <v>94</v>
      </c>
      <c r="AD379" s="40"/>
      <c r="AE379" s="39"/>
      <c r="AF379" s="31" t="s">
        <v>106</v>
      </c>
      <c r="AG379" s="37">
        <v>10000000</v>
      </c>
      <c r="AH379" s="37">
        <v>10000000</v>
      </c>
      <c r="AI379" s="37">
        <v>10718730.25</v>
      </c>
      <c r="AJ379" s="16" t="s">
        <v>76</v>
      </c>
      <c r="AK379" s="28" t="s">
        <v>94</v>
      </c>
      <c r="AL379" s="16" t="s">
        <v>94</v>
      </c>
      <c r="AM379" s="16" t="s">
        <v>94</v>
      </c>
      <c r="AN379" s="10" t="s">
        <v>64</v>
      </c>
      <c r="AO379" s="8" t="s">
        <v>150</v>
      </c>
      <c r="AP379" s="15" t="s">
        <v>151</v>
      </c>
      <c r="AQ379" s="15" t="s">
        <v>151</v>
      </c>
      <c r="AR379" s="8" t="s">
        <v>3765</v>
      </c>
      <c r="AS379" s="18" t="s">
        <v>269</v>
      </c>
      <c r="AT379" s="10" t="s">
        <v>3795</v>
      </c>
      <c r="AU379" s="98"/>
      <c r="AV379" s="20" t="s">
        <v>1126</v>
      </c>
      <c r="AW379" s="10"/>
      <c r="AX379" s="7" t="s">
        <v>3590</v>
      </c>
      <c r="AY379" s="10" t="s">
        <v>3635</v>
      </c>
      <c r="AZ379" s="10" t="s">
        <v>3636</v>
      </c>
      <c r="BA379" s="10" t="s">
        <v>3637</v>
      </c>
      <c r="BB379" s="18"/>
      <c r="BC379" s="41" t="s">
        <v>3638</v>
      </c>
    </row>
    <row r="380" spans="1:55" ht="70" customHeight="1" x14ac:dyDescent="0.2">
      <c r="A380" s="91" t="s">
        <v>4563</v>
      </c>
      <c r="B380" s="76" t="s">
        <v>3639</v>
      </c>
      <c r="C380" s="19" t="s">
        <v>3640</v>
      </c>
      <c r="D380" s="18" t="s">
        <v>192</v>
      </c>
      <c r="E380" s="31" t="s">
        <v>280</v>
      </c>
      <c r="F380" s="32" t="s">
        <v>922</v>
      </c>
      <c r="G380" s="32" t="s">
        <v>923</v>
      </c>
      <c r="H380" s="18" t="s">
        <v>572</v>
      </c>
      <c r="I380" s="18" t="s">
        <v>140</v>
      </c>
      <c r="J380" s="19" t="s">
        <v>3477</v>
      </c>
      <c r="K380" s="10" t="s">
        <v>55</v>
      </c>
      <c r="L380" s="9" t="s">
        <v>922</v>
      </c>
      <c r="M380" s="9" t="s">
        <v>923</v>
      </c>
      <c r="N380" s="10" t="s">
        <v>572</v>
      </c>
      <c r="O380" s="8" t="s">
        <v>140</v>
      </c>
      <c r="P380" s="31" t="s">
        <v>56</v>
      </c>
      <c r="Q380" s="18" t="s">
        <v>3641</v>
      </c>
      <c r="R380" s="18" t="s">
        <v>1227</v>
      </c>
      <c r="S380" s="18"/>
      <c r="T380" s="31" t="s">
        <v>60</v>
      </c>
      <c r="U380" s="34" t="s">
        <v>3479</v>
      </c>
      <c r="V380" s="34">
        <v>1838</v>
      </c>
      <c r="W380" s="13" t="s">
        <v>94</v>
      </c>
      <c r="X380" s="36">
        <v>2023</v>
      </c>
      <c r="Y380" s="13">
        <v>44927</v>
      </c>
      <c r="Z380" s="36">
        <v>2023</v>
      </c>
      <c r="AA380" s="13">
        <v>44927</v>
      </c>
      <c r="AB380" s="36">
        <v>2023</v>
      </c>
      <c r="AC380" s="40">
        <v>0</v>
      </c>
      <c r="AD380" s="40">
        <v>2023</v>
      </c>
      <c r="AE380" s="39"/>
      <c r="AF380" s="31" t="s">
        <v>106</v>
      </c>
      <c r="AG380" s="37">
        <v>27000000</v>
      </c>
      <c r="AH380" s="37">
        <v>27000000</v>
      </c>
      <c r="AI380" s="37">
        <v>27796348.559999999</v>
      </c>
      <c r="AJ380" s="16" t="s">
        <v>76</v>
      </c>
      <c r="AK380" s="37">
        <v>27000000</v>
      </c>
      <c r="AL380" s="37">
        <v>27000000</v>
      </c>
      <c r="AM380" s="37">
        <v>27796348.559999999</v>
      </c>
      <c r="AN380" s="10" t="s">
        <v>149</v>
      </c>
      <c r="AO380" s="8" t="s">
        <v>3758</v>
      </c>
      <c r="AP380" s="15" t="s">
        <v>94</v>
      </c>
      <c r="AQ380" s="15" t="s">
        <v>94</v>
      </c>
      <c r="AR380" s="8" t="s">
        <v>3773</v>
      </c>
      <c r="AS380" s="10" t="s">
        <v>3811</v>
      </c>
      <c r="AT380" s="10" t="s">
        <v>3795</v>
      </c>
      <c r="AU380" s="98" t="s">
        <v>3181</v>
      </c>
      <c r="AV380" s="20"/>
      <c r="AW380" s="10"/>
      <c r="AX380" s="7" t="s">
        <v>3642</v>
      </c>
      <c r="AY380" s="10" t="s">
        <v>3643</v>
      </c>
      <c r="AZ380" s="10" t="s">
        <v>3644</v>
      </c>
      <c r="BA380" s="10" t="s">
        <v>3645</v>
      </c>
      <c r="BB380" s="18"/>
      <c r="BC380" s="41" t="s">
        <v>3646</v>
      </c>
    </row>
    <row r="381" spans="1:55" ht="70" customHeight="1" x14ac:dyDescent="0.2">
      <c r="A381" s="91" t="s">
        <v>4564</v>
      </c>
      <c r="B381" s="76" t="s">
        <v>3647</v>
      </c>
      <c r="C381" s="19" t="s">
        <v>3648</v>
      </c>
      <c r="D381" s="31" t="s">
        <v>279</v>
      </c>
      <c r="E381" s="31" t="s">
        <v>280</v>
      </c>
      <c r="F381" s="32" t="s">
        <v>922</v>
      </c>
      <c r="G381" s="32" t="s">
        <v>923</v>
      </c>
      <c r="H381" s="18" t="s">
        <v>572</v>
      </c>
      <c r="I381" s="18" t="s">
        <v>140</v>
      </c>
      <c r="J381" s="19" t="s">
        <v>3649</v>
      </c>
      <c r="K381" s="10" t="s">
        <v>55</v>
      </c>
      <c r="L381" s="9" t="s">
        <v>941</v>
      </c>
      <c r="M381" s="9" t="s">
        <v>942</v>
      </c>
      <c r="N381" s="10" t="s">
        <v>4592</v>
      </c>
      <c r="O381" s="8" t="s">
        <v>53</v>
      </c>
      <c r="P381" s="31" t="s">
        <v>144</v>
      </c>
      <c r="Q381" s="18" t="s">
        <v>3650</v>
      </c>
      <c r="R381" s="10" t="s">
        <v>72</v>
      </c>
      <c r="S381" s="18"/>
      <c r="T381" s="31" t="s">
        <v>73</v>
      </c>
      <c r="U381" s="33">
        <v>33604</v>
      </c>
      <c r="V381" s="34">
        <v>1992</v>
      </c>
      <c r="W381" s="35">
        <v>45453</v>
      </c>
      <c r="X381" s="36">
        <v>2024</v>
      </c>
      <c r="Y381" s="35" t="s">
        <v>94</v>
      </c>
      <c r="Z381" s="35" t="s">
        <v>94</v>
      </c>
      <c r="AA381" s="35" t="s">
        <v>94</v>
      </c>
      <c r="AB381" s="35" t="s">
        <v>94</v>
      </c>
      <c r="AC381" s="35" t="s">
        <v>94</v>
      </c>
      <c r="AD381" s="40"/>
      <c r="AE381" s="39"/>
      <c r="AF381" s="31" t="s">
        <v>106</v>
      </c>
      <c r="AG381" s="37">
        <v>38300000</v>
      </c>
      <c r="AH381" s="37">
        <v>38300000</v>
      </c>
      <c r="AI381" s="37">
        <v>38300000</v>
      </c>
      <c r="AJ381" s="16" t="s">
        <v>76</v>
      </c>
      <c r="AK381" s="38" t="s">
        <v>94</v>
      </c>
      <c r="AL381" s="37" t="s">
        <v>94</v>
      </c>
      <c r="AM381" s="37" t="s">
        <v>94</v>
      </c>
      <c r="AN381" s="10" t="s">
        <v>64</v>
      </c>
      <c r="AO381" s="8" t="s">
        <v>3758</v>
      </c>
      <c r="AP381" s="15">
        <v>8</v>
      </c>
      <c r="AQ381" s="15" t="s">
        <v>94</v>
      </c>
      <c r="AR381" s="8" t="s">
        <v>3762</v>
      </c>
      <c r="AS381" s="10" t="s">
        <v>3781</v>
      </c>
      <c r="AT381" s="10" t="s">
        <v>3795</v>
      </c>
      <c r="AU381" s="98"/>
      <c r="AV381" s="20"/>
      <c r="AW381" s="10"/>
      <c r="AX381" s="7" t="s">
        <v>4079</v>
      </c>
      <c r="AY381" s="10" t="s">
        <v>3651</v>
      </c>
      <c r="AZ381" s="10" t="s">
        <v>3652</v>
      </c>
      <c r="BA381" s="10" t="s">
        <v>3653</v>
      </c>
      <c r="BB381" s="18"/>
      <c r="BC381" s="41" t="s">
        <v>3654</v>
      </c>
    </row>
    <row r="382" spans="1:55" ht="70" customHeight="1" x14ac:dyDescent="0.2">
      <c r="A382" s="91" t="s">
        <v>4565</v>
      </c>
      <c r="B382" s="76" t="s">
        <v>3655</v>
      </c>
      <c r="C382" s="19" t="s">
        <v>3656</v>
      </c>
      <c r="D382" s="8" t="s">
        <v>49</v>
      </c>
      <c r="E382" s="31" t="s">
        <v>50</v>
      </c>
      <c r="F382" s="32" t="s">
        <v>922</v>
      </c>
      <c r="G382" s="32" t="s">
        <v>923</v>
      </c>
      <c r="H382" s="18" t="s">
        <v>572</v>
      </c>
      <c r="I382" s="18" t="s">
        <v>140</v>
      </c>
      <c r="J382" s="19" t="s">
        <v>269</v>
      </c>
      <c r="K382" s="19" t="s">
        <v>269</v>
      </c>
      <c r="L382" s="9" t="s">
        <v>922</v>
      </c>
      <c r="M382" s="9" t="s">
        <v>923</v>
      </c>
      <c r="N382" s="10" t="s">
        <v>572</v>
      </c>
      <c r="O382" s="8" t="s">
        <v>140</v>
      </c>
      <c r="P382" s="31" t="s">
        <v>56</v>
      </c>
      <c r="Q382" s="18" t="s">
        <v>3657</v>
      </c>
      <c r="R382" s="18" t="s">
        <v>177</v>
      </c>
      <c r="S382" s="18"/>
      <c r="T382" s="31" t="s">
        <v>60</v>
      </c>
      <c r="U382" s="33" t="s">
        <v>269</v>
      </c>
      <c r="V382" s="34" t="s">
        <v>269</v>
      </c>
      <c r="W382" s="35">
        <v>45461</v>
      </c>
      <c r="X382" s="36">
        <v>2024</v>
      </c>
      <c r="Y382" s="35" t="s">
        <v>94</v>
      </c>
      <c r="Z382" s="35" t="s">
        <v>94</v>
      </c>
      <c r="AA382" s="35" t="s">
        <v>94</v>
      </c>
      <c r="AB382" s="35" t="s">
        <v>94</v>
      </c>
      <c r="AC382" s="35" t="s">
        <v>94</v>
      </c>
      <c r="AD382" s="40"/>
      <c r="AE382" s="39"/>
      <c r="AF382" s="31" t="s">
        <v>106</v>
      </c>
      <c r="AG382" s="37">
        <v>12000000</v>
      </c>
      <c r="AH382" s="37">
        <v>12000000</v>
      </c>
      <c r="AI382" s="37">
        <v>12000000</v>
      </c>
      <c r="AJ382" s="16" t="s">
        <v>76</v>
      </c>
      <c r="AK382" s="38" t="s">
        <v>94</v>
      </c>
      <c r="AL382" s="37" t="s">
        <v>94</v>
      </c>
      <c r="AM382" s="37" t="s">
        <v>94</v>
      </c>
      <c r="AN382" s="10" t="s">
        <v>149</v>
      </c>
      <c r="AO382" s="8" t="s">
        <v>150</v>
      </c>
      <c r="AP382" s="15" t="s">
        <v>151</v>
      </c>
      <c r="AQ382" s="15" t="s">
        <v>151</v>
      </c>
      <c r="AR382" s="8" t="s">
        <v>3765</v>
      </c>
      <c r="AS382" s="18" t="s">
        <v>269</v>
      </c>
      <c r="AT382" s="10" t="s">
        <v>3795</v>
      </c>
      <c r="AU382" s="98" t="s">
        <v>2992</v>
      </c>
      <c r="AV382" s="20"/>
      <c r="AW382" s="10"/>
      <c r="AX382" s="7" t="s">
        <v>3658</v>
      </c>
      <c r="AY382" s="10" t="s">
        <v>3659</v>
      </c>
      <c r="AZ382" s="10" t="s">
        <v>3660</v>
      </c>
      <c r="BA382" s="10" t="s">
        <v>3661</v>
      </c>
      <c r="BB382" s="18"/>
      <c r="BC382" s="41" t="s">
        <v>3662</v>
      </c>
    </row>
    <row r="383" spans="1:55" ht="70" customHeight="1" x14ac:dyDescent="0.2">
      <c r="A383" s="91" t="s">
        <v>4566</v>
      </c>
      <c r="B383" s="76" t="s">
        <v>3663</v>
      </c>
      <c r="C383" s="19" t="s">
        <v>3664</v>
      </c>
      <c r="D383" s="8" t="s">
        <v>49</v>
      </c>
      <c r="E383" s="31" t="s">
        <v>50</v>
      </c>
      <c r="F383" s="32" t="s">
        <v>922</v>
      </c>
      <c r="G383" s="32" t="s">
        <v>923</v>
      </c>
      <c r="H383" s="18" t="s">
        <v>572</v>
      </c>
      <c r="I383" s="18" t="s">
        <v>140</v>
      </c>
      <c r="J383" s="19" t="s">
        <v>3665</v>
      </c>
      <c r="K383" s="10" t="s">
        <v>55</v>
      </c>
      <c r="L383" s="9" t="s">
        <v>922</v>
      </c>
      <c r="M383" s="9" t="s">
        <v>923</v>
      </c>
      <c r="N383" s="10" t="s">
        <v>572</v>
      </c>
      <c r="O383" s="8" t="s">
        <v>140</v>
      </c>
      <c r="P383" s="31" t="s">
        <v>56</v>
      </c>
      <c r="Q383" s="18" t="s">
        <v>3666</v>
      </c>
      <c r="R383" s="18" t="s">
        <v>58</v>
      </c>
      <c r="S383" s="18" t="s">
        <v>59</v>
      </c>
      <c r="T383" s="31" t="s">
        <v>73</v>
      </c>
      <c r="U383" s="33">
        <v>23743</v>
      </c>
      <c r="V383" s="34">
        <v>1965</v>
      </c>
      <c r="W383" s="35">
        <v>45610</v>
      </c>
      <c r="X383" s="36">
        <v>2024</v>
      </c>
      <c r="Y383" s="13">
        <v>45292</v>
      </c>
      <c r="Z383" s="36">
        <v>2024</v>
      </c>
      <c r="AA383" s="13">
        <v>45292</v>
      </c>
      <c r="AB383" s="36">
        <v>2024</v>
      </c>
      <c r="AC383" s="40">
        <v>0</v>
      </c>
      <c r="AD383" s="40">
        <v>2024</v>
      </c>
      <c r="AE383" s="39"/>
      <c r="AF383" s="31" t="s">
        <v>106</v>
      </c>
      <c r="AG383" s="37">
        <v>5900000</v>
      </c>
      <c r="AH383" s="37">
        <v>5900000</v>
      </c>
      <c r="AI383" s="37">
        <v>5900000</v>
      </c>
      <c r="AJ383" s="16" t="s">
        <v>76</v>
      </c>
      <c r="AK383" s="38">
        <v>5900000</v>
      </c>
      <c r="AL383" s="37">
        <v>5900000</v>
      </c>
      <c r="AM383" s="37">
        <v>5900000</v>
      </c>
      <c r="AN383" s="54" t="s">
        <v>3755</v>
      </c>
      <c r="AO383" s="8" t="s">
        <v>3757</v>
      </c>
      <c r="AP383" s="43">
        <v>1200</v>
      </c>
      <c r="AQ383" s="43">
        <v>1200</v>
      </c>
      <c r="AR383" s="8" t="s">
        <v>3769</v>
      </c>
      <c r="AS383" s="10" t="s">
        <v>3783</v>
      </c>
      <c r="AT383" s="10" t="s">
        <v>3795</v>
      </c>
      <c r="AU383" s="98" t="s">
        <v>2992</v>
      </c>
      <c r="AV383" s="20" t="s">
        <v>1126</v>
      </c>
      <c r="AW383" s="10"/>
      <c r="AX383" s="7" t="s">
        <v>4080</v>
      </c>
      <c r="AY383" s="10" t="s">
        <v>3667</v>
      </c>
      <c r="AZ383" s="10" t="s">
        <v>3668</v>
      </c>
      <c r="BA383" s="10" t="s">
        <v>3669</v>
      </c>
      <c r="BB383" s="18" t="s">
        <v>3670</v>
      </c>
      <c r="BC383" s="41" t="s">
        <v>3671</v>
      </c>
    </row>
    <row r="384" spans="1:55" ht="70" customHeight="1" x14ac:dyDescent="0.2">
      <c r="A384" s="91" t="s">
        <v>4567</v>
      </c>
      <c r="B384" s="76" t="s">
        <v>3672</v>
      </c>
      <c r="C384" s="19" t="s">
        <v>3673</v>
      </c>
      <c r="D384" s="8" t="s">
        <v>49</v>
      </c>
      <c r="E384" s="31" t="s">
        <v>50</v>
      </c>
      <c r="F384" s="32" t="s">
        <v>922</v>
      </c>
      <c r="G384" s="32" t="s">
        <v>923</v>
      </c>
      <c r="H384" s="18" t="s">
        <v>572</v>
      </c>
      <c r="I384" s="18" t="s">
        <v>140</v>
      </c>
      <c r="J384" s="19" t="s">
        <v>3674</v>
      </c>
      <c r="K384" s="10" t="s">
        <v>55</v>
      </c>
      <c r="L384" s="30" t="s">
        <v>2042</v>
      </c>
      <c r="M384" s="30" t="s">
        <v>537</v>
      </c>
      <c r="N384" s="30" t="s">
        <v>4185</v>
      </c>
      <c r="O384" s="30" t="s">
        <v>4185</v>
      </c>
      <c r="P384" s="31" t="s">
        <v>56</v>
      </c>
      <c r="Q384" s="18" t="s">
        <v>3675</v>
      </c>
      <c r="R384" s="10" t="s">
        <v>72</v>
      </c>
      <c r="S384" s="18"/>
      <c r="T384" s="31" t="s">
        <v>60</v>
      </c>
      <c r="U384" s="33">
        <v>35521</v>
      </c>
      <c r="V384" s="34">
        <v>1997</v>
      </c>
      <c r="W384" s="35">
        <v>45649</v>
      </c>
      <c r="X384" s="36">
        <v>2024</v>
      </c>
      <c r="Y384" s="35" t="s">
        <v>94</v>
      </c>
      <c r="Z384" s="35" t="s">
        <v>94</v>
      </c>
      <c r="AA384" s="35" t="s">
        <v>94</v>
      </c>
      <c r="AB384" s="35" t="s">
        <v>94</v>
      </c>
      <c r="AC384" s="35" t="s">
        <v>94</v>
      </c>
      <c r="AD384" s="40"/>
      <c r="AE384" s="39"/>
      <c r="AF384" s="31" t="s">
        <v>106</v>
      </c>
      <c r="AG384" s="37">
        <v>92500000</v>
      </c>
      <c r="AH384" s="37">
        <v>92500000</v>
      </c>
      <c r="AI384" s="37">
        <v>92500000</v>
      </c>
      <c r="AJ384" s="16" t="s">
        <v>76</v>
      </c>
      <c r="AK384" s="37" t="s">
        <v>94</v>
      </c>
      <c r="AL384" s="37" t="s">
        <v>94</v>
      </c>
      <c r="AM384" s="37" t="s">
        <v>94</v>
      </c>
      <c r="AN384" s="10" t="s">
        <v>64</v>
      </c>
      <c r="AO384" s="8" t="s">
        <v>3757</v>
      </c>
      <c r="AP384" s="43">
        <v>20000</v>
      </c>
      <c r="AQ384" s="15" t="s">
        <v>94</v>
      </c>
      <c r="AR384" s="8" t="s">
        <v>3764</v>
      </c>
      <c r="AS384" s="10" t="s">
        <v>3781</v>
      </c>
      <c r="AT384" s="10" t="s">
        <v>3795</v>
      </c>
      <c r="AU384" s="98"/>
      <c r="AV384" s="20"/>
      <c r="AW384" s="10"/>
      <c r="AX384" s="7" t="s">
        <v>3676</v>
      </c>
      <c r="AY384" s="10" t="s">
        <v>3677</v>
      </c>
      <c r="AZ384" s="10" t="s">
        <v>3678</v>
      </c>
      <c r="BA384" s="10" t="s">
        <v>3679</v>
      </c>
      <c r="BB384" s="18"/>
      <c r="BC384" s="41" t="s">
        <v>3680</v>
      </c>
    </row>
    <row r="385" spans="1:55" ht="70" customHeight="1" x14ac:dyDescent="0.2">
      <c r="A385" s="91" t="s">
        <v>4568</v>
      </c>
      <c r="B385" s="76" t="s">
        <v>3681</v>
      </c>
      <c r="C385" s="19" t="s">
        <v>3682</v>
      </c>
      <c r="D385" s="8" t="s">
        <v>49</v>
      </c>
      <c r="E385" s="31" t="s">
        <v>50</v>
      </c>
      <c r="F385" s="32" t="s">
        <v>3683</v>
      </c>
      <c r="G385" s="32" t="s">
        <v>3684</v>
      </c>
      <c r="H385" s="10" t="s">
        <v>4155</v>
      </c>
      <c r="I385" s="18" t="s">
        <v>140</v>
      </c>
      <c r="J385" s="19" t="s">
        <v>3685</v>
      </c>
      <c r="K385" s="10" t="s">
        <v>55</v>
      </c>
      <c r="L385" s="9" t="s">
        <v>3683</v>
      </c>
      <c r="M385" s="9" t="s">
        <v>3684</v>
      </c>
      <c r="N385" s="10" t="s">
        <v>4592</v>
      </c>
      <c r="O385" s="8" t="s">
        <v>140</v>
      </c>
      <c r="P385" s="31" t="s">
        <v>56</v>
      </c>
      <c r="Q385" s="18" t="s">
        <v>3686</v>
      </c>
      <c r="R385" s="10" t="s">
        <v>72</v>
      </c>
      <c r="S385" s="10"/>
      <c r="T385" s="31" t="s">
        <v>73</v>
      </c>
      <c r="U385" s="33">
        <v>25002</v>
      </c>
      <c r="V385" s="34">
        <v>1968</v>
      </c>
      <c r="W385" s="35">
        <v>40074</v>
      </c>
      <c r="X385" s="36">
        <v>2009</v>
      </c>
      <c r="Y385" s="35">
        <v>40105</v>
      </c>
      <c r="Z385" s="40">
        <v>2009</v>
      </c>
      <c r="AA385" s="35" t="s">
        <v>94</v>
      </c>
      <c r="AB385" s="35" t="s">
        <v>94</v>
      </c>
      <c r="AC385" s="35" t="s">
        <v>94</v>
      </c>
      <c r="AD385" s="40"/>
      <c r="AE385" s="39"/>
      <c r="AF385" s="31" t="s">
        <v>106</v>
      </c>
      <c r="AG385" s="38">
        <v>8000000</v>
      </c>
      <c r="AH385" s="37">
        <v>8000000</v>
      </c>
      <c r="AI385" s="37">
        <v>11697338.92</v>
      </c>
      <c r="AJ385" s="16" t="s">
        <v>76</v>
      </c>
      <c r="AK385" s="38" t="s">
        <v>94</v>
      </c>
      <c r="AL385" s="37" t="s">
        <v>94</v>
      </c>
      <c r="AM385" s="37" t="s">
        <v>94</v>
      </c>
      <c r="AN385" s="10" t="s">
        <v>64</v>
      </c>
      <c r="AO385" s="8" t="s">
        <v>3757</v>
      </c>
      <c r="AP385" s="15">
        <v>366</v>
      </c>
      <c r="AQ385" s="15" t="s">
        <v>94</v>
      </c>
      <c r="AR385" s="8" t="s">
        <v>3765</v>
      </c>
      <c r="AS385" s="18" t="s">
        <v>269</v>
      </c>
      <c r="AT385" s="10" t="s">
        <v>3795</v>
      </c>
      <c r="AU385" s="98"/>
      <c r="AV385" s="20" t="s">
        <v>3940</v>
      </c>
      <c r="AW385" s="10"/>
      <c r="AX385" s="7"/>
      <c r="AY385" s="10"/>
      <c r="AZ385" s="10"/>
      <c r="BA385" s="10" t="s">
        <v>3687</v>
      </c>
      <c r="BB385" s="18" t="s">
        <v>3688</v>
      </c>
      <c r="BC385" s="41" t="s">
        <v>3689</v>
      </c>
    </row>
    <row r="386" spans="1:55" ht="70" customHeight="1" x14ac:dyDescent="0.2">
      <c r="A386" s="91" t="s">
        <v>4569</v>
      </c>
      <c r="B386" s="76" t="s">
        <v>3690</v>
      </c>
      <c r="C386" s="19" t="s">
        <v>3691</v>
      </c>
      <c r="D386" s="8" t="s">
        <v>49</v>
      </c>
      <c r="E386" s="31" t="s">
        <v>50</v>
      </c>
      <c r="F386" s="32" t="s">
        <v>4585</v>
      </c>
      <c r="G386" s="32" t="s">
        <v>3692</v>
      </c>
      <c r="H386" s="10" t="s">
        <v>4155</v>
      </c>
      <c r="I386" s="10" t="s">
        <v>4185</v>
      </c>
      <c r="J386" s="19" t="s">
        <v>3693</v>
      </c>
      <c r="K386" s="10" t="s">
        <v>279</v>
      </c>
      <c r="L386" s="9" t="s">
        <v>570</v>
      </c>
      <c r="M386" s="9" t="s">
        <v>571</v>
      </c>
      <c r="N386" s="10" t="s">
        <v>572</v>
      </c>
      <c r="O386" s="8" t="s">
        <v>140</v>
      </c>
      <c r="P386" s="31" t="s">
        <v>144</v>
      </c>
      <c r="Q386" s="18" t="s">
        <v>3694</v>
      </c>
      <c r="R386" s="18" t="s">
        <v>59</v>
      </c>
      <c r="S386" s="18"/>
      <c r="T386" s="31" t="s">
        <v>60</v>
      </c>
      <c r="U386" s="33">
        <v>37257</v>
      </c>
      <c r="V386" s="34">
        <v>2002</v>
      </c>
      <c r="W386" s="35">
        <v>42464</v>
      </c>
      <c r="X386" s="36">
        <v>2016</v>
      </c>
      <c r="Y386" s="28" t="s">
        <v>384</v>
      </c>
      <c r="Z386" s="28" t="s">
        <v>384</v>
      </c>
      <c r="AA386" s="28" t="s">
        <v>384</v>
      </c>
      <c r="AB386" s="28" t="s">
        <v>384</v>
      </c>
      <c r="AC386" s="35" t="s">
        <v>94</v>
      </c>
      <c r="AD386" s="40"/>
      <c r="AE386" s="39"/>
      <c r="AF386" s="31" t="s">
        <v>106</v>
      </c>
      <c r="AG386" s="37">
        <v>1202000000</v>
      </c>
      <c r="AH386" s="37">
        <v>1202000000</v>
      </c>
      <c r="AI386" s="37">
        <v>1571013253.78</v>
      </c>
      <c r="AJ386" s="16" t="s">
        <v>76</v>
      </c>
      <c r="AK386" s="28" t="s">
        <v>384</v>
      </c>
      <c r="AL386" s="28" t="s">
        <v>384</v>
      </c>
      <c r="AM386" s="28" t="s">
        <v>384</v>
      </c>
      <c r="AN386" s="10" t="s">
        <v>149</v>
      </c>
      <c r="AO386" s="8" t="s">
        <v>3756</v>
      </c>
      <c r="AP386" s="15" t="s">
        <v>151</v>
      </c>
      <c r="AQ386" s="15" t="s">
        <v>151</v>
      </c>
      <c r="AR386" s="8" t="s">
        <v>3764</v>
      </c>
      <c r="AS386" s="10" t="s">
        <v>3781</v>
      </c>
      <c r="AT386" s="10" t="s">
        <v>2746</v>
      </c>
      <c r="AU386" s="98"/>
      <c r="AV386" s="20"/>
      <c r="AW386" s="10"/>
      <c r="AX386" s="7" t="s">
        <v>3695</v>
      </c>
      <c r="AY386" s="10" t="s">
        <v>3696</v>
      </c>
      <c r="AZ386" s="10" t="s">
        <v>3697</v>
      </c>
      <c r="BA386" s="10" t="s">
        <v>3698</v>
      </c>
      <c r="BB386" s="18" t="s">
        <v>4149</v>
      </c>
      <c r="BC386" s="41" t="s">
        <v>3699</v>
      </c>
    </row>
    <row r="387" spans="1:55" ht="70" customHeight="1" x14ac:dyDescent="0.2">
      <c r="A387" s="91" t="s">
        <v>4570</v>
      </c>
      <c r="B387" s="76" t="s">
        <v>3700</v>
      </c>
      <c r="C387" s="19" t="s">
        <v>3691</v>
      </c>
      <c r="D387" s="8" t="s">
        <v>49</v>
      </c>
      <c r="E387" s="31" t="s">
        <v>50</v>
      </c>
      <c r="F387" s="32" t="s">
        <v>4585</v>
      </c>
      <c r="G387" s="32" t="s">
        <v>3692</v>
      </c>
      <c r="H387" s="10" t="s">
        <v>4155</v>
      </c>
      <c r="I387" s="10" t="s">
        <v>4185</v>
      </c>
      <c r="J387" s="19" t="s">
        <v>3701</v>
      </c>
      <c r="K387" s="10" t="s">
        <v>279</v>
      </c>
      <c r="L387" s="9" t="s">
        <v>922</v>
      </c>
      <c r="M387" s="9" t="s">
        <v>923</v>
      </c>
      <c r="N387" s="10" t="s">
        <v>572</v>
      </c>
      <c r="O387" s="8" t="s">
        <v>140</v>
      </c>
      <c r="P387" s="31" t="s">
        <v>144</v>
      </c>
      <c r="Q387" s="18" t="s">
        <v>3702</v>
      </c>
      <c r="R387" s="18" t="s">
        <v>59</v>
      </c>
      <c r="S387" s="18"/>
      <c r="T387" s="31" t="s">
        <v>60</v>
      </c>
      <c r="U387" s="33">
        <v>39083</v>
      </c>
      <c r="V387" s="34">
        <v>2007</v>
      </c>
      <c r="W387" s="35">
        <v>43532</v>
      </c>
      <c r="X387" s="36">
        <v>2019</v>
      </c>
      <c r="Y387" s="28" t="s">
        <v>384</v>
      </c>
      <c r="Z387" s="28" t="s">
        <v>384</v>
      </c>
      <c r="AA387" s="28" t="s">
        <v>384</v>
      </c>
      <c r="AB387" s="28" t="s">
        <v>384</v>
      </c>
      <c r="AC387" s="35" t="s">
        <v>94</v>
      </c>
      <c r="AD387" s="40"/>
      <c r="AE387" s="39"/>
      <c r="AF387" s="31" t="s">
        <v>106</v>
      </c>
      <c r="AG387" s="37">
        <v>8700000000</v>
      </c>
      <c r="AH387" s="37">
        <v>8700000000</v>
      </c>
      <c r="AI387" s="37">
        <v>10674827209.889999</v>
      </c>
      <c r="AJ387" s="16" t="s">
        <v>76</v>
      </c>
      <c r="AK387" s="28" t="s">
        <v>384</v>
      </c>
      <c r="AL387" s="28" t="s">
        <v>384</v>
      </c>
      <c r="AM387" s="28" t="s">
        <v>384</v>
      </c>
      <c r="AN387" s="10" t="s">
        <v>149</v>
      </c>
      <c r="AO387" s="8" t="s">
        <v>3756</v>
      </c>
      <c r="AP387" s="15" t="s">
        <v>151</v>
      </c>
      <c r="AQ387" s="15" t="s">
        <v>151</v>
      </c>
      <c r="AR387" s="8" t="s">
        <v>3764</v>
      </c>
      <c r="AS387" s="10" t="s">
        <v>3781</v>
      </c>
      <c r="AT387" s="10" t="s">
        <v>2746</v>
      </c>
      <c r="AU387" s="98"/>
      <c r="AV387" s="20"/>
      <c r="AW387" s="10"/>
      <c r="AX387" s="7" t="s">
        <v>3703</v>
      </c>
      <c r="AY387" s="10" t="s">
        <v>3704</v>
      </c>
      <c r="AZ387" s="10" t="s">
        <v>3705</v>
      </c>
      <c r="BA387" s="10" t="s">
        <v>3706</v>
      </c>
      <c r="BB387" s="18" t="s">
        <v>4149</v>
      </c>
      <c r="BC387" s="41" t="s">
        <v>3707</v>
      </c>
    </row>
    <row r="388" spans="1:55" ht="72" customHeight="1" x14ac:dyDescent="0.2">
      <c r="A388" s="88" t="s">
        <v>4571</v>
      </c>
      <c r="B388" s="6" t="s">
        <v>3708</v>
      </c>
      <c r="C388" s="7" t="s">
        <v>3709</v>
      </c>
      <c r="D388" s="8" t="s">
        <v>453</v>
      </c>
      <c r="E388" s="31" t="s">
        <v>280</v>
      </c>
      <c r="F388" s="9" t="s">
        <v>4586</v>
      </c>
      <c r="G388" s="9" t="s">
        <v>3710</v>
      </c>
      <c r="H388" s="10" t="s">
        <v>4156</v>
      </c>
      <c r="I388" s="18" t="s">
        <v>381</v>
      </c>
      <c r="J388" s="7" t="s">
        <v>3711</v>
      </c>
      <c r="K388" s="10" t="s">
        <v>55</v>
      </c>
      <c r="L388" s="9" t="s">
        <v>4586</v>
      </c>
      <c r="M388" s="9" t="s">
        <v>3710</v>
      </c>
      <c r="N388" s="10" t="s">
        <v>4156</v>
      </c>
      <c r="O388" s="8" t="s">
        <v>381</v>
      </c>
      <c r="P388" s="31" t="s">
        <v>56</v>
      </c>
      <c r="Q388" s="10" t="s">
        <v>3712</v>
      </c>
      <c r="R388" s="10" t="s">
        <v>72</v>
      </c>
      <c r="S388" s="10"/>
      <c r="T388" s="31" t="s">
        <v>73</v>
      </c>
      <c r="U388" s="11" t="s">
        <v>269</v>
      </c>
      <c r="V388" s="12" t="s">
        <v>269</v>
      </c>
      <c r="W388" s="13">
        <v>43562</v>
      </c>
      <c r="X388" s="14">
        <v>2019</v>
      </c>
      <c r="Y388" s="35" t="s">
        <v>94</v>
      </c>
      <c r="Z388" s="35" t="s">
        <v>94</v>
      </c>
      <c r="AA388" s="35" t="s">
        <v>94</v>
      </c>
      <c r="AB388" s="35" t="s">
        <v>94</v>
      </c>
      <c r="AC388" s="35" t="s">
        <v>94</v>
      </c>
      <c r="AD388" s="40"/>
      <c r="AE388" s="27"/>
      <c r="AF388" s="8" t="s">
        <v>3713</v>
      </c>
      <c r="AG388" s="37">
        <v>110000000</v>
      </c>
      <c r="AH388" s="16">
        <v>225997.56</v>
      </c>
      <c r="AI388" s="16">
        <v>277297.12</v>
      </c>
      <c r="AJ388" s="16" t="s">
        <v>76</v>
      </c>
      <c r="AK388" s="38" t="s">
        <v>94</v>
      </c>
      <c r="AL388" s="37" t="s">
        <v>94</v>
      </c>
      <c r="AM388" s="37" t="s">
        <v>94</v>
      </c>
      <c r="AN388" s="10" t="s">
        <v>64</v>
      </c>
      <c r="AO388" s="8" t="s">
        <v>3758</v>
      </c>
      <c r="AP388" s="15">
        <v>11</v>
      </c>
      <c r="AQ388" s="15" t="s">
        <v>94</v>
      </c>
      <c r="AR388" s="8" t="s">
        <v>3770</v>
      </c>
      <c r="AS388" s="10" t="s">
        <v>3781</v>
      </c>
      <c r="AT388" s="10" t="s">
        <v>3795</v>
      </c>
      <c r="AU388" s="98"/>
      <c r="AV388" s="17" t="s">
        <v>3714</v>
      </c>
      <c r="AW388" s="10" t="s">
        <v>3715</v>
      </c>
      <c r="AX388" s="10" t="s">
        <v>1366</v>
      </c>
      <c r="AY388" s="10" t="s">
        <v>3716</v>
      </c>
      <c r="AZ388" s="10" t="s">
        <v>3717</v>
      </c>
      <c r="BA388" s="10" t="s">
        <v>3718</v>
      </c>
      <c r="BB388" s="18" t="s">
        <v>3719</v>
      </c>
      <c r="BC388" s="41" t="s">
        <v>3720</v>
      </c>
    </row>
    <row r="389" spans="1:55" ht="79" customHeight="1" x14ac:dyDescent="0.2">
      <c r="A389" s="88" t="s">
        <v>4572</v>
      </c>
      <c r="B389" s="6" t="s">
        <v>3721</v>
      </c>
      <c r="C389" s="7" t="s">
        <v>3722</v>
      </c>
      <c r="D389" s="8" t="s">
        <v>49</v>
      </c>
      <c r="E389" s="31" t="s">
        <v>50</v>
      </c>
      <c r="F389" s="9" t="s">
        <v>3723</v>
      </c>
      <c r="G389" s="9" t="s">
        <v>3724</v>
      </c>
      <c r="H389" s="10" t="s">
        <v>380</v>
      </c>
      <c r="I389" s="18" t="s">
        <v>103</v>
      </c>
      <c r="J389" s="7" t="s">
        <v>3725</v>
      </c>
      <c r="K389" s="10" t="s">
        <v>55</v>
      </c>
      <c r="L389" s="9" t="s">
        <v>3723</v>
      </c>
      <c r="M389" s="9" t="s">
        <v>3724</v>
      </c>
      <c r="N389" s="10" t="s">
        <v>380</v>
      </c>
      <c r="O389" s="8" t="s">
        <v>103</v>
      </c>
      <c r="P389" s="31" t="s">
        <v>56</v>
      </c>
      <c r="Q389" s="10" t="s">
        <v>3726</v>
      </c>
      <c r="R389" s="10" t="s">
        <v>72</v>
      </c>
      <c r="S389" s="10"/>
      <c r="T389" s="31" t="s">
        <v>73</v>
      </c>
      <c r="U389" s="33">
        <v>22647</v>
      </c>
      <c r="V389" s="12">
        <v>1962</v>
      </c>
      <c r="W389" s="13">
        <v>29539</v>
      </c>
      <c r="X389" s="14">
        <v>1980</v>
      </c>
      <c r="Y389" s="13">
        <v>33239</v>
      </c>
      <c r="Z389" s="14">
        <v>1991</v>
      </c>
      <c r="AA389" s="13">
        <v>35431</v>
      </c>
      <c r="AB389" s="14">
        <v>1997</v>
      </c>
      <c r="AC389" s="15">
        <v>6</v>
      </c>
      <c r="AD389" s="15">
        <v>1997</v>
      </c>
      <c r="AE389" s="27" t="s">
        <v>3727</v>
      </c>
      <c r="AF389" s="8" t="s">
        <v>3728</v>
      </c>
      <c r="AG389" s="16">
        <v>1500000000</v>
      </c>
      <c r="AH389" s="16" t="s">
        <v>94</v>
      </c>
      <c r="AI389" s="16" t="s">
        <v>94</v>
      </c>
      <c r="AJ389" s="16" t="s">
        <v>63</v>
      </c>
      <c r="AK389" s="16">
        <v>1500000000</v>
      </c>
      <c r="AL389" s="16" t="s">
        <v>94</v>
      </c>
      <c r="AM389" s="16" t="s">
        <v>94</v>
      </c>
      <c r="AN389" s="10" t="s">
        <v>64</v>
      </c>
      <c r="AO389" s="8" t="s">
        <v>3757</v>
      </c>
      <c r="AP389" s="43">
        <v>52400</v>
      </c>
      <c r="AQ389" s="43">
        <v>50000</v>
      </c>
      <c r="AR389" s="8" t="s">
        <v>3765</v>
      </c>
      <c r="AS389" s="10" t="s">
        <v>3818</v>
      </c>
      <c r="AT389" s="10" t="s">
        <v>3795</v>
      </c>
      <c r="AU389" s="98"/>
      <c r="AV389" s="17" t="s">
        <v>3729</v>
      </c>
      <c r="AW389" s="10" t="s">
        <v>3730</v>
      </c>
      <c r="AX389" s="7" t="s">
        <v>4081</v>
      </c>
      <c r="AY389" s="10" t="s">
        <v>3731</v>
      </c>
      <c r="AZ389" s="10" t="s">
        <v>3732</v>
      </c>
      <c r="BA389" s="10" t="s">
        <v>3733</v>
      </c>
      <c r="BB389" s="18" t="s">
        <v>3734</v>
      </c>
      <c r="BC389" s="41" t="s">
        <v>3735</v>
      </c>
    </row>
    <row r="390" spans="1:55" ht="83" customHeight="1" x14ac:dyDescent="0.2">
      <c r="A390" s="88" t="s">
        <v>4573</v>
      </c>
      <c r="B390" s="6" t="s">
        <v>3736</v>
      </c>
      <c r="C390" s="7" t="s">
        <v>3722</v>
      </c>
      <c r="D390" s="8" t="s">
        <v>49</v>
      </c>
      <c r="E390" s="31" t="s">
        <v>50</v>
      </c>
      <c r="F390" s="9" t="s">
        <v>3723</v>
      </c>
      <c r="G390" s="9" t="s">
        <v>3724</v>
      </c>
      <c r="H390" s="10" t="s">
        <v>380</v>
      </c>
      <c r="I390" s="18" t="s">
        <v>103</v>
      </c>
      <c r="J390" s="7" t="s">
        <v>3737</v>
      </c>
      <c r="K390" s="10" t="s">
        <v>55</v>
      </c>
      <c r="L390" s="9" t="s">
        <v>3723</v>
      </c>
      <c r="M390" s="9" t="s">
        <v>3724</v>
      </c>
      <c r="N390" s="10" t="s">
        <v>380</v>
      </c>
      <c r="O390" s="8" t="s">
        <v>103</v>
      </c>
      <c r="P390" s="31" t="s">
        <v>56</v>
      </c>
      <c r="Q390" s="10" t="s">
        <v>3738</v>
      </c>
      <c r="R390" s="10" t="s">
        <v>58</v>
      </c>
      <c r="S390" s="18" t="s">
        <v>59</v>
      </c>
      <c r="T390" s="31" t="s">
        <v>60</v>
      </c>
      <c r="U390" s="33">
        <v>42005</v>
      </c>
      <c r="V390" s="12">
        <v>2015</v>
      </c>
      <c r="W390" s="13">
        <v>43160</v>
      </c>
      <c r="X390" s="14">
        <v>2018</v>
      </c>
      <c r="Y390" s="13" t="s">
        <v>94</v>
      </c>
      <c r="Z390" s="13" t="s">
        <v>94</v>
      </c>
      <c r="AA390" s="13" t="s">
        <v>94</v>
      </c>
      <c r="AB390" s="13" t="s">
        <v>94</v>
      </c>
      <c r="AC390" s="13" t="s">
        <v>94</v>
      </c>
      <c r="AD390" s="40"/>
      <c r="AE390" s="27"/>
      <c r="AF390" s="8" t="s">
        <v>106</v>
      </c>
      <c r="AG390" s="16">
        <v>420000</v>
      </c>
      <c r="AH390" s="16">
        <v>420000</v>
      </c>
      <c r="AI390" s="16">
        <v>524674.26</v>
      </c>
      <c r="AJ390" s="16" t="s">
        <v>76</v>
      </c>
      <c r="AK390" s="28" t="s">
        <v>94</v>
      </c>
      <c r="AL390" s="16" t="s">
        <v>94</v>
      </c>
      <c r="AM390" s="16" t="s">
        <v>94</v>
      </c>
      <c r="AN390" s="10" t="s">
        <v>64</v>
      </c>
      <c r="AO390" s="8" t="s">
        <v>3756</v>
      </c>
      <c r="AP390" s="15">
        <v>14</v>
      </c>
      <c r="AQ390" s="15" t="s">
        <v>94</v>
      </c>
      <c r="AR390" s="8" t="s">
        <v>3762</v>
      </c>
      <c r="AS390" s="10" t="s">
        <v>3781</v>
      </c>
      <c r="AT390" s="10" t="s">
        <v>3795</v>
      </c>
      <c r="AU390" s="98"/>
      <c r="AV390" s="17"/>
      <c r="AW390" s="10"/>
      <c r="AX390" s="7" t="s">
        <v>4082</v>
      </c>
      <c r="AY390" s="10" t="s">
        <v>3739</v>
      </c>
      <c r="AZ390" s="10" t="s">
        <v>3740</v>
      </c>
      <c r="BA390" s="10" t="s">
        <v>3741</v>
      </c>
      <c r="BB390" s="18"/>
      <c r="BC390" s="41" t="s">
        <v>3742</v>
      </c>
    </row>
    <row r="391" spans="1:55" ht="89" customHeight="1" x14ac:dyDescent="0.2">
      <c r="A391" s="88" t="s">
        <v>4574</v>
      </c>
      <c r="B391" s="6" t="s">
        <v>3743</v>
      </c>
      <c r="C391" s="7" t="s">
        <v>3722</v>
      </c>
      <c r="D391" s="8" t="s">
        <v>49</v>
      </c>
      <c r="E391" s="31" t="s">
        <v>50</v>
      </c>
      <c r="F391" s="9" t="s">
        <v>3723</v>
      </c>
      <c r="G391" s="9" t="s">
        <v>3724</v>
      </c>
      <c r="H391" s="10" t="s">
        <v>380</v>
      </c>
      <c r="I391" s="18" t="s">
        <v>103</v>
      </c>
      <c r="J391" s="7" t="s">
        <v>3744</v>
      </c>
      <c r="K391" s="10" t="s">
        <v>55</v>
      </c>
      <c r="L391" s="30" t="s">
        <v>2042</v>
      </c>
      <c r="M391" s="30" t="s">
        <v>537</v>
      </c>
      <c r="N391" s="30" t="s">
        <v>4185</v>
      </c>
      <c r="O391" s="30" t="s">
        <v>4185</v>
      </c>
      <c r="P391" s="31" t="s">
        <v>144</v>
      </c>
      <c r="Q391" s="10" t="s">
        <v>3745</v>
      </c>
      <c r="R391" s="10" t="s">
        <v>58</v>
      </c>
      <c r="S391" s="18" t="s">
        <v>59</v>
      </c>
      <c r="T391" s="31" t="s">
        <v>60</v>
      </c>
      <c r="U391" s="33">
        <v>36526</v>
      </c>
      <c r="V391" s="12">
        <v>2000</v>
      </c>
      <c r="W391" s="13">
        <v>44041</v>
      </c>
      <c r="X391" s="14">
        <v>2020</v>
      </c>
      <c r="Y391" s="13" t="s">
        <v>94</v>
      </c>
      <c r="Z391" s="13" t="s">
        <v>94</v>
      </c>
      <c r="AA391" s="13" t="s">
        <v>94</v>
      </c>
      <c r="AB391" s="13" t="s">
        <v>94</v>
      </c>
      <c r="AC391" s="13" t="s">
        <v>94</v>
      </c>
      <c r="AD391" s="15"/>
      <c r="AE391" s="27" t="s">
        <v>3746</v>
      </c>
      <c r="AF391" s="8" t="s">
        <v>106</v>
      </c>
      <c r="AG391" s="16">
        <v>3500000000</v>
      </c>
      <c r="AH391" s="16">
        <v>3500000000</v>
      </c>
      <c r="AI391" s="16">
        <v>4242136153.4099998</v>
      </c>
      <c r="AJ391" s="16" t="s">
        <v>76</v>
      </c>
      <c r="AK391" s="28" t="s">
        <v>94</v>
      </c>
      <c r="AL391" s="16" t="s">
        <v>94</v>
      </c>
      <c r="AM391" s="16" t="s">
        <v>94</v>
      </c>
      <c r="AN391" s="10" t="s">
        <v>64</v>
      </c>
      <c r="AO391" s="8" t="s">
        <v>3756</v>
      </c>
      <c r="AP391" s="43">
        <v>4000</v>
      </c>
      <c r="AQ391" s="15" t="s">
        <v>94</v>
      </c>
      <c r="AR391" s="8" t="s">
        <v>3768</v>
      </c>
      <c r="AS391" s="10" t="s">
        <v>3781</v>
      </c>
      <c r="AT391" s="10" t="s">
        <v>3795</v>
      </c>
      <c r="AU391" s="98"/>
      <c r="AV391" s="17"/>
      <c r="AW391" s="10"/>
      <c r="AX391" s="7" t="s">
        <v>4083</v>
      </c>
      <c r="AY391" s="10" t="s">
        <v>3747</v>
      </c>
      <c r="AZ391" s="10" t="s">
        <v>4147</v>
      </c>
      <c r="BA391" s="10" t="s">
        <v>3748</v>
      </c>
      <c r="BB391" s="18" t="s">
        <v>3749</v>
      </c>
      <c r="BC391" s="41" t="s">
        <v>3750</v>
      </c>
    </row>
  </sheetData>
  <hyperlinks>
    <hyperlink ref="AW99" r:id="rId1" xr:uid="{00000000-0004-0000-0000-000000000000}"/>
    <hyperlink ref="AW270" r:id="rId2" display="Act for Wrongful Trials on Charges of Sedition and Espionage during the Martial Law Period (戒嚴時期不當叛亂暨匪諜審判案件補償條 例)" xr:uid="{00000000-0004-0000-0000-000001000000}"/>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D1869-78AC-7843-8C95-99FFEEEBDD9F}">
  <dimension ref="A1:C9"/>
  <sheetViews>
    <sheetView workbookViewId="0">
      <selection activeCell="B31" sqref="B31"/>
    </sheetView>
  </sheetViews>
  <sheetFormatPr baseColWidth="10" defaultRowHeight="16" x14ac:dyDescent="0.2"/>
  <cols>
    <col min="1" max="1" width="43" bestFit="1" customWidth="1"/>
    <col min="2" max="2" width="20.83203125" bestFit="1" customWidth="1"/>
    <col min="3" max="3" width="25.6640625" bestFit="1" customWidth="1"/>
  </cols>
  <sheetData>
    <row r="1" spans="1:3" x14ac:dyDescent="0.2">
      <c r="A1" s="95" t="s">
        <v>4167</v>
      </c>
      <c r="B1" s="95" t="s">
        <v>4173</v>
      </c>
      <c r="C1" s="95" t="s">
        <v>4172</v>
      </c>
    </row>
    <row r="2" spans="1:3" x14ac:dyDescent="0.2">
      <c r="A2" s="94" t="s">
        <v>4161</v>
      </c>
      <c r="B2" s="94" cm="1">
        <f t="array" ref="B2">SUMPRODUCT(
 (LEN(DATABASE!AV:AV)
  - LEN(SUBSTITUTE(DATABASE!AV:AV,"Political Apologies and Reparations Archive","")))
 / LEN("Political Apologies and Reparations Archive")
)</f>
        <v>190</v>
      </c>
      <c r="C2" s="94">
        <f>COUNTIF(DATABASE!AV:AV,"*Political Apologies and Reparations Archive*")</f>
        <v>142</v>
      </c>
    </row>
    <row r="3" spans="1:3" x14ac:dyDescent="0.2">
      <c r="A3" s="94" t="s">
        <v>4162</v>
      </c>
      <c r="B3" s="94" cm="1">
        <f t="array" ref="B3">SUMPRODUCT(
 (LEN(DATABASE!AV:AV)
  - LEN(SUBSTITUTE(DATABASE!AV:AV,"Transitional Justice Evaluation Tools","")))
 / LEN("Transitional Justice Evaluation Tools")
)</f>
        <v>61</v>
      </c>
      <c r="C3" s="94">
        <f>COUNTIF(DATABASE!AV:AV,"*Transitional Justice Evaluation Tools*")</f>
        <v>58</v>
      </c>
    </row>
    <row r="4" spans="1:3" x14ac:dyDescent="0.2">
      <c r="A4" s="94" t="s">
        <v>1126</v>
      </c>
      <c r="B4" s="94" cm="1">
        <f t="array" ref="B4">SUMPRODUCT(
 (LEN(DATABASE!AV:AV)
  - LEN(SUBSTITUTE(DATABASE!AV:AV,"Reparations in the United States","")))
 / LEN("Reparations in the United States")
)</f>
        <v>46</v>
      </c>
      <c r="C4" s="94">
        <f>COUNTIF(DATABASE!AV:AV,"*Reparations in the United States*")</f>
        <v>46</v>
      </c>
    </row>
    <row r="5" spans="1:3" x14ac:dyDescent="0.2">
      <c r="A5" s="94" t="s">
        <v>4168</v>
      </c>
      <c r="B5" s="94" cm="1">
        <f t="array" ref="B5">SUMPRODUCT(
 (LEN(DATABASE!AV:AV)
  - LEN(SUBSTITUTE(DATABASE!AV:AV,"Nuhanovic Foundation's Reparations Database","")))
 / LEN("Nuhanovic Foundation's Reparations Database")
)</f>
        <v>24</v>
      </c>
      <c r="C5" s="94">
        <f>COUNTIF(DATABASE!AV:AV,"*Nuhanovic Foundation's Reparations Database*")</f>
        <v>24</v>
      </c>
    </row>
    <row r="6" spans="1:3" x14ac:dyDescent="0.2">
      <c r="A6" s="94" t="s">
        <v>4163</v>
      </c>
      <c r="B6" s="94" cm="1">
        <f t="array" ref="B6">SUMPRODUCT(
 (LEN(DATABASE!AV:AV)
  - LEN(SUBSTITUTE(DATABASE!AV:AV,"Transitional Justice Data Base","")))
 / LEN("Transitional Justice Data Base")
)</f>
        <v>17</v>
      </c>
      <c r="C6" s="94">
        <f>COUNTIF(DATABASE!AV:AV,"*Transitional Justice Data Base*")</f>
        <v>17</v>
      </c>
    </row>
    <row r="7" spans="1:3" x14ac:dyDescent="0.2">
      <c r="A7" s="94" t="s">
        <v>4166</v>
      </c>
      <c r="B7" s="94" cm="1">
        <f t="array" ref="B7">SUMPRODUCT(
 (LEN(DATABASE!AV:AV)
  - LEN(SUBSTITUTE(DATABASE!AV:AV,"Peace Agreements Database","")))
 / LEN("Peace Agreements Database")
)</f>
        <v>13</v>
      </c>
      <c r="C7" s="94">
        <f>COUNTIF(DATABASE!AV:AV,"*Peace Agreements Database*")</f>
        <v>13</v>
      </c>
    </row>
    <row r="8" spans="1:3" x14ac:dyDescent="0.2">
      <c r="A8" s="94" t="s">
        <v>4164</v>
      </c>
      <c r="B8" s="94" cm="1">
        <f t="array" ref="B8">SUMPRODUCT(
 (LEN(DATABASE!AV:AV)
  - LEN(SUBSTITUTE(DATABASE!AV:AV,"ICC Legal Tools Database","")))
 / LEN("ICC Legal Tools Database")
)</f>
        <v>5</v>
      </c>
      <c r="C8" s="94">
        <f>COUNTIF(DATABASE!AV:AV,"*ICC Legal Tools Database*")</f>
        <v>5</v>
      </c>
    </row>
    <row r="9" spans="1:3" x14ac:dyDescent="0.2">
      <c r="A9" s="94" t="s">
        <v>4165</v>
      </c>
      <c r="B9" s="94" cm="1">
        <f t="array" ref="B9">SUMPRODUCT(
 (LEN(DATABASE!AV:AV)
  - LEN(SUBSTITUTE(DATABASE!AV:AV,"Peace Accords Matrix","")))
 / LEN("Peace Accords Matrix")
)</f>
        <v>4</v>
      </c>
      <c r="C9" s="94">
        <f>COUNTIF(DATABASE!AV:AV,"*Peace Accords Matrix*")</f>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DATABASE</vt:lpstr>
      <vt:lpstr>Existing Databases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Geraldine Ramilo</dc:creator>
  <cp:lastModifiedBy>Geraldine Ramilo</cp:lastModifiedBy>
  <dcterms:created xsi:type="dcterms:W3CDTF">2025-07-29T08:32:21Z</dcterms:created>
  <dcterms:modified xsi:type="dcterms:W3CDTF">2026-03-24T16:13:48Z</dcterms:modified>
</cp:coreProperties>
</file>